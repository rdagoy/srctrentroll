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 Mix &amp; RR Summary" sheetId="1" state="visible" r:id="rId1"/>
    <sheet xmlns:r="http://schemas.openxmlformats.org/officeDocument/2006/relationships" name="Recent Leases" sheetId="2" state="visible" r:id="rId2"/>
    <sheet xmlns:r="http://schemas.openxmlformats.org/officeDocument/2006/relationships" name="Unit Mix based on # of Beds" sheetId="3" state="visible" r:id="rId3"/>
    <sheet xmlns:r="http://schemas.openxmlformats.org/officeDocument/2006/relationships" name="Pres. Rent Roll" sheetId="4" state="visible" r:id="rId4"/>
    <sheet xmlns:r="http://schemas.openxmlformats.org/officeDocument/2006/relationships" name="OneLineR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0\ &quot;Units&quot;"/>
    <numFmt numFmtId="165" formatCode="#\ &quot;Units&quot;"/>
    <numFmt numFmtId="166" formatCode="#,##0\ &quot;SF&quot;"/>
    <numFmt numFmtId="167" formatCode="&quot;$&quot;#,##0"/>
    <numFmt numFmtId="168" formatCode="&quot;$&quot;#,##0.00"/>
    <numFmt numFmtId="169" formatCode="#,##0\ &quot;Units&quot;"/>
    <numFmt numFmtId="170" formatCode="0.0%"/>
    <numFmt numFmtId="171" formatCode="yyyy-mm-dd"/>
    <numFmt numFmtId="172" formatCode="#\ &quot;Days&quot;"/>
    <numFmt numFmtId="173" formatCode="#0\ &quot;Bed/s&quot;"/>
    <numFmt numFmtId="174" formatCode="0.#"/>
    <numFmt numFmtId="175" formatCode="&quot;$&quot;#,##0_);[Red]\(&quot;$&quot;#,##0\)"/>
    <numFmt numFmtId="176" formatCode="mm\/dd\/yyyy"/>
    <numFmt numFmtId="177" formatCode="0.0"/>
    <numFmt numFmtId="178" formatCode="_(* #,##0_);_(* \(#,##0\);_(* &quot;-&quot;??_);_(@_)"/>
  </numFmts>
  <fonts count="12">
    <font>
      <name val="Calibri"/>
      <family val="2"/>
      <color theme="1"/>
      <sz val="11"/>
      <scheme val="minor"/>
    </font>
    <font>
      <b val="1"/>
      <color theme="3"/>
      <sz val="15"/>
    </font>
    <font>
      <b val="1"/>
      <color rgb="FF808080"/>
      <sz val="15"/>
    </font>
    <font>
      <b val="1"/>
      <color theme="0"/>
      <sz val="11"/>
    </font>
    <font>
      <color theme="1"/>
      <sz val="11"/>
    </font>
    <font>
      <b val="1"/>
      <color theme="1"/>
      <sz val="11"/>
    </font>
    <font>
      <b val="1"/>
      <sz val="11"/>
    </font>
    <font>
      <b val="1"/>
      <color theme="0"/>
      <sz val="12"/>
    </font>
    <font>
      <b val="1"/>
      <color theme="0"/>
      <sz val="10"/>
    </font>
    <font>
      <b val="1"/>
      <sz val="10"/>
    </font>
    <font>
      <sz val="10"/>
    </font>
    <font>
      <color rgb="FF0000FF"/>
      <sz val="10"/>
    </font>
  </fonts>
  <fills count="6">
    <fill>
      <patternFill/>
    </fill>
    <fill>
      <patternFill patternType="gray125"/>
    </fill>
    <fill>
      <patternFill patternType="solid">
        <fgColor theme="4" tint="-0.25"/>
      </patternFill>
    </fill>
    <fill>
      <patternFill patternType="solid">
        <fgColor theme="8" tint="0.8"/>
      </patternFill>
    </fill>
    <fill>
      <patternFill patternType="solid">
        <fgColor theme="0" tint="-0.05"/>
      </patternFill>
    </fill>
    <fill>
      <patternFill patternType="solid">
        <fgColor rgb="FFFFFF00"/>
      </patternFill>
    </fill>
  </fills>
  <borders count="5">
    <border>
      <left/>
      <right/>
      <top/>
      <bottom/>
      <diagonal/>
    </border>
    <border>
      <bottom style="thick"/>
    </border>
    <border>
      <left style="dashDot"/>
      <right style="dashDot"/>
      <top style="dashDot"/>
      <bottom style="dashDot"/>
    </border>
    <border>
      <left style="dotted"/>
      <right/>
      <top/>
      <bottom/>
    </border>
    <border>
      <top style="thin"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1" pivotButton="0" quotePrefix="0" xfId="0"/>
    <xf numFmtId="0" fontId="2" fillId="0" borderId="0" applyAlignment="1" pivotButton="0" quotePrefix="0" xfId="0">
      <alignment horizontal="right"/>
    </xf>
    <xf numFmtId="0" fontId="0" fillId="2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right" vertical="center"/>
    </xf>
    <xf numFmtId="167" fontId="4" fillId="0" borderId="0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165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right" vertical="center"/>
    </xf>
    <xf numFmtId="166" fontId="5" fillId="3" borderId="0" applyAlignment="1" pivotButton="0" quotePrefix="0" xfId="0">
      <alignment horizontal="right" vertical="center"/>
    </xf>
    <xf numFmtId="167" fontId="5" fillId="3" borderId="0" applyAlignment="1" pivotButton="0" quotePrefix="0" xfId="0">
      <alignment horizontal="right" vertical="center"/>
    </xf>
    <xf numFmtId="168" fontId="5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horizontal="left"/>
    </xf>
    <xf numFmtId="0" fontId="0" fillId="4" borderId="0" pivotButton="0" quotePrefix="0" xfId="0"/>
    <xf numFmtId="169" fontId="5" fillId="4" borderId="0" applyAlignment="1" pivotButton="0" quotePrefix="0" xfId="0">
      <alignment horizontal="right"/>
    </xf>
    <xf numFmtId="170" fontId="5" fillId="4" borderId="0" applyAlignment="1" pivotButton="0" quotePrefix="0" xfId="0">
      <alignment horizontal="right"/>
    </xf>
    <xf numFmtId="166" fontId="5" fillId="4" borderId="0" applyAlignment="1" pivotButton="0" quotePrefix="0" xfId="0">
      <alignment horizontal="right"/>
    </xf>
    <xf numFmtId="167" fontId="5" fillId="4" borderId="0" applyAlignment="1" pivotButton="0" quotePrefix="0" xfId="0">
      <alignment horizontal="right"/>
    </xf>
    <xf numFmtId="0" fontId="5" fillId="0" borderId="0" pivotButton="0" quotePrefix="0" xfId="0"/>
    <xf numFmtId="0" fontId="4" fillId="0" borderId="0" pivotButton="0" quotePrefix="0" xfId="0"/>
    <xf numFmtId="3" fontId="4" fillId="0" borderId="0" applyAlignment="1" pivotButton="0" quotePrefix="0" xfId="0">
      <alignment horizontal="right"/>
    </xf>
    <xf numFmtId="170" fontId="4" fillId="0" borderId="0" applyAlignment="1" pivotButton="0" quotePrefix="0" xfId="0">
      <alignment horizontal="right"/>
    </xf>
    <xf numFmtId="0" fontId="2" fillId="0" borderId="1" applyAlignment="1" pivotButton="0" quotePrefix="0" xfId="0">
      <alignment horizontal="right"/>
    </xf>
    <xf numFmtId="14" fontId="6" fillId="0" borderId="2" applyAlignment="1" pivotButton="0" quotePrefix="0" xfId="0">
      <alignment horizontal="center"/>
    </xf>
    <xf numFmtId="0" fontId="3" fillId="2" borderId="0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Continuous" vertical="center"/>
    </xf>
    <xf numFmtId="0" fontId="3" fillId="2" borderId="3" applyAlignment="1" pivotButton="0" quotePrefix="0" xfId="0">
      <alignment horizontal="center" vertical="center"/>
    </xf>
    <xf numFmtId="172" fontId="3" fillId="2" borderId="3" applyAlignment="1" pivotButton="0" quotePrefix="0" xfId="0">
      <alignment horizontal="center" vertical="center"/>
    </xf>
    <xf numFmtId="172" fontId="3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/>
    </xf>
    <xf numFmtId="164" fontId="4" fillId="0" borderId="0" applyAlignment="1" pivotButton="0" quotePrefix="0" xfId="0">
      <alignment horizontal="right" vertical="center"/>
    </xf>
    <xf numFmtId="167" fontId="4" fillId="0" borderId="3" applyAlignment="1" pivotButton="0" quotePrefix="0" xfId="0">
      <alignment horizontal="right" vertical="center"/>
    </xf>
    <xf numFmtId="17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0" fillId="3" borderId="0" pivotButton="0" quotePrefix="0" xfId="0"/>
    <xf numFmtId="167" fontId="5" fillId="3" borderId="3" applyAlignment="1" pivotButton="0" quotePrefix="0" xfId="0">
      <alignment horizontal="right" vertical="center"/>
    </xf>
    <xf numFmtId="170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right" vertical="center"/>
    </xf>
    <xf numFmtId="3" fontId="5" fillId="3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/>
    </xf>
    <xf numFmtId="173" fontId="4" fillId="0" borderId="0" applyAlignment="1" pivotButton="0" quotePrefix="0" xfId="0">
      <alignment horizontal="left" vertical="center"/>
    </xf>
    <xf numFmtId="0" fontId="1" fillId="0" borderId="1" applyAlignment="1" pivotButton="0" quotePrefix="0" xfId="0">
      <alignment vertical="center"/>
    </xf>
    <xf numFmtId="0" fontId="1" fillId="0" borderId="0" pivotButton="0" quotePrefix="0" xfId="0"/>
    <xf numFmtId="0" fontId="7" fillId="2" borderId="0" applyAlignment="1" pivotButton="0" quotePrefix="0" xfId="0">
      <alignment horizontal="centerContinuous" vertical="center"/>
    </xf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right"/>
    </xf>
    <xf numFmtId="174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75" fontId="4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right"/>
    </xf>
    <xf numFmtId="14" fontId="5" fillId="0" borderId="0" applyAlignment="1" pivotButton="0" quotePrefix="0" xfId="0">
      <alignment horizontal="left"/>
    </xf>
    <xf numFmtId="0" fontId="0" fillId="0" borderId="4" pivotButton="0" quotePrefix="0" xfId="0"/>
    <xf numFmtId="169" fontId="5" fillId="0" borderId="4" applyAlignment="1" pivotButton="0" quotePrefix="0" xfId="0">
      <alignment horizontal="center"/>
    </xf>
    <xf numFmtId="166" fontId="5" fillId="0" borderId="4" applyAlignment="1" pivotButton="0" quotePrefix="0" xfId="0">
      <alignment horizontal="right"/>
    </xf>
    <xf numFmtId="175" fontId="5" fillId="0" borderId="4" applyAlignment="1" pivotButton="0" quotePrefix="0" xfId="0">
      <alignment horizontal="right"/>
    </xf>
    <xf numFmtId="167" fontId="4" fillId="0" borderId="4" applyAlignment="1" pivotButton="0" quotePrefix="0" xfId="0">
      <alignment horizontal="center"/>
    </xf>
    <xf numFmtId="10" fontId="4" fillId="0" borderId="4" applyAlignment="1" pivotButton="0" quotePrefix="0" xfId="0">
      <alignment horizontal="center"/>
    </xf>
    <xf numFmtId="0" fontId="9" fillId="0" borderId="0" pivotButton="0" quotePrefix="0" xfId="0"/>
    <xf numFmtId="0" fontId="9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/>
    </xf>
    <xf numFmtId="0" fontId="10" fillId="5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5" borderId="0" applyAlignment="1" pivotButton="0" quotePrefix="0" xfId="0">
      <alignment horizontal="center"/>
    </xf>
    <xf numFmtId="177" fontId="10" fillId="5" borderId="0" applyAlignment="1" pivotButton="0" quotePrefix="0" xfId="0">
      <alignment horizontal="center"/>
    </xf>
    <xf numFmtId="3" fontId="10" fillId="0" borderId="0" applyAlignment="1" pivotButton="0" quotePrefix="0" xfId="0">
      <alignment horizontal="right"/>
    </xf>
    <xf numFmtId="3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0" fillId="0" borderId="0" pivotButton="0" quotePrefix="0" xfId="0"/>
    <xf numFmtId="14" fontId="9" fillId="0" borderId="0" applyAlignment="1" pivotButton="0" quotePrefix="0" xfId="0">
      <alignment horizontal="left"/>
    </xf>
    <xf numFmtId="178" fontId="10" fillId="0" borderId="0" pivotButton="0" quotePrefix="0" xfId="0"/>
    <xf numFmtId="4" fontId="10" fillId="0" borderId="0" applyAlignment="1" pivotButton="0" quotePrefix="0" xfId="0">
      <alignment horizontal="right"/>
    </xf>
    <xf numFmtId="176" fontId="10" fillId="0" borderId="0" applyAlignment="1" pivotButton="0" quotePrefix="0" xfId="0">
      <alignment horizontal="right"/>
    </xf>
    <xf numFmtId="0" fontId="11" fillId="5" borderId="0" applyAlignment="1" pivotButton="0" quotePrefix="0" xfId="0">
      <alignment horizontal="left"/>
    </xf>
    <xf numFmtId="178" fontId="11" fillId="5" borderId="0" pivotButton="0" quotePrefix="0" xfId="0"/>
    <xf numFmtId="4" fontId="11" fillId="5" borderId="0" applyAlignment="1" pivotButton="0" quotePrefix="0" xfId="0">
      <alignment horizontal="right"/>
    </xf>
    <xf numFmtId="0" fontId="1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W59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29.6" customWidth="1" min="4" max="4"/>
    <col width="2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Colonial Pointe</t>
        </is>
      </c>
    </row>
    <row r="5">
      <c r="C5" s="3" t="n"/>
      <c r="D5" s="4" t="inlineStr">
        <is>
          <t>Property Name</t>
        </is>
      </c>
      <c r="E5" s="4" t="inlineStr">
        <is>
          <t>Floor Plan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Colonial Pointe</t>
        </is>
      </c>
      <c r="E6" s="7" t="inlineStr">
        <is>
          <t>Q-1</t>
        </is>
      </c>
      <c r="F6" s="8" t="n">
        <v>1</v>
      </c>
      <c r="G6" s="9" t="n">
        <v>1</v>
      </c>
      <c r="H6" s="10" t="n">
        <v>705</v>
      </c>
      <c r="I6" s="10" t="n">
        <v>705</v>
      </c>
      <c r="J6" s="11" t="n">
        <v>2300</v>
      </c>
      <c r="K6" s="11" t="n">
        <v>2300</v>
      </c>
      <c r="L6" s="12" t="n">
        <v>3.26241134751773</v>
      </c>
      <c r="M6" s="11" t="n">
        <v>2300</v>
      </c>
      <c r="N6" s="11" t="n">
        <v>2300</v>
      </c>
      <c r="O6" s="12" t="n">
        <v>3.26241134751773</v>
      </c>
      <c r="P6" s="11" t="n">
        <v>2300</v>
      </c>
      <c r="Q6" s="11" t="n">
        <v>0</v>
      </c>
      <c r="S6" s="10" t="n">
        <v>705</v>
      </c>
    </row>
    <row r="7">
      <c r="D7" s="7" t="inlineStr">
        <is>
          <t>Colonial Pointe</t>
        </is>
      </c>
      <c r="E7" s="7" t="inlineStr">
        <is>
          <t>Q-1 AFF M</t>
        </is>
      </c>
      <c r="F7" s="8" t="n">
        <v>1</v>
      </c>
      <c r="G7" s="9" t="n">
        <v>1</v>
      </c>
      <c r="H7" s="10" t="n">
        <v>705</v>
      </c>
      <c r="I7" s="10" t="n">
        <v>705</v>
      </c>
      <c r="J7" s="11" t="n">
        <v>1123</v>
      </c>
      <c r="K7" s="11" t="n">
        <v>1123</v>
      </c>
      <c r="L7" s="12" t="n">
        <v>1.59290780141844</v>
      </c>
      <c r="M7" s="11" t="n">
        <v>1123</v>
      </c>
      <c r="N7" s="11" t="n">
        <v>1123</v>
      </c>
      <c r="O7" s="12" t="n">
        <v>1.59290780141844</v>
      </c>
      <c r="P7" s="11" t="n">
        <v>1123</v>
      </c>
      <c r="Q7" s="11" t="n">
        <v>0</v>
      </c>
      <c r="S7" s="10" t="n">
        <v>705</v>
      </c>
    </row>
    <row r="8">
      <c r="D8" s="7" t="inlineStr">
        <is>
          <t>Colonial Pointe</t>
        </is>
      </c>
      <c r="E8" s="7" t="inlineStr">
        <is>
          <t>P1-1 AFF L</t>
        </is>
      </c>
      <c r="F8" s="8" t="n">
        <v>1</v>
      </c>
      <c r="G8" s="9" t="n">
        <v>1</v>
      </c>
      <c r="H8" s="10" t="n">
        <v>710</v>
      </c>
      <c r="I8" s="10" t="n">
        <v>710</v>
      </c>
      <c r="J8" s="11" t="n">
        <v>977</v>
      </c>
      <c r="K8" s="11" t="n">
        <v>977</v>
      </c>
      <c r="L8" s="12" t="n">
        <v>1.376056338028169</v>
      </c>
      <c r="M8" s="11" t="n">
        <v>977</v>
      </c>
      <c r="N8" s="11" t="n">
        <v>977</v>
      </c>
      <c r="O8" s="12" t="n">
        <v>1.376056338028169</v>
      </c>
      <c r="P8" s="11" t="n">
        <v>977</v>
      </c>
      <c r="Q8" s="11" t="n">
        <v>0</v>
      </c>
      <c r="S8" s="10" t="n">
        <v>710</v>
      </c>
    </row>
    <row r="9">
      <c r="D9" s="7" t="inlineStr">
        <is>
          <t>Colonial Pointe</t>
        </is>
      </c>
      <c r="E9" s="7" t="inlineStr">
        <is>
          <t>A-1</t>
        </is>
      </c>
      <c r="F9" s="8" t="n">
        <v>10</v>
      </c>
      <c r="G9" s="9" t="n">
        <v>12</v>
      </c>
      <c r="H9" s="10" t="n">
        <v>10140</v>
      </c>
      <c r="I9" s="10" t="n">
        <v>845</v>
      </c>
      <c r="J9" s="11" t="n">
        <v>31915</v>
      </c>
      <c r="K9" s="11" t="n">
        <v>2659.583333333333</v>
      </c>
      <c r="L9" s="12" t="n">
        <v>3.147435897435897</v>
      </c>
      <c r="M9" s="11" t="n">
        <v>28618</v>
      </c>
      <c r="N9" s="11" t="n">
        <v>2861.8</v>
      </c>
      <c r="O9" s="12" t="n">
        <v>3.386745562130177</v>
      </c>
      <c r="P9" s="11" t="n">
        <v>3085</v>
      </c>
      <c r="Q9" s="11" t="n">
        <v>0</v>
      </c>
      <c r="S9" s="10" t="n">
        <v>8450</v>
      </c>
    </row>
    <row r="10">
      <c r="D10" s="7" t="inlineStr">
        <is>
          <t>Colonial Pointe</t>
        </is>
      </c>
      <c r="E10" s="7" t="inlineStr">
        <is>
          <t>L-2</t>
        </is>
      </c>
      <c r="F10" s="8" t="n">
        <v>2</v>
      </c>
      <c r="G10" s="9" t="n">
        <v>2</v>
      </c>
      <c r="H10" s="10" t="n">
        <v>1762</v>
      </c>
      <c r="I10" s="10" t="n">
        <v>881</v>
      </c>
      <c r="J10" s="11" t="n">
        <v>5281</v>
      </c>
      <c r="K10" s="11" t="n">
        <v>2640.5</v>
      </c>
      <c r="L10" s="12" t="n">
        <v>2.997162315550511</v>
      </c>
      <c r="M10" s="11" t="n">
        <v>5281</v>
      </c>
      <c r="N10" s="11" t="n">
        <v>2640.5</v>
      </c>
      <c r="O10" s="12" t="n">
        <v>2.997162315550511</v>
      </c>
      <c r="P10" s="11" t="n">
        <v>2650</v>
      </c>
      <c r="Q10" s="11" t="n">
        <v>0</v>
      </c>
      <c r="S10" s="10" t="n">
        <v>1762</v>
      </c>
    </row>
    <row r="11">
      <c r="D11" s="7" t="inlineStr">
        <is>
          <t>Colonial Pointe</t>
        </is>
      </c>
      <c r="E11" s="7" t="inlineStr">
        <is>
          <t>L-2 AFF M</t>
        </is>
      </c>
      <c r="F11" s="8" t="n">
        <v>2</v>
      </c>
      <c r="G11" s="9" t="n">
        <v>2</v>
      </c>
      <c r="H11" s="10" t="n">
        <v>1762</v>
      </c>
      <c r="I11" s="10" t="n">
        <v>881</v>
      </c>
      <c r="J11" s="11" t="n">
        <v>2851</v>
      </c>
      <c r="K11" s="11" t="n">
        <v>1425.5</v>
      </c>
      <c r="L11" s="12" t="n">
        <v>1.618047673098751</v>
      </c>
      <c r="M11" s="11" t="n">
        <v>2851</v>
      </c>
      <c r="N11" s="11" t="n">
        <v>1425.5</v>
      </c>
      <c r="O11" s="12" t="n">
        <v>1.618047673098751</v>
      </c>
      <c r="P11" s="11" t="n">
        <v>1465</v>
      </c>
      <c r="Q11" s="11" t="n">
        <v>0</v>
      </c>
      <c r="S11" s="10" t="n">
        <v>1762</v>
      </c>
    </row>
    <row r="12">
      <c r="D12" s="7" t="inlineStr">
        <is>
          <t>Colonial Pointe</t>
        </is>
      </c>
      <c r="E12" s="7" t="inlineStr">
        <is>
          <t>L-2 AFF VL</t>
        </is>
      </c>
      <c r="F12" s="8" t="n">
        <v>2</v>
      </c>
      <c r="G12" s="9" t="n">
        <v>2</v>
      </c>
      <c r="H12" s="10" t="n">
        <v>1762</v>
      </c>
      <c r="I12" s="10" t="n">
        <v>881</v>
      </c>
      <c r="J12" s="11" t="n">
        <v>1329</v>
      </c>
      <c r="K12" s="11" t="n">
        <v>664.5</v>
      </c>
      <c r="L12" s="12" t="n">
        <v>0.7542565266742338</v>
      </c>
      <c r="M12" s="11" t="n">
        <v>1329</v>
      </c>
      <c r="N12" s="11" t="n">
        <v>664.5</v>
      </c>
      <c r="O12" s="12" t="n">
        <v>0.7542565266742338</v>
      </c>
      <c r="P12" s="11" t="n">
        <v>704</v>
      </c>
      <c r="Q12" s="11" t="n">
        <v>0</v>
      </c>
      <c r="S12" s="10" t="n">
        <v>1762</v>
      </c>
    </row>
    <row r="13">
      <c r="D13" s="7" t="inlineStr">
        <is>
          <t>Colonial Pointe</t>
        </is>
      </c>
      <c r="E13" s="7" t="inlineStr">
        <is>
          <t>N-2 AFF L</t>
        </is>
      </c>
      <c r="F13" s="8" t="n">
        <v>1</v>
      </c>
      <c r="G13" s="9" t="n">
        <v>1</v>
      </c>
      <c r="H13" s="10" t="n">
        <v>960</v>
      </c>
      <c r="I13" s="10" t="n">
        <v>960</v>
      </c>
      <c r="J13" s="11" t="n">
        <v>1073</v>
      </c>
      <c r="K13" s="11" t="n">
        <v>1073</v>
      </c>
      <c r="L13" s="12" t="n">
        <v>1.117708333333333</v>
      </c>
      <c r="M13" s="11" t="n">
        <v>1073</v>
      </c>
      <c r="N13" s="11" t="n">
        <v>1073</v>
      </c>
      <c r="O13" s="12" t="n">
        <v>1.117708333333333</v>
      </c>
      <c r="P13" s="11" t="n">
        <v>1073</v>
      </c>
      <c r="Q13" s="11" t="n">
        <v>0</v>
      </c>
      <c r="S13" s="10" t="n">
        <v>960</v>
      </c>
    </row>
    <row r="14">
      <c r="D14" s="7" t="inlineStr">
        <is>
          <t>Colonial Pointe</t>
        </is>
      </c>
      <c r="E14" s="7" t="inlineStr">
        <is>
          <t>N-2 AFF M</t>
        </is>
      </c>
      <c r="F14" s="8" t="n">
        <v>4</v>
      </c>
      <c r="G14" s="9" t="n">
        <v>4</v>
      </c>
      <c r="H14" s="10" t="n">
        <v>3840</v>
      </c>
      <c r="I14" s="10" t="n">
        <v>960</v>
      </c>
      <c r="J14" s="11" t="n">
        <v>5330</v>
      </c>
      <c r="K14" s="11" t="n">
        <v>1332.5</v>
      </c>
      <c r="L14" s="12" t="n">
        <v>1.388020833333333</v>
      </c>
      <c r="M14" s="11" t="n">
        <v>5330</v>
      </c>
      <c r="N14" s="11" t="n">
        <v>1332.5</v>
      </c>
      <c r="O14" s="12" t="n">
        <v>1.388020833333333</v>
      </c>
      <c r="P14" s="11" t="n">
        <v>1385</v>
      </c>
      <c r="Q14" s="11" t="n">
        <v>0</v>
      </c>
      <c r="S14" s="10" t="n">
        <v>3840</v>
      </c>
    </row>
    <row r="15">
      <c r="D15" s="7" t="inlineStr">
        <is>
          <t>Colonial Pointe</t>
        </is>
      </c>
      <c r="E15" s="7" t="inlineStr">
        <is>
          <t>N-2 AFF VL</t>
        </is>
      </c>
      <c r="F15" s="8" t="n">
        <v>1</v>
      </c>
      <c r="G15" s="9" t="n">
        <v>1</v>
      </c>
      <c r="H15" s="10" t="n">
        <v>960</v>
      </c>
      <c r="I15" s="10" t="n">
        <v>960</v>
      </c>
      <c r="J15" s="11" t="n">
        <v>623</v>
      </c>
      <c r="K15" s="11" t="n">
        <v>623</v>
      </c>
      <c r="L15" s="12" t="n">
        <v>0.6489583333333333</v>
      </c>
      <c r="M15" s="11" t="n">
        <v>623</v>
      </c>
      <c r="N15" s="11" t="n">
        <v>623</v>
      </c>
      <c r="O15" s="12" t="n">
        <v>0.6489583333333333</v>
      </c>
      <c r="P15" s="11" t="n">
        <v>623</v>
      </c>
      <c r="Q15" s="11" t="n">
        <v>0</v>
      </c>
      <c r="S15" s="10" t="n">
        <v>960</v>
      </c>
    </row>
    <row r="16">
      <c r="D16" s="7" t="inlineStr">
        <is>
          <t>Colonial Pointe</t>
        </is>
      </c>
      <c r="E16" s="7" t="inlineStr">
        <is>
          <t>B-1D</t>
        </is>
      </c>
      <c r="F16" s="8" t="n">
        <v>4</v>
      </c>
      <c r="G16" s="9" t="n">
        <v>4</v>
      </c>
      <c r="H16" s="10" t="n">
        <v>3920</v>
      </c>
      <c r="I16" s="10" t="n">
        <v>980</v>
      </c>
      <c r="J16" s="11" t="n">
        <v>11764</v>
      </c>
      <c r="K16" s="11" t="n">
        <v>2941</v>
      </c>
      <c r="L16" s="12" t="n">
        <v>3.001020408163265</v>
      </c>
      <c r="M16" s="11" t="n">
        <v>11764</v>
      </c>
      <c r="N16" s="11" t="n">
        <v>2941</v>
      </c>
      <c r="O16" s="12" t="n">
        <v>3.001020408163265</v>
      </c>
      <c r="P16" s="11" t="n">
        <v>3028</v>
      </c>
      <c r="Q16" s="11" t="n">
        <v>0</v>
      </c>
      <c r="S16" s="10" t="n">
        <v>3920</v>
      </c>
    </row>
    <row r="17">
      <c r="D17" s="7" t="inlineStr">
        <is>
          <t>Colonial Pointe</t>
        </is>
      </c>
      <c r="E17" s="7" t="inlineStr">
        <is>
          <t>D-1D</t>
        </is>
      </c>
      <c r="F17" s="8" t="n">
        <v>1</v>
      </c>
      <c r="G17" s="9" t="n">
        <v>1</v>
      </c>
      <c r="H17" s="10" t="n">
        <v>980</v>
      </c>
      <c r="I17" s="10" t="n">
        <v>980</v>
      </c>
      <c r="J17" s="11" t="n">
        <v>3082</v>
      </c>
      <c r="K17" s="11" t="n">
        <v>3082</v>
      </c>
      <c r="L17" s="12" t="n">
        <v>3.144897959183674</v>
      </c>
      <c r="M17" s="11" t="n">
        <v>3082</v>
      </c>
      <c r="N17" s="11" t="n">
        <v>3082</v>
      </c>
      <c r="O17" s="12" t="n">
        <v>3.144897959183674</v>
      </c>
      <c r="P17" s="11" t="n">
        <v>3082</v>
      </c>
      <c r="Q17" s="11" t="n">
        <v>0</v>
      </c>
      <c r="S17" s="10" t="n">
        <v>980</v>
      </c>
    </row>
    <row r="18">
      <c r="D18" s="7" t="inlineStr">
        <is>
          <t>Colonial Pointe</t>
        </is>
      </c>
      <c r="E18" s="7" t="inlineStr">
        <is>
          <t>P-1</t>
        </is>
      </c>
      <c r="F18" s="8" t="n">
        <v>1</v>
      </c>
      <c r="G18" s="9" t="n">
        <v>1</v>
      </c>
      <c r="H18" s="10" t="n">
        <v>984</v>
      </c>
      <c r="I18" s="10" t="n">
        <v>984</v>
      </c>
      <c r="J18" s="11" t="n">
        <v>2710</v>
      </c>
      <c r="K18" s="11" t="n">
        <v>2710</v>
      </c>
      <c r="L18" s="12" t="n">
        <v>2.754065040650406</v>
      </c>
      <c r="M18" s="11" t="n">
        <v>2710</v>
      </c>
      <c r="N18" s="11" t="n">
        <v>2710</v>
      </c>
      <c r="O18" s="12" t="n">
        <v>2.754065040650406</v>
      </c>
      <c r="P18" s="11" t="n">
        <v>2710</v>
      </c>
      <c r="Q18" s="11" t="n">
        <v>0</v>
      </c>
      <c r="S18" s="10" t="n">
        <v>984</v>
      </c>
    </row>
    <row r="19">
      <c r="D19" s="7" t="inlineStr">
        <is>
          <t>Colonial Pointe</t>
        </is>
      </c>
      <c r="E19" s="7" t="inlineStr">
        <is>
          <t>P-1 AFF L</t>
        </is>
      </c>
      <c r="F19" s="8" t="n">
        <v>1</v>
      </c>
      <c r="G19" s="9" t="n">
        <v>1</v>
      </c>
      <c r="H19" s="10" t="n">
        <v>984</v>
      </c>
      <c r="I19" s="10" t="n">
        <v>984</v>
      </c>
      <c r="J19" s="11" t="n">
        <v>1133</v>
      </c>
      <c r="K19" s="11" t="n">
        <v>1133</v>
      </c>
      <c r="L19" s="12" t="n">
        <v>1.151422764227642</v>
      </c>
      <c r="M19" s="11" t="n">
        <v>1133</v>
      </c>
      <c r="N19" s="11" t="n">
        <v>1133</v>
      </c>
      <c r="O19" s="12" t="n">
        <v>1.151422764227642</v>
      </c>
      <c r="P19" s="11" t="n">
        <v>1133</v>
      </c>
      <c r="Q19" s="11" t="n">
        <v>0</v>
      </c>
      <c r="S19" s="10" t="n">
        <v>984</v>
      </c>
    </row>
    <row r="20">
      <c r="D20" s="7" t="inlineStr">
        <is>
          <t>Colonial Pointe</t>
        </is>
      </c>
      <c r="E20" s="7" t="inlineStr">
        <is>
          <t>M-2 AFF L</t>
        </is>
      </c>
      <c r="F20" s="8" t="n">
        <v>1</v>
      </c>
      <c r="G20" s="9" t="n">
        <v>1</v>
      </c>
      <c r="H20" s="10" t="n">
        <v>1047</v>
      </c>
      <c r="I20" s="10" t="n">
        <v>1047</v>
      </c>
      <c r="J20" s="11" t="n">
        <v>1073</v>
      </c>
      <c r="K20" s="11" t="n">
        <v>1073</v>
      </c>
      <c r="L20" s="12" t="n">
        <v>1.024832855778415</v>
      </c>
      <c r="M20" s="11" t="n">
        <v>1073</v>
      </c>
      <c r="N20" s="11" t="n">
        <v>1073</v>
      </c>
      <c r="O20" s="12" t="n">
        <v>1.024832855778415</v>
      </c>
      <c r="P20" s="11" t="n">
        <v>1073</v>
      </c>
      <c r="Q20" s="11" t="n">
        <v>0</v>
      </c>
      <c r="S20" s="10" t="n">
        <v>1047</v>
      </c>
    </row>
    <row r="21">
      <c r="D21" s="7" t="inlineStr">
        <is>
          <t>Colonial Pointe</t>
        </is>
      </c>
      <c r="E21" s="7" t="inlineStr">
        <is>
          <t>C-1D</t>
        </is>
      </c>
      <c r="F21" s="8" t="n">
        <v>1</v>
      </c>
      <c r="G21" s="9" t="n">
        <v>1</v>
      </c>
      <c r="H21" s="10" t="n">
        <v>1087</v>
      </c>
      <c r="I21" s="10" t="n">
        <v>1087</v>
      </c>
      <c r="J21" s="11" t="n">
        <v>2950</v>
      </c>
      <c r="K21" s="11" t="n">
        <v>2950</v>
      </c>
      <c r="L21" s="12" t="n">
        <v>2.713891444342226</v>
      </c>
      <c r="M21" s="11" t="n">
        <v>2950</v>
      </c>
      <c r="N21" s="11" t="n">
        <v>2950</v>
      </c>
      <c r="O21" s="12" t="n">
        <v>2.713891444342226</v>
      </c>
      <c r="P21" s="11" t="n">
        <v>2950</v>
      </c>
      <c r="Q21" s="11" t="n">
        <v>0</v>
      </c>
      <c r="S21" s="10" t="n">
        <v>1087</v>
      </c>
    </row>
    <row r="22">
      <c r="D22" s="7" t="inlineStr">
        <is>
          <t>Colonial Pointe</t>
        </is>
      </c>
      <c r="E22" s="7" t="inlineStr">
        <is>
          <t>K-2</t>
        </is>
      </c>
      <c r="F22" s="8" t="n">
        <v>12</v>
      </c>
      <c r="G22" s="9" t="n">
        <v>12</v>
      </c>
      <c r="H22" s="10" t="n">
        <v>13608</v>
      </c>
      <c r="I22" s="10" t="n">
        <v>1134</v>
      </c>
      <c r="J22" s="11" t="n">
        <v>42538</v>
      </c>
      <c r="K22" s="11" t="n">
        <v>3544.833333333333</v>
      </c>
      <c r="L22" s="12" t="n">
        <v>3.125955320399765</v>
      </c>
      <c r="M22" s="11" t="n">
        <v>42538</v>
      </c>
      <c r="N22" s="11" t="n">
        <v>3544.833333333333</v>
      </c>
      <c r="O22" s="12" t="n">
        <v>3.125955320399765</v>
      </c>
      <c r="P22" s="11" t="n">
        <v>3745</v>
      </c>
      <c r="Q22" s="11" t="n">
        <v>0</v>
      </c>
      <c r="S22" s="10" t="n">
        <v>13608</v>
      </c>
    </row>
    <row r="23">
      <c r="D23" s="7" t="inlineStr">
        <is>
          <t>Colonial Pointe</t>
        </is>
      </c>
      <c r="E23" s="7" t="inlineStr">
        <is>
          <t>F-2</t>
        </is>
      </c>
      <c r="F23" s="8" t="n">
        <v>9</v>
      </c>
      <c r="G23" s="9" t="n">
        <v>9</v>
      </c>
      <c r="H23" s="10" t="n">
        <v>10269</v>
      </c>
      <c r="I23" s="10" t="n">
        <v>1141</v>
      </c>
      <c r="J23" s="11" t="n">
        <v>31111</v>
      </c>
      <c r="K23" s="11" t="n">
        <v>3456.777777777778</v>
      </c>
      <c r="L23" s="12" t="n">
        <v>3.029603661505502</v>
      </c>
      <c r="M23" s="11" t="n">
        <v>31111</v>
      </c>
      <c r="N23" s="11" t="n">
        <v>3456.777777777778</v>
      </c>
      <c r="O23" s="12" t="n">
        <v>3.029603661505502</v>
      </c>
      <c r="P23" s="11" t="n">
        <v>3629</v>
      </c>
      <c r="Q23" s="11" t="n">
        <v>0</v>
      </c>
      <c r="S23" s="10" t="n">
        <v>10269</v>
      </c>
    </row>
    <row r="24">
      <c r="D24" s="7" t="inlineStr">
        <is>
          <t>Colonial Pointe</t>
        </is>
      </c>
      <c r="E24" s="7" t="inlineStr">
        <is>
          <t>E-2</t>
        </is>
      </c>
      <c r="F24" s="8" t="n">
        <v>18</v>
      </c>
      <c r="G24" s="9" t="n">
        <v>18</v>
      </c>
      <c r="H24" s="10" t="n">
        <v>20628</v>
      </c>
      <c r="I24" s="10" t="n">
        <v>1146</v>
      </c>
      <c r="J24" s="11" t="n">
        <v>63674</v>
      </c>
      <c r="K24" s="11" t="n">
        <v>3537.444444444444</v>
      </c>
      <c r="L24" s="12" t="n">
        <v>3.086775256932325</v>
      </c>
      <c r="M24" s="11" t="n">
        <v>63674</v>
      </c>
      <c r="N24" s="11" t="n">
        <v>3537.444444444444</v>
      </c>
      <c r="O24" s="12" t="n">
        <v>3.086775256932325</v>
      </c>
      <c r="P24" s="11" t="n">
        <v>3738</v>
      </c>
      <c r="Q24" s="11" t="n">
        <v>0</v>
      </c>
      <c r="S24" s="10" t="n">
        <v>20628</v>
      </c>
    </row>
    <row r="25">
      <c r="D25" s="7" t="inlineStr">
        <is>
          <t>Colonial Pointe</t>
        </is>
      </c>
      <c r="E25" s="7" t="inlineStr">
        <is>
          <t>M-3</t>
        </is>
      </c>
      <c r="F25" s="8" t="n">
        <v>0</v>
      </c>
      <c r="G25" s="9" t="n">
        <v>1</v>
      </c>
      <c r="H25" s="10" t="n">
        <v>1203</v>
      </c>
      <c r="I25" s="10" t="n">
        <v>1203</v>
      </c>
      <c r="J25" s="11" t="n">
        <v>2000</v>
      </c>
      <c r="K25" s="11" t="n">
        <v>2000</v>
      </c>
      <c r="L25" s="12" t="n">
        <v>1.662510390689942</v>
      </c>
      <c r="M25" s="11" t="n">
        <v>0</v>
      </c>
      <c r="N25" s="11" t="n"/>
      <c r="O25" s="12" t="n"/>
      <c r="P25" s="11" t="n">
        <v>0</v>
      </c>
      <c r="Q25" s="11" t="n">
        <v>0</v>
      </c>
      <c r="S25" s="10" t="n">
        <v>0</v>
      </c>
    </row>
    <row r="26">
      <c r="D26" s="7" t="inlineStr">
        <is>
          <t>Colonial Pointe</t>
        </is>
      </c>
      <c r="E26" s="7" t="inlineStr">
        <is>
          <t>M-3 AFF L</t>
        </is>
      </c>
      <c r="F26" s="8" t="n">
        <v>0</v>
      </c>
      <c r="G26" s="9" t="n">
        <v>1</v>
      </c>
      <c r="H26" s="10" t="n">
        <v>1203</v>
      </c>
      <c r="I26" s="10" t="n">
        <v>1203</v>
      </c>
      <c r="J26" s="11" t="n">
        <v>1650</v>
      </c>
      <c r="K26" s="11" t="n">
        <v>1650</v>
      </c>
      <c r="L26" s="12" t="n">
        <v>1.371571072319202</v>
      </c>
      <c r="M26" s="11" t="n">
        <v>0</v>
      </c>
      <c r="N26" s="11" t="n"/>
      <c r="O26" s="12" t="n"/>
      <c r="P26" s="11" t="n">
        <v>0</v>
      </c>
      <c r="Q26" s="11" t="n">
        <v>0</v>
      </c>
      <c r="S26" s="10" t="n">
        <v>0</v>
      </c>
    </row>
    <row r="27">
      <c r="D27" s="7" t="inlineStr">
        <is>
          <t>Colonial Pointe</t>
        </is>
      </c>
      <c r="E27" s="7" t="inlineStr">
        <is>
          <t>M-3 AFF M</t>
        </is>
      </c>
      <c r="F27" s="8" t="n">
        <v>2</v>
      </c>
      <c r="G27" s="9" t="n">
        <v>2</v>
      </c>
      <c r="H27" s="10" t="n">
        <v>2406</v>
      </c>
      <c r="I27" s="10" t="n">
        <v>1203</v>
      </c>
      <c r="J27" s="11" t="n">
        <v>3158</v>
      </c>
      <c r="K27" s="11" t="n">
        <v>1579</v>
      </c>
      <c r="L27" s="12" t="n">
        <v>1.312551953449709</v>
      </c>
      <c r="M27" s="11" t="n">
        <v>3158</v>
      </c>
      <c r="N27" s="11" t="n">
        <v>1579</v>
      </c>
      <c r="O27" s="12" t="n">
        <v>1.312551953449709</v>
      </c>
      <c r="P27" s="11" t="n">
        <v>1644</v>
      </c>
      <c r="Q27" s="11" t="n">
        <v>0</v>
      </c>
      <c r="S27" s="10" t="n">
        <v>2406</v>
      </c>
    </row>
    <row r="28">
      <c r="D28" s="7" t="inlineStr">
        <is>
          <t>Colonial Pointe</t>
        </is>
      </c>
      <c r="E28" s="7" t="inlineStr">
        <is>
          <t>M-3 AFF VL</t>
        </is>
      </c>
      <c r="F28" s="8" t="n">
        <v>1</v>
      </c>
      <c r="G28" s="9" t="n">
        <v>1</v>
      </c>
      <c r="H28" s="10" t="n">
        <v>1203</v>
      </c>
      <c r="I28" s="10" t="n">
        <v>1203</v>
      </c>
      <c r="J28" s="11" t="n">
        <v>887</v>
      </c>
      <c r="K28" s="11" t="n">
        <v>887</v>
      </c>
      <c r="L28" s="12" t="n">
        <v>0.7373233582709892</v>
      </c>
      <c r="M28" s="11" t="n">
        <v>887</v>
      </c>
      <c r="N28" s="11" t="n">
        <v>887</v>
      </c>
      <c r="O28" s="12" t="n">
        <v>0.7373233582709892</v>
      </c>
      <c r="P28" s="11" t="n">
        <v>887</v>
      </c>
      <c r="Q28" s="11" t="n">
        <v>0</v>
      </c>
      <c r="S28" s="10" t="n">
        <v>1203</v>
      </c>
    </row>
    <row r="29">
      <c r="D29" s="7" t="inlineStr">
        <is>
          <t>Colonial Pointe</t>
        </is>
      </c>
      <c r="E29" s="7" t="inlineStr">
        <is>
          <t>J-2</t>
        </is>
      </c>
      <c r="F29" s="8" t="n">
        <v>3</v>
      </c>
      <c r="G29" s="9" t="n">
        <v>3</v>
      </c>
      <c r="H29" s="10" t="n">
        <v>3627</v>
      </c>
      <c r="I29" s="10" t="n">
        <v>1209</v>
      </c>
      <c r="J29" s="11" t="n">
        <v>11108</v>
      </c>
      <c r="K29" s="11" t="n">
        <v>3702.666666666667</v>
      </c>
      <c r="L29" s="12" t="n">
        <v>3.062586159360353</v>
      </c>
      <c r="M29" s="11" t="n">
        <v>11108</v>
      </c>
      <c r="N29" s="11" t="n">
        <v>3702.666666666667</v>
      </c>
      <c r="O29" s="12" t="n">
        <v>3.062586159360353</v>
      </c>
      <c r="P29" s="11" t="n">
        <v>3814</v>
      </c>
      <c r="Q29" s="11" t="n">
        <v>0</v>
      </c>
      <c r="S29" s="10" t="n">
        <v>3627</v>
      </c>
    </row>
    <row r="30">
      <c r="D30" s="7" t="inlineStr">
        <is>
          <t>Colonial Pointe</t>
        </is>
      </c>
      <c r="E30" s="7" t="inlineStr">
        <is>
          <t>H-2D</t>
        </is>
      </c>
      <c r="F30" s="8" t="n">
        <v>2</v>
      </c>
      <c r="G30" s="9" t="n">
        <v>2</v>
      </c>
      <c r="H30" s="10" t="n">
        <v>2742</v>
      </c>
      <c r="I30" s="10" t="n">
        <v>1371</v>
      </c>
      <c r="J30" s="11" t="n">
        <v>8220</v>
      </c>
      <c r="K30" s="11" t="n">
        <v>4110</v>
      </c>
      <c r="L30" s="12" t="n">
        <v>2.99781181619256</v>
      </c>
      <c r="M30" s="11" t="n">
        <v>8220</v>
      </c>
      <c r="N30" s="11" t="n">
        <v>4110</v>
      </c>
      <c r="O30" s="12" t="n">
        <v>2.99781181619256</v>
      </c>
      <c r="P30" s="11" t="n">
        <v>4238</v>
      </c>
      <c r="Q30" s="11" t="n">
        <v>0</v>
      </c>
      <c r="S30" s="10" t="n">
        <v>2742</v>
      </c>
    </row>
    <row r="31">
      <c r="D31" s="7" t="inlineStr">
        <is>
          <t>Colonial Pointe</t>
        </is>
      </c>
      <c r="E31" s="7" t="inlineStr">
        <is>
          <t>G-2D</t>
        </is>
      </c>
      <c r="F31" s="8" t="n">
        <v>2</v>
      </c>
      <c r="G31" s="9" t="n">
        <v>2</v>
      </c>
      <c r="H31" s="10" t="n">
        <v>2868</v>
      </c>
      <c r="I31" s="10" t="n">
        <v>1434</v>
      </c>
      <c r="J31" s="11" t="n">
        <v>7864</v>
      </c>
      <c r="K31" s="11" t="n">
        <v>3932</v>
      </c>
      <c r="L31" s="12" t="n">
        <v>2.741980474198047</v>
      </c>
      <c r="M31" s="11" t="n">
        <v>7864</v>
      </c>
      <c r="N31" s="11" t="n">
        <v>3932</v>
      </c>
      <c r="O31" s="12" t="n">
        <v>2.741980474198047</v>
      </c>
      <c r="P31" s="11" t="n">
        <v>3964</v>
      </c>
      <c r="Q31" s="11" t="n">
        <v>0</v>
      </c>
      <c r="S31" s="10" t="n">
        <v>2868</v>
      </c>
    </row>
    <row r="32">
      <c r="D32" s="7" t="inlineStr">
        <is>
          <t>Colonial Pointe</t>
        </is>
      </c>
      <c r="E32" s="7" t="inlineStr">
        <is>
          <t>H1-2D</t>
        </is>
      </c>
      <c r="F32" s="8" t="n">
        <v>1</v>
      </c>
      <c r="G32" s="9" t="n">
        <v>1</v>
      </c>
      <c r="H32" s="10" t="n">
        <v>1505</v>
      </c>
      <c r="I32" s="10" t="n">
        <v>1505</v>
      </c>
      <c r="J32" s="11" t="n">
        <v>4065</v>
      </c>
      <c r="K32" s="11" t="n">
        <v>4065</v>
      </c>
      <c r="L32" s="12" t="n">
        <v>2.700996677740864</v>
      </c>
      <c r="M32" s="11" t="n">
        <v>4065</v>
      </c>
      <c r="N32" s="11" t="n">
        <v>4065</v>
      </c>
      <c r="O32" s="12" t="n">
        <v>2.700996677740864</v>
      </c>
      <c r="P32" s="11" t="n">
        <v>4065</v>
      </c>
      <c r="Q32" s="11" t="n">
        <v>0</v>
      </c>
      <c r="S32" s="10" t="n">
        <v>1505</v>
      </c>
    </row>
    <row r="33">
      <c r="C33" s="13" t="inlineStr">
        <is>
          <t>Total/Wtd Average</t>
        </is>
      </c>
      <c r="D33" s="13" t="n"/>
      <c r="E33" s="13" t="n"/>
      <c r="F33" s="14" t="n">
        <v>84</v>
      </c>
      <c r="G33" s="15" t="n">
        <v>88</v>
      </c>
      <c r="H33" s="16" t="n">
        <v>93570</v>
      </c>
      <c r="I33" s="16" t="n">
        <v>1063.295454545455</v>
      </c>
      <c r="J33" s="17" t="n">
        <v>251789</v>
      </c>
      <c r="K33" s="17" t="n">
        <v>2861.238636363636</v>
      </c>
      <c r="L33" s="18" t="n">
        <v>2.690915891845677</v>
      </c>
      <c r="M33" s="17" t="n">
        <v>244842</v>
      </c>
      <c r="N33" s="17" t="n">
        <v>2914.785714285714</v>
      </c>
      <c r="O33" s="18" t="n">
        <v>2.736459753671458</v>
      </c>
      <c r="P33" s="17" t="n">
        <v>2980.965909090909</v>
      </c>
      <c r="Q33" s="17" t="n">
        <v>0</v>
      </c>
      <c r="S33" s="16" t="n">
        <v>89474</v>
      </c>
    </row>
    <row r="35">
      <c r="C35" s="19" t="inlineStr">
        <is>
          <t>Total Units</t>
        </is>
      </c>
      <c r="D35" s="20" t="n"/>
      <c r="E35" s="20" t="n"/>
      <c r="F35" s="20" t="n"/>
      <c r="G35" s="21" t="n">
        <v>88</v>
      </c>
    </row>
    <row r="36">
      <c r="C36" s="19" t="inlineStr">
        <is>
          <t>Occupied Units</t>
        </is>
      </c>
      <c r="D36" s="20" t="n"/>
      <c r="E36" s="20" t="n"/>
      <c r="F36" s="20" t="n"/>
      <c r="G36" s="21" t="n">
        <v>84</v>
      </c>
    </row>
    <row r="37">
      <c r="C37" s="19" t="inlineStr">
        <is>
          <t>Unit Occupancy</t>
        </is>
      </c>
      <c r="D37" s="20" t="n"/>
      <c r="E37" s="20" t="n"/>
      <c r="F37" s="20" t="n"/>
      <c r="G37" s="22" t="n">
        <v>0.9545454545454546</v>
      </c>
    </row>
    <row r="38">
      <c r="C38" s="19" t="inlineStr">
        <is>
          <t>Total Square Feet</t>
        </is>
      </c>
      <c r="D38" s="20" t="n"/>
      <c r="E38" s="20" t="n"/>
      <c r="F38" s="20" t="n"/>
      <c r="G38" s="23" t="n">
        <v>93570</v>
      </c>
    </row>
    <row r="39">
      <c r="C39" s="19" t="inlineStr">
        <is>
          <t>Occupied Square Feet</t>
        </is>
      </c>
      <c r="D39" s="20" t="n"/>
      <c r="E39" s="20" t="n"/>
      <c r="F39" s="20" t="n"/>
      <c r="G39" s="23" t="n">
        <v>89474</v>
      </c>
    </row>
    <row r="40">
      <c r="C40" s="19" t="inlineStr">
        <is>
          <t>Square Feet Occupancy</t>
        </is>
      </c>
      <c r="D40" s="20" t="n"/>
      <c r="E40" s="20" t="n"/>
      <c r="F40" s="20" t="n"/>
      <c r="G40" s="22" t="n">
        <v>0.9562252858822272</v>
      </c>
    </row>
    <row r="42">
      <c r="C42" s="19" t="inlineStr">
        <is>
          <t>Market Rent Annualized</t>
        </is>
      </c>
      <c r="D42" s="20" t="n"/>
      <c r="E42" s="20" t="n"/>
      <c r="F42" s="20" t="n"/>
      <c r="G42" s="24" t="n">
        <v>3021468</v>
      </c>
    </row>
    <row r="43">
      <c r="C43" s="19" t="inlineStr">
        <is>
          <t>In-Place Rent Annualized</t>
        </is>
      </c>
      <c r="D43" s="20" t="n"/>
      <c r="E43" s="20" t="n"/>
      <c r="F43" s="20" t="n"/>
      <c r="G43" s="24" t="n">
        <v>2938104</v>
      </c>
    </row>
    <row r="44">
      <c r="C44" s="19" t="inlineStr">
        <is>
          <t>Other Income Annualized</t>
        </is>
      </c>
      <c r="D44" s="20" t="n"/>
      <c r="E44" s="20" t="n"/>
      <c r="F44" s="20" t="n"/>
      <c r="G44" s="24" t="n">
        <v>0</v>
      </c>
    </row>
    <row r="49">
      <c r="U49" s="25" t="inlineStr">
        <is>
          <t>Links from source data:</t>
        </is>
      </c>
    </row>
    <row r="50">
      <c r="U50" s="26" t="inlineStr">
        <is>
          <t>Total # units</t>
        </is>
      </c>
      <c r="W50" s="27" t="n">
        <v>88</v>
      </c>
    </row>
    <row r="51">
      <c r="U51" s="26" t="inlineStr">
        <is>
          <t>Occ Units</t>
        </is>
      </c>
      <c r="W51" s="27" t="n">
        <v>84</v>
      </c>
    </row>
    <row r="52">
      <c r="U52" s="26" t="inlineStr">
        <is>
          <t>Unit %Occ</t>
        </is>
      </c>
      <c r="W52" s="28" t="n">
        <v>0.9545454545454546</v>
      </c>
    </row>
    <row r="53">
      <c r="U53" s="26" t="inlineStr">
        <is>
          <t>Net Sq Ft</t>
        </is>
      </c>
      <c r="W53" s="27" t="n">
        <v>93570</v>
      </c>
    </row>
    <row r="54">
      <c r="U54" s="26" t="inlineStr">
        <is>
          <t>SF Occ</t>
        </is>
      </c>
      <c r="W54" s="27" t="n">
        <v>89474</v>
      </c>
    </row>
    <row r="55">
      <c r="U55" s="26" t="inlineStr">
        <is>
          <t>% SF Occ</t>
        </is>
      </c>
      <c r="W55" s="28" t="n">
        <v>0.9562252858822272</v>
      </c>
    </row>
    <row r="56">
      <c r="U56" s="26" t="inlineStr">
        <is>
          <t>Mkt Rent</t>
        </is>
      </c>
      <c r="W56" s="27" t="n">
        <v>251789</v>
      </c>
    </row>
    <row r="57">
      <c r="U57" s="26" t="inlineStr">
        <is>
          <t>Cont Rent</t>
        </is>
      </c>
      <c r="W57" s="27" t="n">
        <v>244842</v>
      </c>
    </row>
    <row r="58">
      <c r="U58" s="26" t="inlineStr">
        <is>
          <t>Conc</t>
        </is>
      </c>
      <c r="W58" s="27" t="n">
        <v>-2212</v>
      </c>
    </row>
    <row r="59">
      <c r="U59" s="26" t="inlineStr">
        <is>
          <t>Other Inc</t>
        </is>
      </c>
      <c r="W59" s="2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3:AB66"/>
  <sheetViews>
    <sheetView showGridLines="0" workbookViewId="0">
      <selection activeCell="A1" sqref="A1"/>
    </sheetView>
  </sheetViews>
  <sheetFormatPr baseColWidth="8" defaultRowHeight="15"/>
  <cols>
    <col width="0.6" customWidth="1" min="1" max="1"/>
    <col width="0.6" customWidth="1" min="3" max="3"/>
    <col width="28.4" customWidth="1" min="4" max="4"/>
    <col width="20.1" customWidth="1" min="5" max="5"/>
    <col width="13.6" customWidth="1" min="6" max="6"/>
    <col width="15.4" customWidth="1" min="7" max="7"/>
    <col width="13.6" customWidth="1" min="8" max="8"/>
    <col width="13.1" customWidth="1" min="9" max="9"/>
    <col width="15.4" customWidth="1" min="10" max="10"/>
    <col width="12.1" customWidth="1" min="11" max="11"/>
    <col width="14.4" customWidth="1" min="12" max="12"/>
    <col width="12.1" customWidth="1" min="14" max="14"/>
    <col width="9.6" customWidth="1" min="15" max="15"/>
    <col width="12.1" customWidth="1" min="16" max="16"/>
    <col width="9.6" customWidth="1" min="17" max="17"/>
    <col width="12.1" customWidth="1" min="18" max="18"/>
    <col width="9.6" customWidth="1" min="19" max="19"/>
    <col width="12.1" customWidth="1" min="20" max="20"/>
    <col width="9.6" customWidth="1" min="21" max="21"/>
    <col width="12.1" customWidth="1" min="22" max="22"/>
    <col width="9.6" customWidth="1" min="23" max="23"/>
    <col width="0.6" customWidth="1" min="24" max="24"/>
    <col width="16.4" customWidth="1" min="25" max="25"/>
    <col width="17.4" customWidth="1" min="26" max="26"/>
    <col width="9.4" customWidth="1" min="27" max="27"/>
  </cols>
  <sheetData>
    <row r="3">
      <c r="C3" s="1" t="inlineStr">
        <is>
          <t>RECENT LEASE SUMMARY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29" t="inlineStr">
        <is>
          <t>Colonial Pointe</t>
        </is>
      </c>
      <c r="Y3" s="30" t="n">
        <v>46112</v>
      </c>
      <c r="Z3" s="26" t="inlineStr">
        <is>
          <t>&lt;---- RR Date</t>
        </is>
      </c>
    </row>
    <row r="5">
      <c r="C5" s="31" t="inlineStr">
        <is>
          <t>All Units</t>
        </is>
      </c>
      <c r="D5" s="31" t="n"/>
      <c r="E5" s="31" t="n"/>
      <c r="F5" s="31" t="n"/>
      <c r="G5" s="31" t="n"/>
      <c r="H5" s="31" t="n"/>
      <c r="I5" s="31" t="n"/>
      <c r="J5" s="31" t="n"/>
      <c r="K5" s="32" t="inlineStr">
        <is>
          <t>Occupied Units</t>
        </is>
      </c>
      <c r="L5" s="31" t="n"/>
      <c r="M5" s="31" t="n"/>
      <c r="N5" s="32" t="inlineStr">
        <is>
          <t>Recent Leases</t>
        </is>
      </c>
      <c r="O5" s="31" t="n"/>
      <c r="P5" s="31" t="n"/>
      <c r="Q5" s="31" t="n"/>
      <c r="R5" s="31" t="n"/>
      <c r="S5" s="31" t="n"/>
      <c r="T5" s="31" t="n"/>
      <c r="U5" s="31" t="n"/>
      <c r="V5" s="31" t="n"/>
      <c r="W5" s="31" t="n"/>
    </row>
    <row r="6">
      <c r="C6" s="3" t="n"/>
      <c r="D6" s="4" t="inlineStr">
        <is>
          <t>Property Name</t>
        </is>
      </c>
      <c r="E6" s="4" t="inlineStr">
        <is>
          <t>Floor Plan</t>
        </is>
      </c>
      <c r="F6" s="5" t="inlineStr">
        <is>
          <t>Occ Units</t>
        </is>
      </c>
      <c r="G6" s="5" t="inlineStr">
        <is>
          <t>Tot Units</t>
        </is>
      </c>
      <c r="H6" s="5" t="inlineStr">
        <is>
          <t>Sq. Ft</t>
        </is>
      </c>
      <c r="I6" s="5" t="inlineStr">
        <is>
          <t>Avg SF</t>
        </is>
      </c>
      <c r="J6" s="5" t="inlineStr">
        <is>
          <t>Market Rent</t>
        </is>
      </c>
      <c r="K6" s="33" t="inlineStr">
        <is>
          <t>Market Rent</t>
        </is>
      </c>
      <c r="L6" s="5" t="inlineStr">
        <is>
          <t>In-Place Rent</t>
        </is>
      </c>
      <c r="M6" s="5" t="inlineStr">
        <is>
          <t>% of Market</t>
        </is>
      </c>
      <c r="N6" s="34" t="inlineStr">
        <is>
          <t>180 Days</t>
        </is>
      </c>
      <c r="O6" s="5" t="inlineStr">
        <is>
          <t># Leases</t>
        </is>
      </c>
      <c r="P6" s="35" t="inlineStr">
        <is>
          <t>120 Days</t>
        </is>
      </c>
      <c r="Q6" s="5" t="inlineStr">
        <is>
          <t># Leases</t>
        </is>
      </c>
      <c r="R6" s="35" t="inlineStr">
        <is>
          <t>90 Days</t>
        </is>
      </c>
      <c r="S6" s="5" t="inlineStr">
        <is>
          <t># Leases</t>
        </is>
      </c>
      <c r="T6" s="35" t="inlineStr">
        <is>
          <t>60 Days</t>
        </is>
      </c>
      <c r="U6" s="5" t="inlineStr">
        <is>
          <t># Leases</t>
        </is>
      </c>
      <c r="V6" s="35" t="inlineStr">
        <is>
          <t>30 Days</t>
        </is>
      </c>
      <c r="W6" s="5" t="inlineStr">
        <is>
          <t># Leases</t>
        </is>
      </c>
    </row>
    <row r="7">
      <c r="D7" s="36" t="inlineStr">
        <is>
          <t>Colonial Pointe</t>
        </is>
      </c>
      <c r="E7" s="36" t="inlineStr">
        <is>
          <t>Q-1</t>
        </is>
      </c>
      <c r="F7" s="37" t="n">
        <v>1</v>
      </c>
      <c r="G7" s="9" t="n">
        <v>1</v>
      </c>
      <c r="H7" s="10" t="n">
        <v>705</v>
      </c>
      <c r="I7" s="10" t="n">
        <v>705</v>
      </c>
      <c r="J7" s="11" t="n">
        <v>2300</v>
      </c>
      <c r="K7" s="38" t="n">
        <v>2300</v>
      </c>
      <c r="L7" s="11" t="n">
        <v>2300</v>
      </c>
      <c r="M7" s="39" t="n">
        <v>1</v>
      </c>
      <c r="N7" s="38" t="inlineStr">
        <is>
          <t>n/a</t>
        </is>
      </c>
      <c r="O7" s="40" t="n">
        <v>0</v>
      </c>
      <c r="P7" s="11" t="inlineStr">
        <is>
          <t>n/a</t>
        </is>
      </c>
      <c r="Q7" s="40" t="n">
        <v>0</v>
      </c>
      <c r="R7" s="11" t="inlineStr">
        <is>
          <t>n/a</t>
        </is>
      </c>
      <c r="S7" s="40" t="n">
        <v>0</v>
      </c>
      <c r="T7" s="11" t="inlineStr">
        <is>
          <t>n/a</t>
        </is>
      </c>
      <c r="U7" s="40" t="n">
        <v>0</v>
      </c>
      <c r="V7" s="11" t="inlineStr">
        <is>
          <t>n/a</t>
        </is>
      </c>
      <c r="W7" s="40" t="n">
        <v>0</v>
      </c>
    </row>
    <row r="8">
      <c r="D8" s="36" t="inlineStr">
        <is>
          <t>Colonial Pointe</t>
        </is>
      </c>
      <c r="E8" s="36" t="inlineStr">
        <is>
          <t>Q-1 AFF M</t>
        </is>
      </c>
      <c r="F8" s="37" t="n">
        <v>1</v>
      </c>
      <c r="G8" s="9" t="n">
        <v>1</v>
      </c>
      <c r="H8" s="10" t="n">
        <v>705</v>
      </c>
      <c r="I8" s="10" t="n">
        <v>705</v>
      </c>
      <c r="J8" s="11" t="n">
        <v>1123</v>
      </c>
      <c r="K8" s="38" t="n">
        <v>1123</v>
      </c>
      <c r="L8" s="11" t="n">
        <v>1123</v>
      </c>
      <c r="M8" s="39" t="n">
        <v>1</v>
      </c>
      <c r="N8" s="38" t="inlineStr">
        <is>
          <t>n/a</t>
        </is>
      </c>
      <c r="O8" s="40" t="n">
        <v>0</v>
      </c>
      <c r="P8" s="11" t="inlineStr">
        <is>
          <t>n/a</t>
        </is>
      </c>
      <c r="Q8" s="40" t="n">
        <v>0</v>
      </c>
      <c r="R8" s="11" t="inlineStr">
        <is>
          <t>n/a</t>
        </is>
      </c>
      <c r="S8" s="40" t="n">
        <v>0</v>
      </c>
      <c r="T8" s="11" t="inlineStr">
        <is>
          <t>n/a</t>
        </is>
      </c>
      <c r="U8" s="40" t="n">
        <v>0</v>
      </c>
      <c r="V8" s="11" t="inlineStr">
        <is>
          <t>n/a</t>
        </is>
      </c>
      <c r="W8" s="40" t="n">
        <v>0</v>
      </c>
    </row>
    <row r="9">
      <c r="D9" s="36" t="inlineStr">
        <is>
          <t>Colonial Pointe</t>
        </is>
      </c>
      <c r="E9" s="36" t="inlineStr">
        <is>
          <t>P1-1 AFF L</t>
        </is>
      </c>
      <c r="F9" s="37" t="n">
        <v>1</v>
      </c>
      <c r="G9" s="9" t="n">
        <v>1</v>
      </c>
      <c r="H9" s="10" t="n">
        <v>710</v>
      </c>
      <c r="I9" s="10" t="n">
        <v>710</v>
      </c>
      <c r="J9" s="11" t="n">
        <v>977</v>
      </c>
      <c r="K9" s="38" t="n">
        <v>977</v>
      </c>
      <c r="L9" s="11" t="n">
        <v>977</v>
      </c>
      <c r="M9" s="39" t="n">
        <v>1</v>
      </c>
      <c r="N9" s="38" t="inlineStr">
        <is>
          <t>n/a</t>
        </is>
      </c>
      <c r="O9" s="40" t="n">
        <v>0</v>
      </c>
      <c r="P9" s="11" t="inlineStr">
        <is>
          <t>n/a</t>
        </is>
      </c>
      <c r="Q9" s="40" t="n">
        <v>0</v>
      </c>
      <c r="R9" s="11" t="inlineStr">
        <is>
          <t>n/a</t>
        </is>
      </c>
      <c r="S9" s="40" t="n">
        <v>0</v>
      </c>
      <c r="T9" s="11" t="inlineStr">
        <is>
          <t>n/a</t>
        </is>
      </c>
      <c r="U9" s="40" t="n">
        <v>0</v>
      </c>
      <c r="V9" s="11" t="inlineStr">
        <is>
          <t>n/a</t>
        </is>
      </c>
      <c r="W9" s="40" t="n">
        <v>0</v>
      </c>
    </row>
    <row r="10">
      <c r="D10" s="36" t="inlineStr">
        <is>
          <t>Colonial Pointe</t>
        </is>
      </c>
      <c r="E10" s="36" t="inlineStr">
        <is>
          <t>A-1</t>
        </is>
      </c>
      <c r="F10" s="37" t="n">
        <v>10</v>
      </c>
      <c r="G10" s="9" t="n">
        <v>12</v>
      </c>
      <c r="H10" s="10" t="n">
        <v>10140</v>
      </c>
      <c r="I10" s="10" t="n">
        <v>845</v>
      </c>
      <c r="J10" s="11" t="n">
        <v>2659.583333333333</v>
      </c>
      <c r="K10" s="38" t="n">
        <v>2861.8</v>
      </c>
      <c r="L10" s="11" t="n">
        <v>2861.8</v>
      </c>
      <c r="M10" s="39" t="n">
        <v>1</v>
      </c>
      <c r="N10" s="38" t="inlineStr">
        <is>
          <t>n/a</t>
        </is>
      </c>
      <c r="O10" s="40" t="n">
        <v>0</v>
      </c>
      <c r="P10" s="11" t="inlineStr">
        <is>
          <t>n/a</t>
        </is>
      </c>
      <c r="Q10" s="40" t="n">
        <v>0</v>
      </c>
      <c r="R10" s="11" t="inlineStr">
        <is>
          <t>n/a</t>
        </is>
      </c>
      <c r="S10" s="40" t="n">
        <v>0</v>
      </c>
      <c r="T10" s="11" t="inlineStr">
        <is>
          <t>n/a</t>
        </is>
      </c>
      <c r="U10" s="40" t="n">
        <v>0</v>
      </c>
      <c r="V10" s="11" t="inlineStr">
        <is>
          <t>n/a</t>
        </is>
      </c>
      <c r="W10" s="40" t="n">
        <v>0</v>
      </c>
    </row>
    <row r="11">
      <c r="D11" s="36" t="inlineStr">
        <is>
          <t>Colonial Pointe</t>
        </is>
      </c>
      <c r="E11" s="36" t="inlineStr">
        <is>
          <t>L-2</t>
        </is>
      </c>
      <c r="F11" s="37" t="n">
        <v>2</v>
      </c>
      <c r="G11" s="9" t="n">
        <v>2</v>
      </c>
      <c r="H11" s="10" t="n">
        <v>1762</v>
      </c>
      <c r="I11" s="10" t="n">
        <v>881</v>
      </c>
      <c r="J11" s="11" t="n">
        <v>2640.5</v>
      </c>
      <c r="K11" s="38" t="n">
        <v>2640.5</v>
      </c>
      <c r="L11" s="11" t="n">
        <v>2640.5</v>
      </c>
      <c r="M11" s="39" t="n">
        <v>1</v>
      </c>
      <c r="N11" s="38" t="inlineStr">
        <is>
          <t>n/a</t>
        </is>
      </c>
      <c r="O11" s="40" t="n">
        <v>0</v>
      </c>
      <c r="P11" s="11" t="inlineStr">
        <is>
          <t>n/a</t>
        </is>
      </c>
      <c r="Q11" s="40" t="n">
        <v>0</v>
      </c>
      <c r="R11" s="11" t="inlineStr">
        <is>
          <t>n/a</t>
        </is>
      </c>
      <c r="S11" s="40" t="n">
        <v>0</v>
      </c>
      <c r="T11" s="11" t="inlineStr">
        <is>
          <t>n/a</t>
        </is>
      </c>
      <c r="U11" s="40" t="n">
        <v>0</v>
      </c>
      <c r="V11" s="11" t="inlineStr">
        <is>
          <t>n/a</t>
        </is>
      </c>
      <c r="W11" s="40" t="n">
        <v>0</v>
      </c>
    </row>
    <row r="12">
      <c r="D12" s="36" t="inlineStr">
        <is>
          <t>Colonial Pointe</t>
        </is>
      </c>
      <c r="E12" s="36" t="inlineStr">
        <is>
          <t>L-2 AFF M</t>
        </is>
      </c>
      <c r="F12" s="37" t="n">
        <v>2</v>
      </c>
      <c r="G12" s="9" t="n">
        <v>2</v>
      </c>
      <c r="H12" s="10" t="n">
        <v>1762</v>
      </c>
      <c r="I12" s="10" t="n">
        <v>881</v>
      </c>
      <c r="J12" s="11" t="n">
        <v>1425.5</v>
      </c>
      <c r="K12" s="38" t="n">
        <v>1425.5</v>
      </c>
      <c r="L12" s="11" t="n">
        <v>1425.5</v>
      </c>
      <c r="M12" s="39" t="n">
        <v>1</v>
      </c>
      <c r="N12" s="38" t="inlineStr">
        <is>
          <t>n/a</t>
        </is>
      </c>
      <c r="O12" s="40" t="n">
        <v>0</v>
      </c>
      <c r="P12" s="11" t="inlineStr">
        <is>
          <t>n/a</t>
        </is>
      </c>
      <c r="Q12" s="40" t="n">
        <v>0</v>
      </c>
      <c r="R12" s="11" t="inlineStr">
        <is>
          <t>n/a</t>
        </is>
      </c>
      <c r="S12" s="40" t="n">
        <v>0</v>
      </c>
      <c r="T12" s="11" t="inlineStr">
        <is>
          <t>n/a</t>
        </is>
      </c>
      <c r="U12" s="40" t="n">
        <v>0</v>
      </c>
      <c r="V12" s="11" t="inlineStr">
        <is>
          <t>n/a</t>
        </is>
      </c>
      <c r="W12" s="40" t="n">
        <v>0</v>
      </c>
    </row>
    <row r="13">
      <c r="D13" s="36" t="inlineStr">
        <is>
          <t>Colonial Pointe</t>
        </is>
      </c>
      <c r="E13" s="36" t="inlineStr">
        <is>
          <t>L-2 AFF VL</t>
        </is>
      </c>
      <c r="F13" s="37" t="n">
        <v>2</v>
      </c>
      <c r="G13" s="9" t="n">
        <v>2</v>
      </c>
      <c r="H13" s="10" t="n">
        <v>1762</v>
      </c>
      <c r="I13" s="10" t="n">
        <v>881</v>
      </c>
      <c r="J13" s="11" t="n">
        <v>664.5</v>
      </c>
      <c r="K13" s="38" t="n">
        <v>664.5</v>
      </c>
      <c r="L13" s="11" t="n">
        <v>664.5</v>
      </c>
      <c r="M13" s="39" t="n">
        <v>1</v>
      </c>
      <c r="N13" s="38" t="inlineStr">
        <is>
          <t>n/a</t>
        </is>
      </c>
      <c r="O13" s="40" t="n">
        <v>0</v>
      </c>
      <c r="P13" s="11" t="inlineStr">
        <is>
          <t>n/a</t>
        </is>
      </c>
      <c r="Q13" s="40" t="n">
        <v>0</v>
      </c>
      <c r="R13" s="11" t="inlineStr">
        <is>
          <t>n/a</t>
        </is>
      </c>
      <c r="S13" s="40" t="n">
        <v>0</v>
      </c>
      <c r="T13" s="11" t="inlineStr">
        <is>
          <t>n/a</t>
        </is>
      </c>
      <c r="U13" s="40" t="n">
        <v>0</v>
      </c>
      <c r="V13" s="11" t="inlineStr">
        <is>
          <t>n/a</t>
        </is>
      </c>
      <c r="W13" s="40" t="n">
        <v>0</v>
      </c>
    </row>
    <row r="14">
      <c r="D14" s="36" t="inlineStr">
        <is>
          <t>Colonial Pointe</t>
        </is>
      </c>
      <c r="E14" s="36" t="inlineStr">
        <is>
          <t>N-2 AFF L</t>
        </is>
      </c>
      <c r="F14" s="37" t="n">
        <v>1</v>
      </c>
      <c r="G14" s="9" t="n">
        <v>1</v>
      </c>
      <c r="H14" s="10" t="n">
        <v>960</v>
      </c>
      <c r="I14" s="10" t="n">
        <v>960</v>
      </c>
      <c r="J14" s="11" t="n">
        <v>1073</v>
      </c>
      <c r="K14" s="38" t="n">
        <v>1073</v>
      </c>
      <c r="L14" s="11" t="n">
        <v>1073</v>
      </c>
      <c r="M14" s="39" t="n">
        <v>1</v>
      </c>
      <c r="N14" s="38" t="inlineStr">
        <is>
          <t>n/a</t>
        </is>
      </c>
      <c r="O14" s="40" t="n">
        <v>0</v>
      </c>
      <c r="P14" s="11" t="inlineStr">
        <is>
          <t>n/a</t>
        </is>
      </c>
      <c r="Q14" s="40" t="n">
        <v>0</v>
      </c>
      <c r="R14" s="11" t="inlineStr">
        <is>
          <t>n/a</t>
        </is>
      </c>
      <c r="S14" s="40" t="n">
        <v>0</v>
      </c>
      <c r="T14" s="11" t="inlineStr">
        <is>
          <t>n/a</t>
        </is>
      </c>
      <c r="U14" s="40" t="n">
        <v>0</v>
      </c>
      <c r="V14" s="11" t="inlineStr">
        <is>
          <t>n/a</t>
        </is>
      </c>
      <c r="W14" s="40" t="n">
        <v>0</v>
      </c>
    </row>
    <row r="15">
      <c r="D15" s="36" t="inlineStr">
        <is>
          <t>Colonial Pointe</t>
        </is>
      </c>
      <c r="E15" s="36" t="inlineStr">
        <is>
          <t>N-2 AFF M</t>
        </is>
      </c>
      <c r="F15" s="37" t="n">
        <v>4</v>
      </c>
      <c r="G15" s="9" t="n">
        <v>4</v>
      </c>
      <c r="H15" s="10" t="n">
        <v>3840</v>
      </c>
      <c r="I15" s="10" t="n">
        <v>960</v>
      </c>
      <c r="J15" s="11" t="n">
        <v>1332.5</v>
      </c>
      <c r="K15" s="38" t="n">
        <v>1332.5</v>
      </c>
      <c r="L15" s="11" t="n">
        <v>1332.5</v>
      </c>
      <c r="M15" s="39" t="n">
        <v>1</v>
      </c>
      <c r="N15" s="38" t="inlineStr">
        <is>
          <t>n/a</t>
        </is>
      </c>
      <c r="O15" s="40" t="n">
        <v>0</v>
      </c>
      <c r="P15" s="11" t="inlineStr">
        <is>
          <t>n/a</t>
        </is>
      </c>
      <c r="Q15" s="40" t="n">
        <v>0</v>
      </c>
      <c r="R15" s="11" t="inlineStr">
        <is>
          <t>n/a</t>
        </is>
      </c>
      <c r="S15" s="40" t="n">
        <v>0</v>
      </c>
      <c r="T15" s="11" t="inlineStr">
        <is>
          <t>n/a</t>
        </is>
      </c>
      <c r="U15" s="40" t="n">
        <v>0</v>
      </c>
      <c r="V15" s="11" t="inlineStr">
        <is>
          <t>n/a</t>
        </is>
      </c>
      <c r="W15" s="40" t="n">
        <v>0</v>
      </c>
    </row>
    <row r="16">
      <c r="D16" s="36" t="inlineStr">
        <is>
          <t>Colonial Pointe</t>
        </is>
      </c>
      <c r="E16" s="36" t="inlineStr">
        <is>
          <t>N-2 AFF VL</t>
        </is>
      </c>
      <c r="F16" s="37" t="n">
        <v>1</v>
      </c>
      <c r="G16" s="9" t="n">
        <v>1</v>
      </c>
      <c r="H16" s="10" t="n">
        <v>960</v>
      </c>
      <c r="I16" s="10" t="n">
        <v>960</v>
      </c>
      <c r="J16" s="11" t="n">
        <v>623</v>
      </c>
      <c r="K16" s="38" t="n">
        <v>623</v>
      </c>
      <c r="L16" s="11" t="n">
        <v>623</v>
      </c>
      <c r="M16" s="39" t="n">
        <v>1</v>
      </c>
      <c r="N16" s="38" t="inlineStr">
        <is>
          <t>n/a</t>
        </is>
      </c>
      <c r="O16" s="40" t="n">
        <v>0</v>
      </c>
      <c r="P16" s="11" t="inlineStr">
        <is>
          <t>n/a</t>
        </is>
      </c>
      <c r="Q16" s="40" t="n">
        <v>0</v>
      </c>
      <c r="R16" s="11" t="inlineStr">
        <is>
          <t>n/a</t>
        </is>
      </c>
      <c r="S16" s="40" t="n">
        <v>0</v>
      </c>
      <c r="T16" s="11" t="inlineStr">
        <is>
          <t>n/a</t>
        </is>
      </c>
      <c r="U16" s="40" t="n">
        <v>0</v>
      </c>
      <c r="V16" s="11" t="inlineStr">
        <is>
          <t>n/a</t>
        </is>
      </c>
      <c r="W16" s="40" t="n">
        <v>0</v>
      </c>
    </row>
    <row r="17">
      <c r="D17" s="36" t="inlineStr">
        <is>
          <t>Colonial Pointe</t>
        </is>
      </c>
      <c r="E17" s="36" t="inlineStr">
        <is>
          <t>B-1D</t>
        </is>
      </c>
      <c r="F17" s="37" t="n">
        <v>4</v>
      </c>
      <c r="G17" s="9" t="n">
        <v>4</v>
      </c>
      <c r="H17" s="10" t="n">
        <v>3920</v>
      </c>
      <c r="I17" s="10" t="n">
        <v>980</v>
      </c>
      <c r="J17" s="11" t="n">
        <v>2941</v>
      </c>
      <c r="K17" s="38" t="n">
        <v>2941</v>
      </c>
      <c r="L17" s="11" t="n">
        <v>2941</v>
      </c>
      <c r="M17" s="39" t="n">
        <v>1</v>
      </c>
      <c r="N17" s="38" t="inlineStr">
        <is>
          <t>n/a</t>
        </is>
      </c>
      <c r="O17" s="40" t="n">
        <v>0</v>
      </c>
      <c r="P17" s="11" t="inlineStr">
        <is>
          <t>n/a</t>
        </is>
      </c>
      <c r="Q17" s="40" t="n">
        <v>0</v>
      </c>
      <c r="R17" s="11" t="inlineStr">
        <is>
          <t>n/a</t>
        </is>
      </c>
      <c r="S17" s="40" t="n">
        <v>0</v>
      </c>
      <c r="T17" s="11" t="inlineStr">
        <is>
          <t>n/a</t>
        </is>
      </c>
      <c r="U17" s="40" t="n">
        <v>0</v>
      </c>
      <c r="V17" s="11" t="inlineStr">
        <is>
          <t>n/a</t>
        </is>
      </c>
      <c r="W17" s="40" t="n">
        <v>0</v>
      </c>
    </row>
    <row r="18">
      <c r="D18" s="36" t="inlineStr">
        <is>
          <t>Colonial Pointe</t>
        </is>
      </c>
      <c r="E18" s="36" t="inlineStr">
        <is>
          <t>D-1D</t>
        </is>
      </c>
      <c r="F18" s="37" t="n">
        <v>1</v>
      </c>
      <c r="G18" s="9" t="n">
        <v>1</v>
      </c>
      <c r="H18" s="10" t="n">
        <v>980</v>
      </c>
      <c r="I18" s="10" t="n">
        <v>980</v>
      </c>
      <c r="J18" s="11" t="n">
        <v>3082</v>
      </c>
      <c r="K18" s="38" t="n">
        <v>3082</v>
      </c>
      <c r="L18" s="11" t="n">
        <v>3082</v>
      </c>
      <c r="M18" s="39" t="n">
        <v>1</v>
      </c>
      <c r="N18" s="38" t="inlineStr">
        <is>
          <t>n/a</t>
        </is>
      </c>
      <c r="O18" s="40" t="n">
        <v>0</v>
      </c>
      <c r="P18" s="11" t="inlineStr">
        <is>
          <t>n/a</t>
        </is>
      </c>
      <c r="Q18" s="40" t="n">
        <v>0</v>
      </c>
      <c r="R18" s="11" t="inlineStr">
        <is>
          <t>n/a</t>
        </is>
      </c>
      <c r="S18" s="40" t="n">
        <v>0</v>
      </c>
      <c r="T18" s="11" t="inlineStr">
        <is>
          <t>n/a</t>
        </is>
      </c>
      <c r="U18" s="40" t="n">
        <v>0</v>
      </c>
      <c r="V18" s="11" t="inlineStr">
        <is>
          <t>n/a</t>
        </is>
      </c>
      <c r="W18" s="40" t="n">
        <v>0</v>
      </c>
    </row>
    <row r="19">
      <c r="D19" s="36" t="inlineStr">
        <is>
          <t>Colonial Pointe</t>
        </is>
      </c>
      <c r="E19" s="36" t="inlineStr">
        <is>
          <t>P-1</t>
        </is>
      </c>
      <c r="F19" s="37" t="n">
        <v>1</v>
      </c>
      <c r="G19" s="9" t="n">
        <v>1</v>
      </c>
      <c r="H19" s="10" t="n">
        <v>984</v>
      </c>
      <c r="I19" s="10" t="n">
        <v>984</v>
      </c>
      <c r="J19" s="11" t="n">
        <v>2710</v>
      </c>
      <c r="K19" s="38" t="n">
        <v>2710</v>
      </c>
      <c r="L19" s="11" t="n">
        <v>2710</v>
      </c>
      <c r="M19" s="39" t="n">
        <v>1</v>
      </c>
      <c r="N19" s="38" t="inlineStr">
        <is>
          <t>n/a</t>
        </is>
      </c>
      <c r="O19" s="40" t="n">
        <v>0</v>
      </c>
      <c r="P19" s="11" t="inlineStr">
        <is>
          <t>n/a</t>
        </is>
      </c>
      <c r="Q19" s="40" t="n">
        <v>0</v>
      </c>
      <c r="R19" s="11" t="inlineStr">
        <is>
          <t>n/a</t>
        </is>
      </c>
      <c r="S19" s="40" t="n">
        <v>0</v>
      </c>
      <c r="T19" s="11" t="inlineStr">
        <is>
          <t>n/a</t>
        </is>
      </c>
      <c r="U19" s="40" t="n">
        <v>0</v>
      </c>
      <c r="V19" s="11" t="inlineStr">
        <is>
          <t>n/a</t>
        </is>
      </c>
      <c r="W19" s="40" t="n">
        <v>0</v>
      </c>
    </row>
    <row r="20">
      <c r="D20" s="36" t="inlineStr">
        <is>
          <t>Colonial Pointe</t>
        </is>
      </c>
      <c r="E20" s="36" t="inlineStr">
        <is>
          <t>P-1 AFF L</t>
        </is>
      </c>
      <c r="F20" s="37" t="n">
        <v>1</v>
      </c>
      <c r="G20" s="9" t="n">
        <v>1</v>
      </c>
      <c r="H20" s="10" t="n">
        <v>984</v>
      </c>
      <c r="I20" s="10" t="n">
        <v>984</v>
      </c>
      <c r="J20" s="11" t="n">
        <v>1133</v>
      </c>
      <c r="K20" s="38" t="n">
        <v>1133</v>
      </c>
      <c r="L20" s="11" t="n">
        <v>1133</v>
      </c>
      <c r="M20" s="39" t="n">
        <v>1</v>
      </c>
      <c r="N20" s="38" t="inlineStr">
        <is>
          <t>n/a</t>
        </is>
      </c>
      <c r="O20" s="40" t="n">
        <v>0</v>
      </c>
      <c r="P20" s="11" t="inlineStr">
        <is>
          <t>n/a</t>
        </is>
      </c>
      <c r="Q20" s="40" t="n">
        <v>0</v>
      </c>
      <c r="R20" s="11" t="inlineStr">
        <is>
          <t>n/a</t>
        </is>
      </c>
      <c r="S20" s="40" t="n">
        <v>0</v>
      </c>
      <c r="T20" s="11" t="inlineStr">
        <is>
          <t>n/a</t>
        </is>
      </c>
      <c r="U20" s="40" t="n">
        <v>0</v>
      </c>
      <c r="V20" s="11" t="inlineStr">
        <is>
          <t>n/a</t>
        </is>
      </c>
      <c r="W20" s="40" t="n">
        <v>0</v>
      </c>
    </row>
    <row r="21">
      <c r="D21" s="36" t="inlineStr">
        <is>
          <t>Colonial Pointe</t>
        </is>
      </c>
      <c r="E21" s="36" t="inlineStr">
        <is>
          <t>M-2 AFF L</t>
        </is>
      </c>
      <c r="F21" s="37" t="n">
        <v>1</v>
      </c>
      <c r="G21" s="9" t="n">
        <v>1</v>
      </c>
      <c r="H21" s="10" t="n">
        <v>1047</v>
      </c>
      <c r="I21" s="10" t="n">
        <v>1047</v>
      </c>
      <c r="J21" s="11" t="n">
        <v>1073</v>
      </c>
      <c r="K21" s="38" t="n">
        <v>1073</v>
      </c>
      <c r="L21" s="11" t="n">
        <v>1073</v>
      </c>
      <c r="M21" s="39" t="n">
        <v>1</v>
      </c>
      <c r="N21" s="38" t="inlineStr">
        <is>
          <t>n/a</t>
        </is>
      </c>
      <c r="O21" s="40" t="n">
        <v>0</v>
      </c>
      <c r="P21" s="11" t="inlineStr">
        <is>
          <t>n/a</t>
        </is>
      </c>
      <c r="Q21" s="40" t="n">
        <v>0</v>
      </c>
      <c r="R21" s="11" t="inlineStr">
        <is>
          <t>n/a</t>
        </is>
      </c>
      <c r="S21" s="40" t="n">
        <v>0</v>
      </c>
      <c r="T21" s="11" t="inlineStr">
        <is>
          <t>n/a</t>
        </is>
      </c>
      <c r="U21" s="40" t="n">
        <v>0</v>
      </c>
      <c r="V21" s="11" t="inlineStr">
        <is>
          <t>n/a</t>
        </is>
      </c>
      <c r="W21" s="40" t="n">
        <v>0</v>
      </c>
    </row>
    <row r="22">
      <c r="D22" s="36" t="inlineStr">
        <is>
          <t>Colonial Pointe</t>
        </is>
      </c>
      <c r="E22" s="36" t="inlineStr">
        <is>
          <t>C-1D</t>
        </is>
      </c>
      <c r="F22" s="37" t="n">
        <v>1</v>
      </c>
      <c r="G22" s="9" t="n">
        <v>1</v>
      </c>
      <c r="H22" s="10" t="n">
        <v>1087</v>
      </c>
      <c r="I22" s="10" t="n">
        <v>1087</v>
      </c>
      <c r="J22" s="11" t="n">
        <v>2950</v>
      </c>
      <c r="K22" s="38" t="n">
        <v>2950</v>
      </c>
      <c r="L22" s="11" t="n">
        <v>2950</v>
      </c>
      <c r="M22" s="39" t="n">
        <v>1</v>
      </c>
      <c r="N22" s="38" t="inlineStr">
        <is>
          <t>n/a</t>
        </is>
      </c>
      <c r="O22" s="40" t="n">
        <v>0</v>
      </c>
      <c r="P22" s="11" t="inlineStr">
        <is>
          <t>n/a</t>
        </is>
      </c>
      <c r="Q22" s="40" t="n">
        <v>0</v>
      </c>
      <c r="R22" s="11" t="inlineStr">
        <is>
          <t>n/a</t>
        </is>
      </c>
      <c r="S22" s="40" t="n">
        <v>0</v>
      </c>
      <c r="T22" s="11" t="inlineStr">
        <is>
          <t>n/a</t>
        </is>
      </c>
      <c r="U22" s="40" t="n">
        <v>0</v>
      </c>
      <c r="V22" s="11" t="inlineStr">
        <is>
          <t>n/a</t>
        </is>
      </c>
      <c r="W22" s="40" t="n">
        <v>0</v>
      </c>
    </row>
    <row r="23">
      <c r="D23" s="36" t="inlineStr">
        <is>
          <t>Colonial Pointe</t>
        </is>
      </c>
      <c r="E23" s="36" t="inlineStr">
        <is>
          <t>K-2</t>
        </is>
      </c>
      <c r="F23" s="37" t="n">
        <v>12</v>
      </c>
      <c r="G23" s="9" t="n">
        <v>12</v>
      </c>
      <c r="H23" s="10" t="n">
        <v>13608</v>
      </c>
      <c r="I23" s="10" t="n">
        <v>1134</v>
      </c>
      <c r="J23" s="11" t="n">
        <v>3544.833333333333</v>
      </c>
      <c r="K23" s="38" t="n">
        <v>3544.833333333333</v>
      </c>
      <c r="L23" s="11" t="n">
        <v>3544.833333333333</v>
      </c>
      <c r="M23" s="39" t="n">
        <v>1</v>
      </c>
      <c r="N23" s="38" t="inlineStr">
        <is>
          <t>n/a</t>
        </is>
      </c>
      <c r="O23" s="40" t="n">
        <v>0</v>
      </c>
      <c r="P23" s="11" t="inlineStr">
        <is>
          <t>n/a</t>
        </is>
      </c>
      <c r="Q23" s="40" t="n">
        <v>0</v>
      </c>
      <c r="R23" s="11" t="inlineStr">
        <is>
          <t>n/a</t>
        </is>
      </c>
      <c r="S23" s="40" t="n">
        <v>0</v>
      </c>
      <c r="T23" s="11" t="inlineStr">
        <is>
          <t>n/a</t>
        </is>
      </c>
      <c r="U23" s="40" t="n">
        <v>0</v>
      </c>
      <c r="V23" s="11" t="inlineStr">
        <is>
          <t>n/a</t>
        </is>
      </c>
      <c r="W23" s="40" t="n">
        <v>0</v>
      </c>
    </row>
    <row r="24">
      <c r="D24" s="36" t="inlineStr">
        <is>
          <t>Colonial Pointe</t>
        </is>
      </c>
      <c r="E24" s="36" t="inlineStr">
        <is>
          <t>F-2</t>
        </is>
      </c>
      <c r="F24" s="37" t="n">
        <v>9</v>
      </c>
      <c r="G24" s="9" t="n">
        <v>9</v>
      </c>
      <c r="H24" s="10" t="n">
        <v>10269</v>
      </c>
      <c r="I24" s="10" t="n">
        <v>1141</v>
      </c>
      <c r="J24" s="11" t="n">
        <v>3456.777777777778</v>
      </c>
      <c r="K24" s="38" t="n">
        <v>3456.777777777778</v>
      </c>
      <c r="L24" s="11" t="n">
        <v>3456.777777777778</v>
      </c>
      <c r="M24" s="39" t="n">
        <v>1</v>
      </c>
      <c r="N24" s="38" t="inlineStr">
        <is>
          <t>n/a</t>
        </is>
      </c>
      <c r="O24" s="40" t="n">
        <v>0</v>
      </c>
      <c r="P24" s="11" t="inlineStr">
        <is>
          <t>n/a</t>
        </is>
      </c>
      <c r="Q24" s="40" t="n">
        <v>0</v>
      </c>
      <c r="R24" s="11" t="inlineStr">
        <is>
          <t>n/a</t>
        </is>
      </c>
      <c r="S24" s="40" t="n">
        <v>0</v>
      </c>
      <c r="T24" s="11" t="inlineStr">
        <is>
          <t>n/a</t>
        </is>
      </c>
      <c r="U24" s="40" t="n">
        <v>0</v>
      </c>
      <c r="V24" s="11" t="inlineStr">
        <is>
          <t>n/a</t>
        </is>
      </c>
      <c r="W24" s="40" t="n">
        <v>0</v>
      </c>
    </row>
    <row r="25">
      <c r="D25" s="36" t="inlineStr">
        <is>
          <t>Colonial Pointe</t>
        </is>
      </c>
      <c r="E25" s="36" t="inlineStr">
        <is>
          <t>E-2</t>
        </is>
      </c>
      <c r="F25" s="37" t="n">
        <v>18</v>
      </c>
      <c r="G25" s="9" t="n">
        <v>18</v>
      </c>
      <c r="H25" s="10" t="n">
        <v>20628</v>
      </c>
      <c r="I25" s="10" t="n">
        <v>1146</v>
      </c>
      <c r="J25" s="11" t="n">
        <v>3537.444444444444</v>
      </c>
      <c r="K25" s="38" t="n">
        <v>3537.444444444444</v>
      </c>
      <c r="L25" s="11" t="n">
        <v>3537.444444444444</v>
      </c>
      <c r="M25" s="39" t="n">
        <v>1</v>
      </c>
      <c r="N25" s="38" t="inlineStr">
        <is>
          <t>n/a</t>
        </is>
      </c>
      <c r="O25" s="40" t="n">
        <v>0</v>
      </c>
      <c r="P25" s="11" t="inlineStr">
        <is>
          <t>n/a</t>
        </is>
      </c>
      <c r="Q25" s="40" t="n">
        <v>0</v>
      </c>
      <c r="R25" s="11" t="inlineStr">
        <is>
          <t>n/a</t>
        </is>
      </c>
      <c r="S25" s="40" t="n">
        <v>0</v>
      </c>
      <c r="T25" s="11" t="inlineStr">
        <is>
          <t>n/a</t>
        </is>
      </c>
      <c r="U25" s="40" t="n">
        <v>0</v>
      </c>
      <c r="V25" s="11" t="inlineStr">
        <is>
          <t>n/a</t>
        </is>
      </c>
      <c r="W25" s="40" t="n">
        <v>0</v>
      </c>
    </row>
    <row r="26">
      <c r="D26" s="36" t="inlineStr">
        <is>
          <t>Colonial Pointe</t>
        </is>
      </c>
      <c r="E26" s="36" t="inlineStr">
        <is>
          <t>M-3</t>
        </is>
      </c>
      <c r="F26" s="37" t="n">
        <v>0</v>
      </c>
      <c r="G26" s="9" t="n">
        <v>1</v>
      </c>
      <c r="H26" s="10" t="n">
        <v>1203</v>
      </c>
      <c r="I26" s="10" t="n">
        <v>1203</v>
      </c>
      <c r="J26" s="11" t="n">
        <v>2000</v>
      </c>
      <c r="K26" s="38" t="n">
        <v>0</v>
      </c>
      <c r="L26" s="11" t="n"/>
      <c r="M26" s="39" t="n"/>
      <c r="N26" s="38" t="inlineStr">
        <is>
          <t>n/a</t>
        </is>
      </c>
      <c r="O26" s="40" t="n">
        <v>0</v>
      </c>
      <c r="P26" s="11" t="inlineStr">
        <is>
          <t>n/a</t>
        </is>
      </c>
      <c r="Q26" s="40" t="n">
        <v>0</v>
      </c>
      <c r="R26" s="11" t="inlineStr">
        <is>
          <t>n/a</t>
        </is>
      </c>
      <c r="S26" s="40" t="n">
        <v>0</v>
      </c>
      <c r="T26" s="11" t="inlineStr">
        <is>
          <t>n/a</t>
        </is>
      </c>
      <c r="U26" s="40" t="n">
        <v>0</v>
      </c>
      <c r="V26" s="11" t="inlineStr">
        <is>
          <t>n/a</t>
        </is>
      </c>
      <c r="W26" s="40" t="n">
        <v>0</v>
      </c>
    </row>
    <row r="27">
      <c r="D27" s="36" t="inlineStr">
        <is>
          <t>Colonial Pointe</t>
        </is>
      </c>
      <c r="E27" s="36" t="inlineStr">
        <is>
          <t>M-3 AFF L</t>
        </is>
      </c>
      <c r="F27" s="37" t="n">
        <v>0</v>
      </c>
      <c r="G27" s="9" t="n">
        <v>1</v>
      </c>
      <c r="H27" s="10" t="n">
        <v>1203</v>
      </c>
      <c r="I27" s="10" t="n">
        <v>1203</v>
      </c>
      <c r="J27" s="11" t="n">
        <v>1650</v>
      </c>
      <c r="K27" s="38" t="n">
        <v>0</v>
      </c>
      <c r="L27" s="11" t="n"/>
      <c r="M27" s="39" t="n"/>
      <c r="N27" s="38" t="inlineStr">
        <is>
          <t>n/a</t>
        </is>
      </c>
      <c r="O27" s="40" t="n">
        <v>0</v>
      </c>
      <c r="P27" s="11" t="inlineStr">
        <is>
          <t>n/a</t>
        </is>
      </c>
      <c r="Q27" s="40" t="n">
        <v>0</v>
      </c>
      <c r="R27" s="11" t="inlineStr">
        <is>
          <t>n/a</t>
        </is>
      </c>
      <c r="S27" s="40" t="n">
        <v>0</v>
      </c>
      <c r="T27" s="11" t="inlineStr">
        <is>
          <t>n/a</t>
        </is>
      </c>
      <c r="U27" s="40" t="n">
        <v>0</v>
      </c>
      <c r="V27" s="11" t="inlineStr">
        <is>
          <t>n/a</t>
        </is>
      </c>
      <c r="W27" s="40" t="n">
        <v>0</v>
      </c>
    </row>
    <row r="28">
      <c r="D28" s="36" t="inlineStr">
        <is>
          <t>Colonial Pointe</t>
        </is>
      </c>
      <c r="E28" s="36" t="inlineStr">
        <is>
          <t>M-3 AFF M</t>
        </is>
      </c>
      <c r="F28" s="37" t="n">
        <v>2</v>
      </c>
      <c r="G28" s="9" t="n">
        <v>2</v>
      </c>
      <c r="H28" s="10" t="n">
        <v>2406</v>
      </c>
      <c r="I28" s="10" t="n">
        <v>1203</v>
      </c>
      <c r="J28" s="11" t="n">
        <v>1579</v>
      </c>
      <c r="K28" s="38" t="n">
        <v>1579</v>
      </c>
      <c r="L28" s="11" t="n">
        <v>1579</v>
      </c>
      <c r="M28" s="39" t="n">
        <v>1</v>
      </c>
      <c r="N28" s="38" t="inlineStr">
        <is>
          <t>n/a</t>
        </is>
      </c>
      <c r="O28" s="40" t="n">
        <v>0</v>
      </c>
      <c r="P28" s="11" t="inlineStr">
        <is>
          <t>n/a</t>
        </is>
      </c>
      <c r="Q28" s="40" t="n">
        <v>0</v>
      </c>
      <c r="R28" s="11" t="inlineStr">
        <is>
          <t>n/a</t>
        </is>
      </c>
      <c r="S28" s="40" t="n">
        <v>0</v>
      </c>
      <c r="T28" s="11" t="inlineStr">
        <is>
          <t>n/a</t>
        </is>
      </c>
      <c r="U28" s="40" t="n">
        <v>0</v>
      </c>
      <c r="V28" s="11" t="inlineStr">
        <is>
          <t>n/a</t>
        </is>
      </c>
      <c r="W28" s="40" t="n">
        <v>0</v>
      </c>
    </row>
    <row r="29">
      <c r="D29" s="36" t="inlineStr">
        <is>
          <t>Colonial Pointe</t>
        </is>
      </c>
      <c r="E29" s="36" t="inlineStr">
        <is>
          <t>M-3 AFF VL</t>
        </is>
      </c>
      <c r="F29" s="37" t="n">
        <v>1</v>
      </c>
      <c r="G29" s="9" t="n">
        <v>1</v>
      </c>
      <c r="H29" s="10" t="n">
        <v>1203</v>
      </c>
      <c r="I29" s="10" t="n">
        <v>1203</v>
      </c>
      <c r="J29" s="11" t="n">
        <v>887</v>
      </c>
      <c r="K29" s="38" t="n">
        <v>887</v>
      </c>
      <c r="L29" s="11" t="n">
        <v>887</v>
      </c>
      <c r="M29" s="39" t="n">
        <v>1</v>
      </c>
      <c r="N29" s="38" t="inlineStr">
        <is>
          <t>n/a</t>
        </is>
      </c>
      <c r="O29" s="40" t="n">
        <v>0</v>
      </c>
      <c r="P29" s="11" t="inlineStr">
        <is>
          <t>n/a</t>
        </is>
      </c>
      <c r="Q29" s="40" t="n">
        <v>0</v>
      </c>
      <c r="R29" s="11" t="inlineStr">
        <is>
          <t>n/a</t>
        </is>
      </c>
      <c r="S29" s="40" t="n">
        <v>0</v>
      </c>
      <c r="T29" s="11" t="inlineStr">
        <is>
          <t>n/a</t>
        </is>
      </c>
      <c r="U29" s="40" t="n">
        <v>0</v>
      </c>
      <c r="V29" s="11" t="inlineStr">
        <is>
          <t>n/a</t>
        </is>
      </c>
      <c r="W29" s="40" t="n">
        <v>0</v>
      </c>
    </row>
    <row r="30">
      <c r="D30" s="36" t="inlineStr">
        <is>
          <t>Colonial Pointe</t>
        </is>
      </c>
      <c r="E30" s="36" t="inlineStr">
        <is>
          <t>J-2</t>
        </is>
      </c>
      <c r="F30" s="37" t="n">
        <v>3</v>
      </c>
      <c r="G30" s="9" t="n">
        <v>3</v>
      </c>
      <c r="H30" s="10" t="n">
        <v>3627</v>
      </c>
      <c r="I30" s="10" t="n">
        <v>1209</v>
      </c>
      <c r="J30" s="11" t="n">
        <v>3702.666666666667</v>
      </c>
      <c r="K30" s="38" t="n">
        <v>3702.666666666667</v>
      </c>
      <c r="L30" s="11" t="n">
        <v>3702.666666666667</v>
      </c>
      <c r="M30" s="39" t="n">
        <v>1</v>
      </c>
      <c r="N30" s="38" t="inlineStr">
        <is>
          <t>n/a</t>
        </is>
      </c>
      <c r="O30" s="40" t="n">
        <v>0</v>
      </c>
      <c r="P30" s="11" t="inlineStr">
        <is>
          <t>n/a</t>
        </is>
      </c>
      <c r="Q30" s="40" t="n">
        <v>0</v>
      </c>
      <c r="R30" s="11" t="inlineStr">
        <is>
          <t>n/a</t>
        </is>
      </c>
      <c r="S30" s="40" t="n">
        <v>0</v>
      </c>
      <c r="T30" s="11" t="inlineStr">
        <is>
          <t>n/a</t>
        </is>
      </c>
      <c r="U30" s="40" t="n">
        <v>0</v>
      </c>
      <c r="V30" s="11" t="inlineStr">
        <is>
          <t>n/a</t>
        </is>
      </c>
      <c r="W30" s="40" t="n">
        <v>0</v>
      </c>
    </row>
    <row r="31">
      <c r="D31" s="36" t="inlineStr">
        <is>
          <t>Colonial Pointe</t>
        </is>
      </c>
      <c r="E31" s="36" t="inlineStr">
        <is>
          <t>H-2D</t>
        </is>
      </c>
      <c r="F31" s="37" t="n">
        <v>2</v>
      </c>
      <c r="G31" s="9" t="n">
        <v>2</v>
      </c>
      <c r="H31" s="10" t="n">
        <v>2742</v>
      </c>
      <c r="I31" s="10" t="n">
        <v>1371</v>
      </c>
      <c r="J31" s="11" t="n">
        <v>4110</v>
      </c>
      <c r="K31" s="38" t="n">
        <v>4110</v>
      </c>
      <c r="L31" s="11" t="n">
        <v>4110</v>
      </c>
      <c r="M31" s="39" t="n">
        <v>1</v>
      </c>
      <c r="N31" s="38" t="inlineStr">
        <is>
          <t>n/a</t>
        </is>
      </c>
      <c r="O31" s="40" t="n">
        <v>0</v>
      </c>
      <c r="P31" s="11" t="inlineStr">
        <is>
          <t>n/a</t>
        </is>
      </c>
      <c r="Q31" s="40" t="n">
        <v>0</v>
      </c>
      <c r="R31" s="11" t="inlineStr">
        <is>
          <t>n/a</t>
        </is>
      </c>
      <c r="S31" s="40" t="n">
        <v>0</v>
      </c>
      <c r="T31" s="11" t="inlineStr">
        <is>
          <t>n/a</t>
        </is>
      </c>
      <c r="U31" s="40" t="n">
        <v>0</v>
      </c>
      <c r="V31" s="11" t="inlineStr">
        <is>
          <t>n/a</t>
        </is>
      </c>
      <c r="W31" s="40" t="n">
        <v>0</v>
      </c>
    </row>
    <row r="32">
      <c r="D32" s="36" t="inlineStr">
        <is>
          <t>Colonial Pointe</t>
        </is>
      </c>
      <c r="E32" s="36" t="inlineStr">
        <is>
          <t>G-2D</t>
        </is>
      </c>
      <c r="F32" s="37" t="n">
        <v>2</v>
      </c>
      <c r="G32" s="9" t="n">
        <v>2</v>
      </c>
      <c r="H32" s="10" t="n">
        <v>2868</v>
      </c>
      <c r="I32" s="10" t="n">
        <v>1434</v>
      </c>
      <c r="J32" s="11" t="n">
        <v>3932</v>
      </c>
      <c r="K32" s="38" t="n">
        <v>3932</v>
      </c>
      <c r="L32" s="11" t="n">
        <v>3932</v>
      </c>
      <c r="M32" s="39" t="n">
        <v>1</v>
      </c>
      <c r="N32" s="38" t="inlineStr">
        <is>
          <t>n/a</t>
        </is>
      </c>
      <c r="O32" s="40" t="n">
        <v>0</v>
      </c>
      <c r="P32" s="11" t="inlineStr">
        <is>
          <t>n/a</t>
        </is>
      </c>
      <c r="Q32" s="40" t="n">
        <v>0</v>
      </c>
      <c r="R32" s="11" t="inlineStr">
        <is>
          <t>n/a</t>
        </is>
      </c>
      <c r="S32" s="40" t="n">
        <v>0</v>
      </c>
      <c r="T32" s="11" t="inlineStr">
        <is>
          <t>n/a</t>
        </is>
      </c>
      <c r="U32" s="40" t="n">
        <v>0</v>
      </c>
      <c r="V32" s="11" t="inlineStr">
        <is>
          <t>n/a</t>
        </is>
      </c>
      <c r="W32" s="40" t="n">
        <v>0</v>
      </c>
    </row>
    <row r="33">
      <c r="D33" s="36" t="inlineStr">
        <is>
          <t>Colonial Pointe</t>
        </is>
      </c>
      <c r="E33" s="36" t="inlineStr">
        <is>
          <t>H1-2D</t>
        </is>
      </c>
      <c r="F33" s="37" t="n">
        <v>1</v>
      </c>
      <c r="G33" s="9" t="n">
        <v>1</v>
      </c>
      <c r="H33" s="10" t="n">
        <v>1505</v>
      </c>
      <c r="I33" s="10" t="n">
        <v>1505</v>
      </c>
      <c r="J33" s="11" t="n">
        <v>4065</v>
      </c>
      <c r="K33" s="38" t="n">
        <v>4065</v>
      </c>
      <c r="L33" s="11" t="n">
        <v>4065</v>
      </c>
      <c r="M33" s="39" t="n">
        <v>1</v>
      </c>
      <c r="N33" s="38" t="inlineStr">
        <is>
          <t>n/a</t>
        </is>
      </c>
      <c r="O33" s="40" t="n">
        <v>0</v>
      </c>
      <c r="P33" s="11" t="inlineStr">
        <is>
          <t>n/a</t>
        </is>
      </c>
      <c r="Q33" s="40" t="n">
        <v>0</v>
      </c>
      <c r="R33" s="11" t="inlineStr">
        <is>
          <t>n/a</t>
        </is>
      </c>
      <c r="S33" s="40" t="n">
        <v>0</v>
      </c>
      <c r="T33" s="11" t="inlineStr">
        <is>
          <t>n/a</t>
        </is>
      </c>
      <c r="U33" s="40" t="n">
        <v>0</v>
      </c>
      <c r="V33" s="11" t="inlineStr">
        <is>
          <t>n/a</t>
        </is>
      </c>
      <c r="W33" s="40" t="n">
        <v>0</v>
      </c>
    </row>
    <row r="34">
      <c r="C34" s="13" t="inlineStr">
        <is>
          <t>Total/Wtd Average</t>
        </is>
      </c>
      <c r="D34" s="41" t="n"/>
      <c r="E34" s="41" t="n"/>
      <c r="F34" s="15" t="n">
        <v>84</v>
      </c>
      <c r="G34" s="15" t="n">
        <v>88</v>
      </c>
      <c r="H34" s="16" t="n">
        <v>93570</v>
      </c>
      <c r="I34" s="16" t="n">
        <v>1063.295454545455</v>
      </c>
      <c r="J34" s="17" t="n">
        <v>2861.238636363636</v>
      </c>
      <c r="K34" s="42" t="n">
        <v>2914.785714285714</v>
      </c>
      <c r="L34" s="17" t="n">
        <v>2914.785714285714</v>
      </c>
      <c r="M34" s="43" t="n">
        <v>1</v>
      </c>
      <c r="N34" s="42" t="inlineStr">
        <is>
          <t>n/a</t>
        </is>
      </c>
      <c r="O34" s="44" t="n">
        <v>0</v>
      </c>
      <c r="P34" s="17" t="inlineStr">
        <is>
          <t>n/a</t>
        </is>
      </c>
      <c r="Q34" s="44" t="n">
        <v>0</v>
      </c>
      <c r="R34" s="17" t="inlineStr">
        <is>
          <t>n/a</t>
        </is>
      </c>
      <c r="S34" s="44" t="n">
        <v>0</v>
      </c>
      <c r="T34" s="17" t="inlineStr">
        <is>
          <t>n/a</t>
        </is>
      </c>
      <c r="U34" s="44" t="n">
        <v>0</v>
      </c>
      <c r="V34" s="17" t="inlineStr">
        <is>
          <t>n/a</t>
        </is>
      </c>
      <c r="W34" s="45" t="n">
        <v>0</v>
      </c>
    </row>
    <row r="35">
      <c r="C35" s="46" t="inlineStr">
        <is>
          <t>Lease dates not available</t>
        </is>
      </c>
    </row>
    <row r="58">
      <c r="Z58" s="25" t="inlineStr">
        <is>
          <t>Links from source data:</t>
        </is>
      </c>
    </row>
    <row r="59">
      <c r="Z59" s="26" t="inlineStr">
        <is>
          <t>Total # units</t>
        </is>
      </c>
      <c r="AB59" s="27" t="n">
        <v>88</v>
      </c>
    </row>
    <row r="60">
      <c r="Z60" s="26" t="inlineStr">
        <is>
          <t>Occ Units</t>
        </is>
      </c>
      <c r="AB60" s="27" t="n">
        <v>84</v>
      </c>
    </row>
    <row r="61">
      <c r="Z61" s="26" t="inlineStr">
        <is>
          <t>Unit %Occ</t>
        </is>
      </c>
      <c r="AB61" s="28" t="n">
        <v>0.9545454545454546</v>
      </c>
    </row>
    <row r="62">
      <c r="Z62" s="26" t="inlineStr">
        <is>
          <t>Net Sq Ft</t>
        </is>
      </c>
      <c r="AB62" s="27" t="n">
        <v>93570</v>
      </c>
    </row>
    <row r="63">
      <c r="Z63" s="26" t="inlineStr">
        <is>
          <t>SF Occ</t>
        </is>
      </c>
      <c r="AB63" s="27" t="n">
        <v>89474</v>
      </c>
    </row>
    <row r="64">
      <c r="Z64" s="26" t="inlineStr">
        <is>
          <t>% SF Occ</t>
        </is>
      </c>
      <c r="AB64" s="28" t="n">
        <v>0.9562252858822272</v>
      </c>
    </row>
    <row r="65">
      <c r="Z65" s="26" t="inlineStr">
        <is>
          <t>Mkt Rent</t>
        </is>
      </c>
      <c r="AB65" s="27" t="n">
        <v>251789</v>
      </c>
    </row>
    <row r="66">
      <c r="Z66" s="26" t="inlineStr">
        <is>
          <t>Cont Rent</t>
        </is>
      </c>
      <c r="AB66" s="27" t="n">
        <v>244842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3:S18"/>
  <sheetViews>
    <sheetView showGridLines="0" workbookViewId="0">
      <selection activeCell="A1" sqref="A1"/>
    </sheetView>
  </sheetViews>
  <sheetFormatPr baseColWidth="8" defaultRowHeight="15"/>
  <cols>
    <col width="0.9" customWidth="1" min="1" max="1"/>
    <col width="0.9" customWidth="1" min="3" max="3"/>
    <col width="40" customWidth="1" min="4" max="4"/>
    <col width="18" customWidth="1" min="5" max="5"/>
    <col width="15.4" customWidth="1" min="6" max="6"/>
    <col width="14.1" customWidth="1" min="7" max="7"/>
    <col width="15.4" customWidth="1" min="8" max="8"/>
    <col width="13.9" customWidth="1" min="9" max="9"/>
    <col width="12.1" customWidth="1" min="10" max="10"/>
    <col width="12.4" customWidth="1" min="11" max="11"/>
    <col width="14.4" customWidth="1" min="12" max="12"/>
    <col width="12.4" customWidth="1" min="13" max="13"/>
    <col width="15" customWidth="1" min="14" max="14"/>
    <col width="13.1" customWidth="1" min="15" max="15"/>
    <col width="12.4" customWidth="1" min="17" max="17"/>
    <col width="0.9" customWidth="1" min="18" max="18"/>
    <col width="13.4" customWidth="1" min="19" max="19"/>
    <col width="9.4" customWidth="1" min="20" max="20"/>
    <col width="7.1" customWidth="1" min="21" max="21"/>
    <col width="9.4" customWidth="1" min="22" max="22"/>
    <col width="9.4" customWidth="1" min="23" max="23"/>
  </cols>
  <sheetData>
    <row r="3">
      <c r="C3" s="1" t="inlineStr">
        <is>
          <t>UNIT MIX &amp; RENT ROLL SUMMARY (Based on # of beds only)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2" t="inlineStr">
        <is>
          <t>Colonial Pointe</t>
        </is>
      </c>
    </row>
    <row r="5">
      <c r="C5" s="3" t="n"/>
      <c r="D5" s="4" t="inlineStr">
        <is>
          <t>Property Name</t>
        </is>
      </c>
      <c r="E5" s="4" t="inlineStr">
        <is>
          <t>Bed</t>
        </is>
      </c>
      <c r="F5" s="5" t="inlineStr">
        <is>
          <t>Occ Units</t>
        </is>
      </c>
      <c r="G5" s="5" t="inlineStr">
        <is>
          <t>Tot Units</t>
        </is>
      </c>
      <c r="H5" s="5" t="inlineStr">
        <is>
          <t>Sq. Ft</t>
        </is>
      </c>
      <c r="I5" s="5" t="inlineStr">
        <is>
          <t>Avg SF</t>
        </is>
      </c>
      <c r="J5" s="5" t="inlineStr">
        <is>
          <t>Mkt Rent</t>
        </is>
      </c>
      <c r="K5" s="5" t="inlineStr">
        <is>
          <t>Avg Mkt/Unit</t>
        </is>
      </c>
      <c r="L5" s="5" t="inlineStr">
        <is>
          <t>AvgMkt/SF</t>
        </is>
      </c>
      <c r="M5" s="5" t="inlineStr">
        <is>
          <t>Cont Rent</t>
        </is>
      </c>
      <c r="N5" s="5" t="inlineStr">
        <is>
          <t>Avg Cont/Unit</t>
        </is>
      </c>
      <c r="O5" s="5" t="inlineStr">
        <is>
          <t>AvgCont/SF</t>
        </is>
      </c>
      <c r="P5" s="5" t="inlineStr">
        <is>
          <t>Max Rent</t>
        </is>
      </c>
      <c r="Q5" s="5" t="inlineStr">
        <is>
          <t>Other Inc.</t>
        </is>
      </c>
      <c r="S5" s="6" t="inlineStr">
        <is>
          <t>Sq. Ft. (Occ)</t>
        </is>
      </c>
    </row>
    <row r="6">
      <c r="D6" s="7" t="inlineStr">
        <is>
          <t>Colonial Pointe</t>
        </is>
      </c>
      <c r="E6" s="47" t="inlineStr">
        <is>
          <t>N/A</t>
        </is>
      </c>
      <c r="F6" s="8" t="n">
        <v>84</v>
      </c>
      <c r="G6" s="9" t="n">
        <v>88</v>
      </c>
      <c r="H6" s="10" t="n">
        <v>93570</v>
      </c>
      <c r="I6" s="10" t="n">
        <v>1063.295454545455</v>
      </c>
      <c r="J6" s="11" t="n">
        <v>251789</v>
      </c>
      <c r="K6" s="11" t="n">
        <v>2861.238636363636</v>
      </c>
      <c r="L6" s="12" t="n">
        <v>2.690915891845677</v>
      </c>
      <c r="M6" s="11" t="n">
        <v>244842</v>
      </c>
      <c r="N6" s="11" t="n">
        <v>2914.785714285714</v>
      </c>
      <c r="O6" s="12" t="n">
        <v>2.736459753671458</v>
      </c>
      <c r="P6" s="11" t="n">
        <v>4238</v>
      </c>
      <c r="Q6" s="11" t="n">
        <v>0</v>
      </c>
      <c r="S6" s="10" t="n">
        <v>89474</v>
      </c>
    </row>
    <row r="7">
      <c r="C7" s="13" t="inlineStr">
        <is>
          <t>Total/Wtd Average</t>
        </is>
      </c>
      <c r="D7" s="13" t="n"/>
      <c r="E7" s="13" t="n"/>
      <c r="F7" s="14" t="n">
        <v>84</v>
      </c>
      <c r="G7" s="15" t="n">
        <v>88</v>
      </c>
      <c r="H7" s="16" t="n">
        <v>93570</v>
      </c>
      <c r="I7" s="16" t="n">
        <v>1063.295454545455</v>
      </c>
      <c r="J7" s="17" t="n">
        <v>251789</v>
      </c>
      <c r="K7" s="17" t="n">
        <v>2861.238636363636</v>
      </c>
      <c r="L7" s="18" t="n">
        <v>2.690915891845677</v>
      </c>
      <c r="M7" s="17" t="n">
        <v>244842</v>
      </c>
      <c r="N7" s="17" t="n">
        <v>2914.785714285714</v>
      </c>
      <c r="O7" s="18" t="n">
        <v>2.736459753671458</v>
      </c>
      <c r="P7" s="17" t="inlineStr">
        <is>
          <t>N/A</t>
        </is>
      </c>
      <c r="Q7" s="17" t="n">
        <v>0</v>
      </c>
      <c r="S7" s="16" t="n">
        <v>89474</v>
      </c>
    </row>
    <row r="9">
      <c r="C9" s="19" t="inlineStr">
        <is>
          <t>Total Units</t>
        </is>
      </c>
      <c r="D9" s="20" t="n"/>
      <c r="E9" s="20" t="n"/>
      <c r="F9" s="20" t="n"/>
      <c r="G9" s="21" t="n">
        <v>88</v>
      </c>
    </row>
    <row r="10">
      <c r="C10" s="19" t="inlineStr">
        <is>
          <t>Occupied Units</t>
        </is>
      </c>
      <c r="D10" s="20" t="n"/>
      <c r="E10" s="20" t="n"/>
      <c r="F10" s="20" t="n"/>
      <c r="G10" s="21" t="n">
        <v>84</v>
      </c>
    </row>
    <row r="11">
      <c r="C11" s="19" t="inlineStr">
        <is>
          <t>Unit Occupancy</t>
        </is>
      </c>
      <c r="D11" s="20" t="n"/>
      <c r="E11" s="20" t="n"/>
      <c r="F11" s="20" t="n"/>
      <c r="G11" s="22" t="n">
        <v>0.9545454545454546</v>
      </c>
    </row>
    <row r="12">
      <c r="C12" s="19" t="inlineStr">
        <is>
          <t>Total Square Feet</t>
        </is>
      </c>
      <c r="D12" s="20" t="n"/>
      <c r="E12" s="20" t="n"/>
      <c r="F12" s="20" t="n"/>
      <c r="G12" s="23" t="n">
        <v>93570</v>
      </c>
    </row>
    <row r="13">
      <c r="C13" s="19" t="inlineStr">
        <is>
          <t>Occupied Square Feet</t>
        </is>
      </c>
      <c r="D13" s="20" t="n"/>
      <c r="E13" s="20" t="n"/>
      <c r="F13" s="20" t="n"/>
      <c r="G13" s="23" t="n">
        <v>89474</v>
      </c>
    </row>
    <row r="14">
      <c r="C14" s="19" t="inlineStr">
        <is>
          <t>Square Feet Occupancy</t>
        </is>
      </c>
      <c r="D14" s="20" t="n"/>
      <c r="E14" s="20" t="n"/>
      <c r="F14" s="20" t="n"/>
      <c r="G14" s="22" t="n">
        <v>0.9562252858822272</v>
      </c>
    </row>
    <row r="16">
      <c r="C16" s="19" t="inlineStr">
        <is>
          <t>Market Rent Annualized</t>
        </is>
      </c>
      <c r="D16" s="20" t="n"/>
      <c r="E16" s="20" t="n"/>
      <c r="F16" s="20" t="n"/>
      <c r="G16" s="24" t="n">
        <v>3021468</v>
      </c>
    </row>
    <row r="17">
      <c r="C17" s="19" t="inlineStr">
        <is>
          <t>In-Place Rent Annualized</t>
        </is>
      </c>
      <c r="D17" s="20" t="n"/>
      <c r="E17" s="20" t="n"/>
      <c r="F17" s="20" t="n"/>
      <c r="G17" s="24" t="n">
        <v>2938104</v>
      </c>
    </row>
    <row r="18">
      <c r="C18" s="19" t="inlineStr">
        <is>
          <t>Other Income Annualized</t>
        </is>
      </c>
      <c r="D18" s="20" t="n"/>
      <c r="E18" s="20" t="n"/>
      <c r="F18" s="20" t="n"/>
      <c r="G18" s="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C3:AG96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0.9" customWidth="1" min="1" max="1"/>
    <col width="23.4" customWidth="1" min="4" max="4"/>
    <col width="13" customWidth="1" min="5" max="5"/>
    <col width="15.9" customWidth="1" min="6" max="6"/>
    <col width="18" customWidth="1" min="7" max="7"/>
    <col width="9.1" customWidth="1" min="8" max="8"/>
    <col width="9.1" customWidth="1" min="9" max="9"/>
    <col width="12.1" customWidth="1" min="10" max="10"/>
    <col width="17.9" customWidth="1" min="11" max="11"/>
    <col width="12.1" customWidth="1" min="12" max="12"/>
    <col width="6.4" customWidth="1" min="13" max="13"/>
    <col width="6.9" customWidth="1" min="15" max="15"/>
    <col width="6.9" customWidth="1" min="16" max="16"/>
    <col width="6.4" customWidth="1" min="17" max="17"/>
    <col width="5.9" customWidth="1" min="18" max="18"/>
    <col width="11" customWidth="1" min="19" max="19"/>
    <col width="11.4" customWidth="1" min="21" max="21"/>
    <col width="11.4" customWidth="1" min="22" max="22"/>
    <col width="11.4" customWidth="1" min="23" max="23"/>
    <col width="10.9" customWidth="1" min="24" max="24"/>
    <col width="10.4" customWidth="1" min="25" max="25"/>
    <col width="12.9" customWidth="1" min="26" max="26"/>
    <col width="14.4" customWidth="1" min="27" max="27"/>
    <col width="15.4" customWidth="1" min="28" max="28"/>
    <col width="0.9" customWidth="1" min="29" max="29"/>
    <col width="0.9" customWidth="1" min="30" max="30"/>
    <col width="15.4" customWidth="1" min="31" max="31"/>
    <col width="10.4" customWidth="1" min="32" max="32"/>
    <col width="9.4" customWidth="1" min="33" max="33"/>
  </cols>
  <sheetData>
    <row r="3">
      <c r="C3" s="48" t="inlineStr">
        <is>
          <t>PRESENTATION RENT ROLL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49" t="n"/>
      <c r="AD3" s="2" t="inlineStr">
        <is>
          <t>Colonial Pointe</t>
        </is>
      </c>
    </row>
    <row r="5">
      <c r="C5" s="50" t="inlineStr">
        <is>
          <t>UNIT INFORMATION</t>
        </is>
      </c>
      <c r="D5" s="50" t="n"/>
      <c r="E5" s="50" t="n"/>
      <c r="F5" s="50" t="n"/>
      <c r="G5" s="50" t="n"/>
      <c r="H5" s="50" t="n"/>
      <c r="I5" s="50" t="n"/>
      <c r="J5" s="50" t="n"/>
      <c r="K5" s="50" t="n"/>
      <c r="L5" s="50" t="n"/>
      <c r="M5" s="50" t="n"/>
      <c r="N5" s="50" t="n"/>
      <c r="O5" s="50" t="inlineStr">
        <is>
          <t>UNIT STATUS</t>
        </is>
      </c>
      <c r="P5" s="50" t="n"/>
      <c r="Q5" s="50" t="n"/>
      <c r="R5" s="50" t="n"/>
      <c r="S5" s="50" t="n"/>
      <c r="T5" s="50" t="n"/>
      <c r="U5" s="50" t="n"/>
      <c r="V5" s="50" t="inlineStr">
        <is>
          <t>CURRENT LEASE</t>
        </is>
      </c>
      <c r="W5" s="50" t="n"/>
      <c r="X5" s="50" t="n"/>
      <c r="Y5" s="50" t="n"/>
      <c r="Z5" s="50" t="n"/>
      <c r="AA5" s="50" t="n"/>
      <c r="AB5" s="50" t="n"/>
      <c r="AC5" s="50" t="n"/>
    </row>
    <row r="6">
      <c r="C6" s="3" t="n"/>
      <c r="D6" s="51" t="inlineStr">
        <is>
          <t>Property</t>
        </is>
      </c>
      <c r="E6" s="52" t="inlineStr">
        <is>
          <t>Unit</t>
        </is>
      </c>
      <c r="F6" s="52" t="inlineStr">
        <is>
          <t>Unit</t>
        </is>
      </c>
      <c r="G6" s="52" t="inlineStr">
        <is>
          <t>Floor</t>
        </is>
      </c>
      <c r="H6" s="52" t="inlineStr">
        <is>
          <t>Unit</t>
        </is>
      </c>
      <c r="I6" s="3" t="n"/>
      <c r="J6" s="52" t="inlineStr">
        <is>
          <t>Reno</t>
        </is>
      </c>
      <c r="K6" s="51" t="inlineStr">
        <is>
          <t>Tenant</t>
        </is>
      </c>
      <c r="L6" s="52" t="inlineStr">
        <is>
          <t>Net</t>
        </is>
      </c>
      <c r="M6" s="52" t="inlineStr">
        <is>
          <t>#</t>
        </is>
      </c>
      <c r="N6" s="52" t="inlineStr">
        <is>
          <t>#</t>
        </is>
      </c>
      <c r="O6" s="52" t="inlineStr">
        <is>
          <t>Lease</t>
        </is>
      </c>
      <c r="P6" s="52" t="inlineStr">
        <is>
          <t>Reno</t>
        </is>
      </c>
      <c r="Q6" s="52" t="inlineStr">
        <is>
          <t>Occ</t>
        </is>
      </c>
      <c r="R6" s="3" t="n"/>
      <c r="S6" s="52" t="inlineStr">
        <is>
          <t>Renew</t>
        </is>
      </c>
      <c r="T6" s="52" t="inlineStr">
        <is>
          <t>Asking</t>
        </is>
      </c>
      <c r="U6" s="52" t="inlineStr">
        <is>
          <t>Market</t>
        </is>
      </c>
      <c r="V6" s="52" t="inlineStr">
        <is>
          <t>Contract</t>
        </is>
      </c>
      <c r="W6" s="52" t="inlineStr">
        <is>
          <t>Conc/</t>
        </is>
      </c>
      <c r="X6" s="52" t="inlineStr">
        <is>
          <t>Emp</t>
        </is>
      </c>
      <c r="Y6" s="52" t="inlineStr">
        <is>
          <t>Other</t>
        </is>
      </c>
      <c r="Z6" s="52" t="inlineStr">
        <is>
          <t>Move In</t>
        </is>
      </c>
      <c r="AA6" s="52" t="inlineStr">
        <is>
          <t>Lease</t>
        </is>
      </c>
      <c r="AB6" s="52" t="inlineStr">
        <is>
          <t>Lease</t>
        </is>
      </c>
      <c r="AC6" s="3" t="n"/>
    </row>
    <row r="7">
      <c r="C7" s="3" t="n"/>
      <c r="D7" s="51" t="inlineStr">
        <is>
          <t>Name</t>
        </is>
      </c>
      <c r="E7" s="52" t="inlineStr">
        <is>
          <t>Number</t>
        </is>
      </c>
      <c r="F7" s="52" t="inlineStr">
        <is>
          <t>Type</t>
        </is>
      </c>
      <c r="G7" s="52" t="inlineStr">
        <is>
          <t>Plan</t>
        </is>
      </c>
      <c r="H7" s="53" t="inlineStr">
        <is>
          <t>Designation</t>
        </is>
      </c>
      <c r="I7" s="53" t="inlineStr">
        <is>
          <t>Reno'd?</t>
        </is>
      </c>
      <c r="J7" s="53" t="inlineStr">
        <is>
          <t>Type</t>
        </is>
      </c>
      <c r="K7" s="51" t="inlineStr">
        <is>
          <t>Name</t>
        </is>
      </c>
      <c r="L7" s="52" t="inlineStr">
        <is>
          <t>Sq. Ft.</t>
        </is>
      </c>
      <c r="M7" s="52" t="inlineStr">
        <is>
          <t>Bed</t>
        </is>
      </c>
      <c r="N7" s="52" t="inlineStr">
        <is>
          <t>Bath</t>
        </is>
      </c>
      <c r="O7" s="52" t="inlineStr">
        <is>
          <t>Type</t>
        </is>
      </c>
      <c r="P7" s="52" t="inlineStr">
        <is>
          <t>Stat</t>
        </is>
      </c>
      <c r="Q7" s="52" t="inlineStr">
        <is>
          <t>Stat*</t>
        </is>
      </c>
      <c r="R7" s="52" t="inlineStr">
        <is>
          <t>MTM</t>
        </is>
      </c>
      <c r="S7" s="52" t="inlineStr">
        <is>
          <t>Status</t>
        </is>
      </c>
      <c r="T7" s="52" t="inlineStr">
        <is>
          <t>Rent</t>
        </is>
      </c>
      <c r="U7" s="52" t="inlineStr">
        <is>
          <t>Rent</t>
        </is>
      </c>
      <c r="V7" s="52" t="inlineStr">
        <is>
          <t>Rent</t>
        </is>
      </c>
      <c r="W7" s="52" t="inlineStr">
        <is>
          <t>Specl</t>
        </is>
      </c>
      <c r="X7" s="52" t="inlineStr">
        <is>
          <t>Disc</t>
        </is>
      </c>
      <c r="Y7" s="52" t="inlineStr">
        <is>
          <t>Income</t>
        </is>
      </c>
      <c r="Z7" s="52" t="inlineStr">
        <is>
          <t>Date</t>
        </is>
      </c>
      <c r="AA7" s="52" t="inlineStr">
        <is>
          <t>Start Date</t>
        </is>
      </c>
      <c r="AB7" s="52" t="inlineStr">
        <is>
          <t>End Date</t>
        </is>
      </c>
      <c r="AC7" s="3" t="n"/>
      <c r="AE7" s="54" t="inlineStr">
        <is>
          <t>Market Rent</t>
        </is>
      </c>
      <c r="AF7" s="54" t="inlineStr">
        <is>
          <t>LTL</t>
        </is>
      </c>
      <c r="AG7" s="54" t="inlineStr">
        <is>
          <t>LTL %</t>
        </is>
      </c>
    </row>
    <row r="8">
      <c r="D8" s="36" t="inlineStr">
        <is>
          <t>Colonial Pointe</t>
        </is>
      </c>
      <c r="E8" s="55" t="inlineStr">
        <is>
          <t>556-000</t>
        </is>
      </c>
      <c r="F8" s="55" t="inlineStr">
        <is>
          <t>A-1</t>
        </is>
      </c>
      <c r="G8" s="55" t="inlineStr">
        <is>
          <t>A-1</t>
        </is>
      </c>
      <c r="H8" s="55" t="inlineStr">
        <is>
          <t>Leasing Mgr Storage Unit</t>
        </is>
      </c>
      <c r="K8" s="36" t="inlineStr">
        <is>
          <t>Admin</t>
        </is>
      </c>
      <c r="L8" s="56" t="n">
        <v>845</v>
      </c>
      <c r="M8" s="57" t="n"/>
      <c r="N8" s="57" t="n"/>
      <c r="Q8" s="58" t="inlineStr">
        <is>
          <t>Admin</t>
        </is>
      </c>
      <c r="U8" s="59" t="n">
        <v>212</v>
      </c>
      <c r="V8" s="59" t="n">
        <v>212</v>
      </c>
      <c r="W8" s="59" t="n">
        <v>-212</v>
      </c>
      <c r="X8" s="59" t="n">
        <v>0</v>
      </c>
      <c r="Y8" s="59" t="n">
        <v>0</v>
      </c>
      <c r="AB8" s="60" t="n">
        <v>46387</v>
      </c>
    </row>
    <row r="9">
      <c r="D9" s="36" t="inlineStr">
        <is>
          <t>Colonial Pointe</t>
        </is>
      </c>
      <c r="E9" s="55" t="inlineStr">
        <is>
          <t>556-201</t>
        </is>
      </c>
      <c r="F9" s="55" t="inlineStr">
        <is>
          <t>A-1</t>
        </is>
      </c>
      <c r="G9" s="55" t="inlineStr">
        <is>
          <t>A-1</t>
        </is>
      </c>
      <c r="K9" s="36" t="inlineStr">
        <is>
          <t>Anna Zilenziger, Rodman Zilenziger</t>
        </is>
      </c>
      <c r="L9" s="56" t="n">
        <v>845</v>
      </c>
      <c r="M9" s="57" t="n"/>
      <c r="N9" s="57" t="n"/>
      <c r="Q9" s="58" t="inlineStr">
        <is>
          <t>Occ</t>
        </is>
      </c>
      <c r="U9" s="59" t="n">
        <v>3085</v>
      </c>
      <c r="V9" s="59" t="n">
        <v>3085</v>
      </c>
      <c r="W9" s="59" t="n">
        <v>0</v>
      </c>
      <c r="X9" s="59" t="n">
        <v>0</v>
      </c>
      <c r="Y9" s="59" t="n">
        <v>0</v>
      </c>
      <c r="AB9" s="60" t="n">
        <v>46142</v>
      </c>
    </row>
    <row r="10">
      <c r="D10" s="36" t="inlineStr">
        <is>
          <t>Colonial Pointe</t>
        </is>
      </c>
      <c r="E10" s="55" t="inlineStr">
        <is>
          <t>556-202</t>
        </is>
      </c>
      <c r="F10" s="55" t="inlineStr">
        <is>
          <t>J-2</t>
        </is>
      </c>
      <c r="G10" s="55" t="inlineStr">
        <is>
          <t>J-2</t>
        </is>
      </c>
      <c r="K10" s="36" t="inlineStr">
        <is>
          <t>Laura Fleming, Robert McClellan</t>
        </is>
      </c>
      <c r="L10" s="56" t="n">
        <v>1209</v>
      </c>
      <c r="M10" s="57" t="n"/>
      <c r="N10" s="57" t="n"/>
      <c r="Q10" s="58" t="inlineStr">
        <is>
          <t>Occ</t>
        </is>
      </c>
      <c r="U10" s="59" t="n">
        <v>3660</v>
      </c>
      <c r="V10" s="59" t="n">
        <v>3660</v>
      </c>
      <c r="W10" s="59" t="n">
        <v>0</v>
      </c>
      <c r="X10" s="59" t="n">
        <v>0</v>
      </c>
      <c r="Y10" s="59" t="n">
        <v>0</v>
      </c>
      <c r="AB10" s="60" t="n">
        <v>46630</v>
      </c>
    </row>
    <row r="11">
      <c r="D11" s="36" t="inlineStr">
        <is>
          <t>Colonial Pointe</t>
        </is>
      </c>
      <c r="E11" s="55" t="inlineStr">
        <is>
          <t>556-203</t>
        </is>
      </c>
      <c r="F11" s="55" t="inlineStr">
        <is>
          <t>E-2</t>
        </is>
      </c>
      <c r="G11" s="55" t="inlineStr">
        <is>
          <t>E-2</t>
        </is>
      </c>
      <c r="K11" s="36" t="inlineStr">
        <is>
          <t>Janet Kost</t>
        </is>
      </c>
      <c r="L11" s="56" t="n">
        <v>1146</v>
      </c>
      <c r="M11" s="57" t="n"/>
      <c r="N11" s="57" t="n"/>
      <c r="Q11" s="58" t="inlineStr">
        <is>
          <t>Occ</t>
        </is>
      </c>
      <c r="U11" s="59" t="n">
        <v>3565</v>
      </c>
      <c r="V11" s="59" t="n">
        <v>3565</v>
      </c>
      <c r="W11" s="59" t="n">
        <v>0</v>
      </c>
      <c r="X11" s="59" t="n">
        <v>0</v>
      </c>
      <c r="Y11" s="59" t="n">
        <v>0</v>
      </c>
      <c r="AB11" s="60" t="n">
        <v>46356</v>
      </c>
    </row>
    <row r="12">
      <c r="D12" s="36" t="inlineStr">
        <is>
          <t>Colonial Pointe</t>
        </is>
      </c>
      <c r="E12" s="55" t="inlineStr">
        <is>
          <t>556-204</t>
        </is>
      </c>
      <c r="F12" s="55" t="inlineStr">
        <is>
          <t>E-2</t>
        </is>
      </c>
      <c r="G12" s="55" t="inlineStr">
        <is>
          <t>E-2</t>
        </is>
      </c>
      <c r="K12" s="36" t="inlineStr">
        <is>
          <t>Arlene Camporeale, Ignazio Camporeale</t>
        </is>
      </c>
      <c r="L12" s="56" t="n">
        <v>1146</v>
      </c>
      <c r="M12" s="57" t="n"/>
      <c r="N12" s="57" t="n"/>
      <c r="Q12" s="58" t="inlineStr">
        <is>
          <t>Occ</t>
        </is>
      </c>
      <c r="U12" s="59" t="n">
        <v>3627</v>
      </c>
      <c r="V12" s="59" t="n">
        <v>3627</v>
      </c>
      <c r="W12" s="59" t="n">
        <v>0</v>
      </c>
      <c r="X12" s="59" t="n">
        <v>0</v>
      </c>
      <c r="Y12" s="59" t="n">
        <v>0</v>
      </c>
      <c r="AB12" s="60" t="n">
        <v>46568</v>
      </c>
    </row>
    <row r="13">
      <c r="D13" s="36" t="inlineStr">
        <is>
          <t>Colonial Pointe</t>
        </is>
      </c>
      <c r="E13" s="55" t="inlineStr">
        <is>
          <t>556-205</t>
        </is>
      </c>
      <c r="F13" s="55" t="inlineStr">
        <is>
          <t>F-2</t>
        </is>
      </c>
      <c r="G13" s="55" t="inlineStr">
        <is>
          <t>F-2</t>
        </is>
      </c>
      <c r="K13" s="36" t="inlineStr">
        <is>
          <t>Elizabeth Cooper, Samuel Cooper</t>
        </is>
      </c>
      <c r="L13" s="56" t="n">
        <v>1141</v>
      </c>
      <c r="M13" s="57" t="n"/>
      <c r="N13" s="57" t="n"/>
      <c r="Q13" s="58" t="inlineStr">
        <is>
          <t>Occ</t>
        </is>
      </c>
      <c r="U13" s="59" t="n">
        <v>3222</v>
      </c>
      <c r="V13" s="59" t="n">
        <v>3222</v>
      </c>
      <c r="W13" s="59" t="n">
        <v>0</v>
      </c>
      <c r="X13" s="59" t="n">
        <v>0</v>
      </c>
      <c r="Y13" s="59" t="n">
        <v>0</v>
      </c>
      <c r="AB13" s="60" t="n">
        <v>46295</v>
      </c>
    </row>
    <row r="14">
      <c r="D14" s="36" t="inlineStr">
        <is>
          <t>Colonial Pointe</t>
        </is>
      </c>
      <c r="E14" s="55" t="inlineStr">
        <is>
          <t>556-206</t>
        </is>
      </c>
      <c r="F14" s="55" t="inlineStr">
        <is>
          <t>E-2</t>
        </is>
      </c>
      <c r="G14" s="55" t="inlineStr">
        <is>
          <t>E-2</t>
        </is>
      </c>
      <c r="K14" s="36" t="inlineStr">
        <is>
          <t>Josephine Makoujy</t>
        </is>
      </c>
      <c r="L14" s="56" t="n">
        <v>1146</v>
      </c>
      <c r="M14" s="57" t="n"/>
      <c r="N14" s="57" t="n"/>
      <c r="Q14" s="58" t="inlineStr">
        <is>
          <t>Occ</t>
        </is>
      </c>
      <c r="U14" s="59" t="n">
        <v>3500</v>
      </c>
      <c r="V14" s="59" t="n">
        <v>3500</v>
      </c>
      <c r="W14" s="59" t="n">
        <v>0</v>
      </c>
      <c r="X14" s="59" t="n">
        <v>0</v>
      </c>
      <c r="Y14" s="59" t="n">
        <v>0</v>
      </c>
      <c r="AB14" s="60" t="n">
        <v>46326</v>
      </c>
    </row>
    <row r="15">
      <c r="D15" s="36" t="inlineStr">
        <is>
          <t>Colonial Pointe</t>
        </is>
      </c>
      <c r="E15" s="55" t="inlineStr">
        <is>
          <t>556-207</t>
        </is>
      </c>
      <c r="F15" s="55" t="inlineStr">
        <is>
          <t>C-1D</t>
        </is>
      </c>
      <c r="G15" s="55" t="inlineStr">
        <is>
          <t>C-1D</t>
        </is>
      </c>
      <c r="K15" s="36" t="inlineStr">
        <is>
          <t>Barbara Brown</t>
        </is>
      </c>
      <c r="L15" s="56" t="n">
        <v>1087</v>
      </c>
      <c r="M15" s="57" t="n"/>
      <c r="N15" s="57" t="n"/>
      <c r="Q15" s="58" t="inlineStr">
        <is>
          <t>Occ</t>
        </is>
      </c>
      <c r="U15" s="59" t="n">
        <v>2950</v>
      </c>
      <c r="V15" s="59" t="n">
        <v>2950</v>
      </c>
      <c r="W15" s="59" t="n">
        <v>0</v>
      </c>
      <c r="X15" s="59" t="n">
        <v>0</v>
      </c>
      <c r="Y15" s="59" t="n">
        <v>0</v>
      </c>
      <c r="AB15" s="60" t="n">
        <v>46234</v>
      </c>
    </row>
    <row r="16">
      <c r="D16" s="36" t="inlineStr">
        <is>
          <t>Colonial Pointe</t>
        </is>
      </c>
      <c r="E16" s="55" t="inlineStr">
        <is>
          <t>556-208</t>
        </is>
      </c>
      <c r="F16" s="55" t="inlineStr">
        <is>
          <t>K-2</t>
        </is>
      </c>
      <c r="G16" s="55" t="inlineStr">
        <is>
          <t>K-2</t>
        </is>
      </c>
      <c r="K16" s="36" t="inlineStr">
        <is>
          <t>Joy Eliezer</t>
        </is>
      </c>
      <c r="L16" s="56" t="n">
        <v>1134</v>
      </c>
      <c r="M16" s="57" t="n"/>
      <c r="N16" s="57" t="n"/>
      <c r="Q16" s="58" t="inlineStr">
        <is>
          <t>Occ</t>
        </is>
      </c>
      <c r="U16" s="59" t="n">
        <v>3500</v>
      </c>
      <c r="V16" s="59" t="n">
        <v>3500</v>
      </c>
      <c r="W16" s="59" t="n">
        <v>0</v>
      </c>
      <c r="X16" s="59" t="n">
        <v>0</v>
      </c>
      <c r="Y16" s="59" t="n">
        <v>0</v>
      </c>
      <c r="AB16" s="60" t="n">
        <v>46507</v>
      </c>
    </row>
    <row r="17">
      <c r="D17" s="36" t="inlineStr">
        <is>
          <t>Colonial Pointe</t>
        </is>
      </c>
      <c r="E17" s="55" t="inlineStr">
        <is>
          <t>556-209</t>
        </is>
      </c>
      <c r="F17" s="55" t="inlineStr">
        <is>
          <t>K-2</t>
        </is>
      </c>
      <c r="G17" s="55" t="inlineStr">
        <is>
          <t>K-2</t>
        </is>
      </c>
      <c r="K17" s="36" t="inlineStr">
        <is>
          <t>Jennifer Wiedemann, Kyle Wiedemann</t>
        </is>
      </c>
      <c r="L17" s="56" t="n">
        <v>1134</v>
      </c>
      <c r="M17" s="57" t="n"/>
      <c r="N17" s="57" t="n"/>
      <c r="Q17" s="58" t="inlineStr">
        <is>
          <t>Occ</t>
        </is>
      </c>
      <c r="U17" s="59" t="n">
        <v>3408</v>
      </c>
      <c r="V17" s="59" t="n">
        <v>3408</v>
      </c>
      <c r="W17" s="59" t="n">
        <v>0</v>
      </c>
      <c r="X17" s="59" t="n">
        <v>0</v>
      </c>
      <c r="Y17" s="59" t="n">
        <v>0</v>
      </c>
      <c r="AB17" s="60" t="n">
        <v>46446</v>
      </c>
    </row>
    <row r="18">
      <c r="D18" s="36" t="inlineStr">
        <is>
          <t>Colonial Pointe</t>
        </is>
      </c>
      <c r="E18" s="55" t="inlineStr">
        <is>
          <t>556-210</t>
        </is>
      </c>
      <c r="F18" s="55" t="inlineStr">
        <is>
          <t>E-2</t>
        </is>
      </c>
      <c r="G18" s="55" t="inlineStr">
        <is>
          <t>E-2</t>
        </is>
      </c>
      <c r="K18" s="36" t="inlineStr">
        <is>
          <t>Constance Franks</t>
        </is>
      </c>
      <c r="L18" s="56" t="n">
        <v>1146</v>
      </c>
      <c r="M18" s="57" t="n"/>
      <c r="N18" s="57" t="n"/>
      <c r="Q18" s="58" t="inlineStr">
        <is>
          <t>Occ</t>
        </is>
      </c>
      <c r="U18" s="59" t="n">
        <v>3508</v>
      </c>
      <c r="V18" s="59" t="n">
        <v>3508</v>
      </c>
      <c r="W18" s="59" t="n">
        <v>0</v>
      </c>
      <c r="X18" s="59" t="n">
        <v>0</v>
      </c>
      <c r="Y18" s="59" t="n">
        <v>0</v>
      </c>
      <c r="AB18" s="60" t="n">
        <v>46234</v>
      </c>
    </row>
    <row r="19">
      <c r="D19" s="36" t="inlineStr">
        <is>
          <t>Colonial Pointe</t>
        </is>
      </c>
      <c r="E19" s="55" t="inlineStr">
        <is>
          <t>556-211</t>
        </is>
      </c>
      <c r="F19" s="55" t="inlineStr">
        <is>
          <t>F-2</t>
        </is>
      </c>
      <c r="G19" s="55" t="inlineStr">
        <is>
          <t>F-2</t>
        </is>
      </c>
      <c r="K19" s="36" t="inlineStr">
        <is>
          <t>Robert Lynch, Gail Lynch</t>
        </is>
      </c>
      <c r="L19" s="56" t="n">
        <v>1141</v>
      </c>
      <c r="M19" s="57" t="n"/>
      <c r="N19" s="57" t="n"/>
      <c r="Q19" s="58" t="inlineStr">
        <is>
          <t>Occ</t>
        </is>
      </c>
      <c r="U19" s="59" t="n">
        <v>3427</v>
      </c>
      <c r="V19" s="59" t="n">
        <v>3427</v>
      </c>
      <c r="W19" s="59" t="n">
        <v>0</v>
      </c>
      <c r="X19" s="59" t="n">
        <v>0</v>
      </c>
      <c r="Y19" s="59" t="n">
        <v>0</v>
      </c>
      <c r="AB19" s="60" t="n">
        <v>46356</v>
      </c>
    </row>
    <row r="20">
      <c r="D20" s="36" t="inlineStr">
        <is>
          <t>Colonial Pointe</t>
        </is>
      </c>
      <c r="E20" s="55" t="inlineStr">
        <is>
          <t>556-212</t>
        </is>
      </c>
      <c r="F20" s="55" t="inlineStr">
        <is>
          <t>E-2</t>
        </is>
      </c>
      <c r="G20" s="55" t="inlineStr">
        <is>
          <t>E-2</t>
        </is>
      </c>
      <c r="K20" s="36" t="inlineStr">
        <is>
          <t>Karen Tileston</t>
        </is>
      </c>
      <c r="L20" s="56" t="n">
        <v>1146</v>
      </c>
      <c r="M20" s="57" t="n"/>
      <c r="N20" s="57" t="n"/>
      <c r="Q20" s="58" t="inlineStr">
        <is>
          <t>Occ</t>
        </is>
      </c>
      <c r="U20" s="59" t="n">
        <v>3574</v>
      </c>
      <c r="V20" s="59" t="n">
        <v>3574</v>
      </c>
      <c r="W20" s="59" t="n">
        <v>0</v>
      </c>
      <c r="X20" s="59" t="n">
        <v>0</v>
      </c>
      <c r="Y20" s="59" t="n">
        <v>0</v>
      </c>
      <c r="AB20" s="60" t="n">
        <v>46843</v>
      </c>
    </row>
    <row r="21">
      <c r="D21" s="36" t="inlineStr">
        <is>
          <t>Colonial Pointe</t>
        </is>
      </c>
      <c r="E21" s="55" t="inlineStr">
        <is>
          <t>556-213</t>
        </is>
      </c>
      <c r="F21" s="55" t="inlineStr">
        <is>
          <t>H-2D</t>
        </is>
      </c>
      <c r="G21" s="55" t="inlineStr">
        <is>
          <t>H-2D</t>
        </is>
      </c>
      <c r="K21" s="36" t="inlineStr">
        <is>
          <t>Adele Brett</t>
        </is>
      </c>
      <c r="L21" s="56" t="n">
        <v>1371</v>
      </c>
      <c r="M21" s="57" t="n"/>
      <c r="N21" s="57" t="n"/>
      <c r="Q21" s="58" t="inlineStr">
        <is>
          <t>Occ</t>
        </is>
      </c>
      <c r="U21" s="59" t="n">
        <v>3982</v>
      </c>
      <c r="V21" s="59" t="n">
        <v>3982</v>
      </c>
      <c r="W21" s="59" t="n">
        <v>0</v>
      </c>
      <c r="X21" s="59" t="n">
        <v>0</v>
      </c>
      <c r="Y21" s="59" t="n">
        <v>0</v>
      </c>
      <c r="AB21" s="60" t="n">
        <v>46295</v>
      </c>
    </row>
    <row r="22">
      <c r="D22" s="36" t="inlineStr">
        <is>
          <t>Colonial Pointe</t>
        </is>
      </c>
      <c r="E22" s="55" t="inlineStr">
        <is>
          <t>556-214</t>
        </is>
      </c>
      <c r="F22" s="55" t="inlineStr">
        <is>
          <t>F-2</t>
        </is>
      </c>
      <c r="G22" s="55" t="inlineStr">
        <is>
          <t>F-2</t>
        </is>
      </c>
      <c r="K22" s="36" t="inlineStr">
        <is>
          <t>Michael Rizzotto, Pat Rizzotto</t>
        </is>
      </c>
      <c r="L22" s="56" t="n">
        <v>1141</v>
      </c>
      <c r="M22" s="57" t="n"/>
      <c r="N22" s="57" t="n"/>
      <c r="Q22" s="58" t="inlineStr">
        <is>
          <t>Occ</t>
        </is>
      </c>
      <c r="U22" s="59" t="n">
        <v>3500</v>
      </c>
      <c r="V22" s="59" t="n">
        <v>3500</v>
      </c>
      <c r="W22" s="59" t="n">
        <v>0</v>
      </c>
      <c r="X22" s="59" t="n">
        <v>0</v>
      </c>
      <c r="Y22" s="59" t="n">
        <v>0</v>
      </c>
      <c r="AB22" s="60" t="n">
        <v>46234</v>
      </c>
    </row>
    <row r="23">
      <c r="D23" s="36" t="inlineStr">
        <is>
          <t>Colonial Pointe</t>
        </is>
      </c>
      <c r="E23" s="55" t="inlineStr">
        <is>
          <t>556-215</t>
        </is>
      </c>
      <c r="F23" s="55" t="inlineStr">
        <is>
          <t>D-1D</t>
        </is>
      </c>
      <c r="G23" s="55" t="inlineStr">
        <is>
          <t>D-1D</t>
        </is>
      </c>
      <c r="K23" s="36" t="inlineStr">
        <is>
          <t>Barbara Mino</t>
        </is>
      </c>
      <c r="L23" s="56" t="n">
        <v>980</v>
      </c>
      <c r="M23" s="57" t="n"/>
      <c r="N23" s="57" t="n"/>
      <c r="Q23" s="58" t="inlineStr">
        <is>
          <t>Occ</t>
        </is>
      </c>
      <c r="U23" s="59" t="n">
        <v>3082</v>
      </c>
      <c r="V23" s="59" t="n">
        <v>3082</v>
      </c>
      <c r="W23" s="59" t="n">
        <v>0</v>
      </c>
      <c r="X23" s="59" t="n">
        <v>0</v>
      </c>
      <c r="Y23" s="59" t="n">
        <v>0</v>
      </c>
      <c r="AB23" s="60" t="n">
        <v>46203</v>
      </c>
    </row>
    <row r="24">
      <c r="D24" s="36" t="inlineStr">
        <is>
          <t>Colonial Pointe</t>
        </is>
      </c>
      <c r="E24" s="55" t="inlineStr">
        <is>
          <t>556-216</t>
        </is>
      </c>
      <c r="F24" s="55" t="inlineStr">
        <is>
          <t>K-2</t>
        </is>
      </c>
      <c r="G24" s="55" t="inlineStr">
        <is>
          <t>K-2</t>
        </is>
      </c>
      <c r="K24" s="36" t="inlineStr">
        <is>
          <t>Richard Ege</t>
        </is>
      </c>
      <c r="L24" s="56" t="n">
        <v>1134</v>
      </c>
      <c r="M24" s="57" t="n"/>
      <c r="N24" s="57" t="n"/>
      <c r="Q24" s="58" t="inlineStr">
        <is>
          <t>Occ</t>
        </is>
      </c>
      <c r="U24" s="59" t="n">
        <v>3518</v>
      </c>
      <c r="V24" s="59" t="n">
        <v>3518</v>
      </c>
      <c r="W24" s="59" t="n">
        <v>0</v>
      </c>
      <c r="X24" s="59" t="n">
        <v>0</v>
      </c>
      <c r="Y24" s="59" t="n">
        <v>0</v>
      </c>
      <c r="AB24" s="60" t="n">
        <v>46418</v>
      </c>
    </row>
    <row r="25">
      <c r="D25" s="36" t="inlineStr">
        <is>
          <t>Colonial Pointe</t>
        </is>
      </c>
      <c r="E25" s="55" t="inlineStr">
        <is>
          <t>556-217</t>
        </is>
      </c>
      <c r="F25" s="55" t="inlineStr">
        <is>
          <t>K-2</t>
        </is>
      </c>
      <c r="G25" s="55" t="inlineStr">
        <is>
          <t>K-2</t>
        </is>
      </c>
      <c r="K25" s="36" t="inlineStr">
        <is>
          <t>Rozlyne Tessler</t>
        </is>
      </c>
      <c r="L25" s="56" t="n">
        <v>1134</v>
      </c>
      <c r="M25" s="57" t="n"/>
      <c r="N25" s="57" t="n"/>
      <c r="Q25" s="58" t="inlineStr">
        <is>
          <t>Occ</t>
        </is>
      </c>
      <c r="U25" s="59" t="n">
        <v>3629</v>
      </c>
      <c r="V25" s="59" t="n">
        <v>3629</v>
      </c>
      <c r="W25" s="59" t="n">
        <v>0</v>
      </c>
      <c r="X25" s="59" t="n">
        <v>0</v>
      </c>
      <c r="Y25" s="59" t="n">
        <v>0</v>
      </c>
      <c r="AB25" s="60" t="n">
        <v>46234</v>
      </c>
    </row>
    <row r="26">
      <c r="D26" s="36" t="inlineStr">
        <is>
          <t>Colonial Pointe</t>
        </is>
      </c>
      <c r="E26" s="55" t="inlineStr">
        <is>
          <t>556-218</t>
        </is>
      </c>
      <c r="F26" s="55" t="inlineStr">
        <is>
          <t>E-2</t>
        </is>
      </c>
      <c r="G26" s="55" t="inlineStr">
        <is>
          <t>E-2</t>
        </is>
      </c>
      <c r="K26" s="36" t="inlineStr">
        <is>
          <t>Kersti Kimler</t>
        </is>
      </c>
      <c r="L26" s="56" t="n">
        <v>1146</v>
      </c>
      <c r="M26" s="57" t="n"/>
      <c r="N26" s="57" t="n"/>
      <c r="Q26" s="58" t="inlineStr">
        <is>
          <t>Occ</t>
        </is>
      </c>
      <c r="U26" s="59" t="n">
        <v>3582</v>
      </c>
      <c r="V26" s="59" t="n">
        <v>3582</v>
      </c>
      <c r="W26" s="59" t="n">
        <v>0</v>
      </c>
      <c r="X26" s="59" t="n">
        <v>0</v>
      </c>
      <c r="Y26" s="59" t="n">
        <v>0</v>
      </c>
      <c r="AB26" s="60" t="n">
        <v>46418</v>
      </c>
    </row>
    <row r="27">
      <c r="D27" s="36" t="inlineStr">
        <is>
          <t>Colonial Pointe</t>
        </is>
      </c>
      <c r="E27" s="55" t="inlineStr">
        <is>
          <t>556-219</t>
        </is>
      </c>
      <c r="F27" s="55" t="inlineStr">
        <is>
          <t>A-1</t>
        </is>
      </c>
      <c r="G27" s="55" t="inlineStr">
        <is>
          <t>A-1</t>
        </is>
      </c>
      <c r="K27" s="36" t="inlineStr">
        <is>
          <t>Frederick Schulze</t>
        </is>
      </c>
      <c r="L27" s="56" t="n">
        <v>845</v>
      </c>
      <c r="M27" s="57" t="n"/>
      <c r="N27" s="57" t="n"/>
      <c r="Q27" s="58" t="inlineStr">
        <is>
          <t>Occ</t>
        </is>
      </c>
      <c r="U27" s="59" t="n">
        <v>2850</v>
      </c>
      <c r="V27" s="59" t="n">
        <v>2850</v>
      </c>
      <c r="W27" s="59" t="n">
        <v>0</v>
      </c>
      <c r="X27" s="59" t="n">
        <v>0</v>
      </c>
      <c r="Y27" s="59" t="n">
        <v>0</v>
      </c>
      <c r="AB27" s="60" t="n">
        <v>46446</v>
      </c>
    </row>
    <row r="28">
      <c r="D28" s="36" t="inlineStr">
        <is>
          <t>Colonial Pointe</t>
        </is>
      </c>
      <c r="E28" s="55" t="inlineStr">
        <is>
          <t>556-220</t>
        </is>
      </c>
      <c r="F28" s="55" t="inlineStr">
        <is>
          <t>A-1</t>
        </is>
      </c>
      <c r="G28" s="55" t="inlineStr">
        <is>
          <t>A-1</t>
        </is>
      </c>
      <c r="K28" s="36" t="inlineStr">
        <is>
          <t>Audrey Roberts</t>
        </is>
      </c>
      <c r="L28" s="56" t="n">
        <v>845</v>
      </c>
      <c r="M28" s="57" t="n"/>
      <c r="N28" s="57" t="n"/>
      <c r="Q28" s="58" t="inlineStr">
        <is>
          <t>Occ</t>
        </is>
      </c>
      <c r="R28" s="55" t="inlineStr">
        <is>
          <t>MTM</t>
        </is>
      </c>
      <c r="U28" s="59" t="n">
        <v>2822</v>
      </c>
      <c r="V28" s="59" t="n">
        <v>2822</v>
      </c>
      <c r="W28" s="59" t="n">
        <v>0</v>
      </c>
      <c r="X28" s="59" t="n">
        <v>0</v>
      </c>
      <c r="Y28" s="59" t="n">
        <v>0</v>
      </c>
      <c r="AB28" s="60" t="n">
        <v>46173</v>
      </c>
    </row>
    <row r="29">
      <c r="D29" s="36" t="inlineStr">
        <is>
          <t>Colonial Pointe</t>
        </is>
      </c>
      <c r="E29" s="55" t="inlineStr">
        <is>
          <t>556-301</t>
        </is>
      </c>
      <c r="F29" s="55" t="inlineStr">
        <is>
          <t>A-1</t>
        </is>
      </c>
      <c r="G29" s="55" t="inlineStr">
        <is>
          <t>A-1</t>
        </is>
      </c>
      <c r="K29" s="36" t="inlineStr">
        <is>
          <t>Brianne O' Rourke</t>
        </is>
      </c>
      <c r="L29" s="56" t="n">
        <v>845</v>
      </c>
      <c r="M29" s="57" t="n"/>
      <c r="N29" s="57" t="n"/>
      <c r="Q29" s="58" t="inlineStr">
        <is>
          <t>Occ</t>
        </is>
      </c>
      <c r="U29" s="59" t="n">
        <v>2800</v>
      </c>
      <c r="V29" s="59" t="n">
        <v>2800</v>
      </c>
      <c r="W29" s="59" t="n">
        <v>0</v>
      </c>
      <c r="X29" s="59" t="n">
        <v>0</v>
      </c>
      <c r="Y29" s="59" t="n">
        <v>0</v>
      </c>
      <c r="AB29" s="60" t="n">
        <v>46203</v>
      </c>
    </row>
    <row r="30">
      <c r="D30" s="36" t="inlineStr">
        <is>
          <t>Colonial Pointe</t>
        </is>
      </c>
      <c r="E30" s="55" t="inlineStr">
        <is>
          <t>556-302</t>
        </is>
      </c>
      <c r="F30" s="55" t="inlineStr">
        <is>
          <t>J-2</t>
        </is>
      </c>
      <c r="G30" s="55" t="inlineStr">
        <is>
          <t>J-2</t>
        </is>
      </c>
      <c r="K30" s="36" t="inlineStr">
        <is>
          <t>Rita Grogan</t>
        </is>
      </c>
      <c r="L30" s="56" t="n">
        <v>1209</v>
      </c>
      <c r="M30" s="57" t="n"/>
      <c r="N30" s="57" t="n"/>
      <c r="Q30" s="58" t="inlineStr">
        <is>
          <t>Occ</t>
        </is>
      </c>
      <c r="U30" s="59" t="n">
        <v>3814</v>
      </c>
      <c r="V30" s="59" t="n">
        <v>3814</v>
      </c>
      <c r="W30" s="59" t="n">
        <v>0</v>
      </c>
      <c r="X30" s="59" t="n">
        <v>0</v>
      </c>
      <c r="Y30" s="59" t="n">
        <v>0</v>
      </c>
      <c r="AB30" s="60" t="n">
        <v>46142</v>
      </c>
    </row>
    <row r="31">
      <c r="D31" s="36" t="inlineStr">
        <is>
          <t>Colonial Pointe</t>
        </is>
      </c>
      <c r="E31" s="55" t="inlineStr">
        <is>
          <t>556-303</t>
        </is>
      </c>
      <c r="F31" s="55" t="inlineStr">
        <is>
          <t>E-2</t>
        </is>
      </c>
      <c r="G31" s="55" t="inlineStr">
        <is>
          <t>E-2</t>
        </is>
      </c>
      <c r="K31" s="36" t="inlineStr">
        <is>
          <t>Charles Grenner</t>
        </is>
      </c>
      <c r="L31" s="56" t="n">
        <v>1146</v>
      </c>
      <c r="M31" s="57" t="n"/>
      <c r="N31" s="57" t="n"/>
      <c r="Q31" s="58" t="inlineStr">
        <is>
          <t>Occ</t>
        </is>
      </c>
      <c r="U31" s="59" t="n">
        <v>3543</v>
      </c>
      <c r="V31" s="59" t="n">
        <v>3543</v>
      </c>
      <c r="W31" s="59" t="n">
        <v>0</v>
      </c>
      <c r="X31" s="59" t="n">
        <v>0</v>
      </c>
      <c r="Y31" s="59" t="n">
        <v>0</v>
      </c>
      <c r="AB31" s="60" t="n">
        <v>46326</v>
      </c>
    </row>
    <row r="32">
      <c r="D32" s="36" t="inlineStr">
        <is>
          <t>Colonial Pointe</t>
        </is>
      </c>
      <c r="E32" s="55" t="inlineStr">
        <is>
          <t>556-304</t>
        </is>
      </c>
      <c r="F32" s="55" t="inlineStr">
        <is>
          <t>E-2</t>
        </is>
      </c>
      <c r="G32" s="55" t="inlineStr">
        <is>
          <t>E-2</t>
        </is>
      </c>
      <c r="K32" s="36" t="inlineStr">
        <is>
          <t>Rhonda Golub, Mark Frohman</t>
        </is>
      </c>
      <c r="L32" s="56" t="n">
        <v>1146</v>
      </c>
      <c r="M32" s="57" t="n"/>
      <c r="N32" s="57" t="n"/>
      <c r="Q32" s="58" t="inlineStr">
        <is>
          <t>Occ</t>
        </is>
      </c>
      <c r="U32" s="59" t="n">
        <v>3475</v>
      </c>
      <c r="V32" s="59" t="n">
        <v>3475</v>
      </c>
      <c r="W32" s="59" t="n">
        <v>0</v>
      </c>
      <c r="X32" s="59" t="n">
        <v>0</v>
      </c>
      <c r="Y32" s="59" t="n">
        <v>0</v>
      </c>
      <c r="AB32" s="60" t="n">
        <v>46234</v>
      </c>
    </row>
    <row r="33">
      <c r="D33" s="36" t="inlineStr">
        <is>
          <t>Colonial Pointe</t>
        </is>
      </c>
      <c r="E33" s="55" t="inlineStr">
        <is>
          <t>556-305</t>
        </is>
      </c>
      <c r="F33" s="55" t="inlineStr">
        <is>
          <t>F-2</t>
        </is>
      </c>
      <c r="G33" s="55" t="inlineStr">
        <is>
          <t>F-2</t>
        </is>
      </c>
      <c r="K33" s="36" t="inlineStr">
        <is>
          <t>Peter Macaluso, MaryAnn Macaluso</t>
        </is>
      </c>
      <c r="L33" s="56" t="n">
        <v>1141</v>
      </c>
      <c r="M33" s="57" t="n"/>
      <c r="N33" s="57" t="n"/>
      <c r="Q33" s="58" t="inlineStr">
        <is>
          <t>Occ</t>
        </is>
      </c>
      <c r="U33" s="59" t="n">
        <v>3441</v>
      </c>
      <c r="V33" s="59" t="n">
        <v>3441</v>
      </c>
      <c r="W33" s="59" t="n">
        <v>0</v>
      </c>
      <c r="X33" s="59" t="n">
        <v>0</v>
      </c>
      <c r="Y33" s="59" t="n">
        <v>0</v>
      </c>
      <c r="AB33" s="60" t="n">
        <v>46142</v>
      </c>
    </row>
    <row r="34">
      <c r="D34" s="36" t="inlineStr">
        <is>
          <t>Colonial Pointe</t>
        </is>
      </c>
      <c r="E34" s="55" t="inlineStr">
        <is>
          <t>556-306</t>
        </is>
      </c>
      <c r="F34" s="55" t="inlineStr">
        <is>
          <t>E-2</t>
        </is>
      </c>
      <c r="G34" s="55" t="inlineStr">
        <is>
          <t>E-2</t>
        </is>
      </c>
      <c r="K34" s="36" t="inlineStr">
        <is>
          <t>Christopher Nixon</t>
        </is>
      </c>
      <c r="L34" s="56" t="n">
        <v>1146</v>
      </c>
      <c r="M34" s="57" t="n"/>
      <c r="N34" s="57" t="n"/>
      <c r="Q34" s="58" t="inlineStr">
        <is>
          <t>Occ</t>
        </is>
      </c>
      <c r="U34" s="59" t="n">
        <v>3425</v>
      </c>
      <c r="V34" s="59" t="n">
        <v>3425</v>
      </c>
      <c r="W34" s="59" t="n">
        <v>0</v>
      </c>
      <c r="X34" s="59" t="n">
        <v>0</v>
      </c>
      <c r="Y34" s="59" t="n">
        <v>0</v>
      </c>
      <c r="AB34" s="60" t="n">
        <v>46234</v>
      </c>
    </row>
    <row r="35">
      <c r="D35" s="36" t="inlineStr">
        <is>
          <t>Colonial Pointe</t>
        </is>
      </c>
      <c r="E35" s="55" t="inlineStr">
        <is>
          <t>556-307</t>
        </is>
      </c>
      <c r="F35" s="55" t="inlineStr">
        <is>
          <t>B-1D</t>
        </is>
      </c>
      <c r="G35" s="55" t="inlineStr">
        <is>
          <t>B-1D</t>
        </is>
      </c>
      <c r="K35" s="36" t="inlineStr">
        <is>
          <t>Brenda McElkenny</t>
        </is>
      </c>
      <c r="L35" s="56" t="n">
        <v>980</v>
      </c>
      <c r="M35" s="57" t="n"/>
      <c r="N35" s="57" t="n"/>
      <c r="Q35" s="58" t="inlineStr">
        <is>
          <t>Occ</t>
        </is>
      </c>
      <c r="U35" s="59" t="n">
        <v>2939</v>
      </c>
      <c r="V35" s="59" t="n">
        <v>2939</v>
      </c>
      <c r="W35" s="59" t="n">
        <v>0</v>
      </c>
      <c r="X35" s="59" t="n">
        <v>0</v>
      </c>
      <c r="Y35" s="59" t="n">
        <v>0</v>
      </c>
      <c r="AB35" s="60" t="n">
        <v>46203</v>
      </c>
    </row>
    <row r="36">
      <c r="D36" s="36" t="inlineStr">
        <is>
          <t>Colonial Pointe</t>
        </is>
      </c>
      <c r="E36" s="55" t="inlineStr">
        <is>
          <t>556-308</t>
        </is>
      </c>
      <c r="F36" s="55" t="inlineStr">
        <is>
          <t>K-2</t>
        </is>
      </c>
      <c r="G36" s="55" t="inlineStr">
        <is>
          <t>K-2</t>
        </is>
      </c>
      <c r="K36" s="36" t="inlineStr">
        <is>
          <t>Adrienne Messina, Nicholas Messina</t>
        </is>
      </c>
      <c r="L36" s="56" t="n">
        <v>1134</v>
      </c>
      <c r="M36" s="57" t="n"/>
      <c r="N36" s="57" t="n"/>
      <c r="Q36" s="58" t="inlineStr">
        <is>
          <t>Occ</t>
        </is>
      </c>
      <c r="U36" s="59" t="n">
        <v>3475</v>
      </c>
      <c r="V36" s="59" t="n">
        <v>3475</v>
      </c>
      <c r="W36" s="59" t="n">
        <v>0</v>
      </c>
      <c r="X36" s="59" t="n">
        <v>0</v>
      </c>
      <c r="Y36" s="59" t="n">
        <v>0</v>
      </c>
      <c r="AB36" s="60" t="n">
        <v>46173</v>
      </c>
    </row>
    <row r="37">
      <c r="D37" s="36" t="inlineStr">
        <is>
          <t>Colonial Pointe</t>
        </is>
      </c>
      <c r="E37" s="55" t="inlineStr">
        <is>
          <t>556-309</t>
        </is>
      </c>
      <c r="F37" s="55" t="inlineStr">
        <is>
          <t>K-2</t>
        </is>
      </c>
      <c r="G37" s="55" t="inlineStr">
        <is>
          <t>K-2</t>
        </is>
      </c>
      <c r="K37" s="36" t="inlineStr">
        <is>
          <t>Jane Barovick</t>
        </is>
      </c>
      <c r="L37" s="56" t="n">
        <v>1134</v>
      </c>
      <c r="M37" s="57" t="n"/>
      <c r="N37" s="57" t="n"/>
      <c r="Q37" s="58" t="inlineStr">
        <is>
          <t>Occ</t>
        </is>
      </c>
      <c r="U37" s="59" t="n">
        <v>3569</v>
      </c>
      <c r="V37" s="59" t="n">
        <v>3569</v>
      </c>
      <c r="W37" s="59" t="n">
        <v>0</v>
      </c>
      <c r="X37" s="59" t="n">
        <v>0</v>
      </c>
      <c r="Y37" s="59" t="n">
        <v>0</v>
      </c>
      <c r="AB37" s="60" t="n">
        <v>46173</v>
      </c>
    </row>
    <row r="38">
      <c r="D38" s="36" t="inlineStr">
        <is>
          <t>Colonial Pointe</t>
        </is>
      </c>
      <c r="E38" s="55" t="inlineStr">
        <is>
          <t>556-310</t>
        </is>
      </c>
      <c r="F38" s="55" t="inlineStr">
        <is>
          <t>E-2</t>
        </is>
      </c>
      <c r="G38" s="55" t="inlineStr">
        <is>
          <t>E-2</t>
        </is>
      </c>
      <c r="K38" s="36" t="inlineStr">
        <is>
          <t>John Rosica</t>
        </is>
      </c>
      <c r="L38" s="56" t="n">
        <v>1146</v>
      </c>
      <c r="M38" s="57" t="n"/>
      <c r="N38" s="57" t="n"/>
      <c r="Q38" s="58" t="inlineStr">
        <is>
          <t>Occ</t>
        </is>
      </c>
      <c r="U38" s="59" t="n">
        <v>3533</v>
      </c>
      <c r="V38" s="59" t="n">
        <v>3533</v>
      </c>
      <c r="W38" s="59" t="n">
        <v>0</v>
      </c>
      <c r="X38" s="59" t="n">
        <v>0</v>
      </c>
      <c r="Y38" s="59" t="n">
        <v>0</v>
      </c>
      <c r="AB38" s="60" t="n">
        <v>46418</v>
      </c>
    </row>
    <row r="39">
      <c r="D39" s="36" t="inlineStr">
        <is>
          <t>Colonial Pointe</t>
        </is>
      </c>
      <c r="E39" s="55" t="inlineStr">
        <is>
          <t>556-311</t>
        </is>
      </c>
      <c r="F39" s="55" t="inlineStr">
        <is>
          <t>F-2</t>
        </is>
      </c>
      <c r="G39" s="55" t="inlineStr">
        <is>
          <t>F-2</t>
        </is>
      </c>
      <c r="K39" s="36" t="inlineStr">
        <is>
          <t>Clarie Regen</t>
        </is>
      </c>
      <c r="L39" s="56" t="n">
        <v>1141</v>
      </c>
      <c r="M39" s="57" t="n"/>
      <c r="N39" s="57" t="n"/>
      <c r="Q39" s="58" t="inlineStr">
        <is>
          <t>Occ</t>
        </is>
      </c>
      <c r="U39" s="59" t="n">
        <v>3450</v>
      </c>
      <c r="V39" s="59" t="n">
        <v>3450</v>
      </c>
      <c r="W39" s="59" t="n">
        <v>0</v>
      </c>
      <c r="X39" s="59" t="n">
        <v>0</v>
      </c>
      <c r="Y39" s="59" t="n">
        <v>0</v>
      </c>
      <c r="AB39" s="60" t="n">
        <v>46234</v>
      </c>
    </row>
    <row r="40">
      <c r="D40" s="36" t="inlineStr">
        <is>
          <t>Colonial Pointe</t>
        </is>
      </c>
      <c r="E40" s="55" t="inlineStr">
        <is>
          <t>556-312</t>
        </is>
      </c>
      <c r="F40" s="55" t="inlineStr">
        <is>
          <t>E-2</t>
        </is>
      </c>
      <c r="G40" s="55" t="inlineStr">
        <is>
          <t>E-2</t>
        </is>
      </c>
      <c r="K40" s="36" t="inlineStr">
        <is>
          <t>Michael Liszczynsky</t>
        </is>
      </c>
      <c r="L40" s="56" t="n">
        <v>1146</v>
      </c>
      <c r="M40" s="57" t="n"/>
      <c r="N40" s="57" t="n"/>
      <c r="Q40" s="58" t="inlineStr">
        <is>
          <t>Occ</t>
        </is>
      </c>
      <c r="U40" s="59" t="n">
        <v>3738</v>
      </c>
      <c r="V40" s="59" t="n">
        <v>3738</v>
      </c>
      <c r="W40" s="59" t="n">
        <v>0</v>
      </c>
      <c r="X40" s="59" t="n">
        <v>0</v>
      </c>
      <c r="Y40" s="59" t="n">
        <v>0</v>
      </c>
      <c r="AB40" s="60" t="n">
        <v>46660</v>
      </c>
    </row>
    <row r="41">
      <c r="D41" s="36" t="inlineStr">
        <is>
          <t>Colonial Pointe</t>
        </is>
      </c>
      <c r="E41" s="55" t="inlineStr">
        <is>
          <t>556-313</t>
        </is>
      </c>
      <c r="F41" s="55" t="inlineStr">
        <is>
          <t>H-2D</t>
        </is>
      </c>
      <c r="G41" s="55" t="inlineStr">
        <is>
          <t>H-2D</t>
        </is>
      </c>
      <c r="K41" s="36" t="inlineStr">
        <is>
          <t>Michael Rosenberg</t>
        </is>
      </c>
      <c r="L41" s="56" t="n">
        <v>1371</v>
      </c>
      <c r="M41" s="57" t="n"/>
      <c r="N41" s="57" t="n"/>
      <c r="Q41" s="58" t="inlineStr">
        <is>
          <t>Occ</t>
        </is>
      </c>
      <c r="U41" s="59" t="n">
        <v>4238</v>
      </c>
      <c r="V41" s="59" t="n">
        <v>4238</v>
      </c>
      <c r="W41" s="59" t="n">
        <v>0</v>
      </c>
      <c r="X41" s="59" t="n">
        <v>0</v>
      </c>
      <c r="Y41" s="59" t="n">
        <v>0</v>
      </c>
      <c r="AB41" s="60" t="n">
        <v>46387</v>
      </c>
    </row>
    <row r="42">
      <c r="D42" s="36" t="inlineStr">
        <is>
          <t>Colonial Pointe</t>
        </is>
      </c>
      <c r="E42" s="55" t="inlineStr">
        <is>
          <t>556-314</t>
        </is>
      </c>
      <c r="F42" s="55" t="inlineStr">
        <is>
          <t>G-2D</t>
        </is>
      </c>
      <c r="G42" s="55" t="inlineStr">
        <is>
          <t>G-2D</t>
        </is>
      </c>
      <c r="K42" s="36" t="inlineStr">
        <is>
          <t>Leonard Birkhahn, Iris Birkhahn</t>
        </is>
      </c>
      <c r="L42" s="56" t="n">
        <v>1434</v>
      </c>
      <c r="M42" s="57" t="n"/>
      <c r="N42" s="57" t="n"/>
      <c r="Q42" s="58" t="inlineStr">
        <is>
          <t>Occ</t>
        </is>
      </c>
      <c r="U42" s="59" t="n">
        <v>3900</v>
      </c>
      <c r="V42" s="59" t="n">
        <v>3900</v>
      </c>
      <c r="W42" s="59" t="n">
        <v>0</v>
      </c>
      <c r="X42" s="59" t="n">
        <v>0</v>
      </c>
      <c r="Y42" s="59" t="n">
        <v>0</v>
      </c>
      <c r="AB42" s="60" t="n">
        <v>46446</v>
      </c>
    </row>
    <row r="43">
      <c r="D43" s="36" t="inlineStr">
        <is>
          <t>Colonial Pointe</t>
        </is>
      </c>
      <c r="E43" s="55" t="inlineStr">
        <is>
          <t>556-315</t>
        </is>
      </c>
      <c r="F43" s="55" t="inlineStr">
        <is>
          <t>F-2</t>
        </is>
      </c>
      <c r="G43" s="55" t="inlineStr">
        <is>
          <t>F-2</t>
        </is>
      </c>
      <c r="K43" s="36" t="inlineStr">
        <is>
          <t>Geraldine Caldiero</t>
        </is>
      </c>
      <c r="L43" s="56" t="n">
        <v>1141</v>
      </c>
      <c r="M43" s="57" t="n"/>
      <c r="N43" s="57" t="n"/>
      <c r="Q43" s="58" t="inlineStr">
        <is>
          <t>Occ</t>
        </is>
      </c>
      <c r="U43" s="59" t="n">
        <v>3532</v>
      </c>
      <c r="V43" s="59" t="n">
        <v>3532</v>
      </c>
      <c r="W43" s="59" t="n">
        <v>0</v>
      </c>
      <c r="X43" s="59" t="n">
        <v>0</v>
      </c>
      <c r="Y43" s="59" t="n">
        <v>0</v>
      </c>
      <c r="AB43" s="60" t="n">
        <v>46418</v>
      </c>
    </row>
    <row r="44">
      <c r="D44" s="36" t="inlineStr">
        <is>
          <t>Colonial Pointe</t>
        </is>
      </c>
      <c r="E44" s="55" t="inlineStr">
        <is>
          <t>556-316</t>
        </is>
      </c>
      <c r="F44" s="55" t="inlineStr">
        <is>
          <t>B-1D</t>
        </is>
      </c>
      <c r="G44" s="55" t="inlineStr">
        <is>
          <t>B-1D</t>
        </is>
      </c>
      <c r="K44" s="36" t="inlineStr">
        <is>
          <t>Cecilia Turula</t>
        </is>
      </c>
      <c r="L44" s="56" t="n">
        <v>980</v>
      </c>
      <c r="M44" s="57" t="n"/>
      <c r="N44" s="57" t="n"/>
      <c r="Q44" s="58" t="inlineStr">
        <is>
          <t>Occ</t>
        </is>
      </c>
      <c r="U44" s="59" t="n">
        <v>2872</v>
      </c>
      <c r="V44" s="59" t="n">
        <v>2872</v>
      </c>
      <c r="W44" s="59" t="n">
        <v>0</v>
      </c>
      <c r="X44" s="59" t="n">
        <v>0</v>
      </c>
      <c r="Y44" s="59" t="n">
        <v>0</v>
      </c>
      <c r="AB44" s="60" t="n">
        <v>46356</v>
      </c>
    </row>
    <row r="45">
      <c r="D45" s="36" t="inlineStr">
        <is>
          <t>Colonial Pointe</t>
        </is>
      </c>
      <c r="E45" s="55" t="inlineStr">
        <is>
          <t>556-317</t>
        </is>
      </c>
      <c r="F45" s="55" t="inlineStr">
        <is>
          <t>K-2</t>
        </is>
      </c>
      <c r="G45" s="55" t="inlineStr">
        <is>
          <t>K-2</t>
        </is>
      </c>
      <c r="K45" s="36" t="inlineStr">
        <is>
          <t>Lois Bodner</t>
        </is>
      </c>
      <c r="L45" s="56" t="n">
        <v>1134</v>
      </c>
      <c r="M45" s="57" t="n"/>
      <c r="N45" s="57" t="n"/>
      <c r="Q45" s="58" t="inlineStr">
        <is>
          <t>Occ</t>
        </is>
      </c>
      <c r="U45" s="59" t="n">
        <v>3533</v>
      </c>
      <c r="V45" s="59" t="n">
        <v>3533</v>
      </c>
      <c r="W45" s="59" t="n">
        <v>0</v>
      </c>
      <c r="X45" s="59" t="n">
        <v>0</v>
      </c>
      <c r="Y45" s="59" t="n">
        <v>0</v>
      </c>
      <c r="AB45" s="60" t="n">
        <v>46660</v>
      </c>
    </row>
    <row r="46">
      <c r="D46" s="36" t="inlineStr">
        <is>
          <t>Colonial Pointe</t>
        </is>
      </c>
      <c r="E46" s="55" t="inlineStr">
        <is>
          <t>556-318</t>
        </is>
      </c>
      <c r="F46" s="55" t="inlineStr">
        <is>
          <t>K-2</t>
        </is>
      </c>
      <c r="G46" s="55" t="inlineStr">
        <is>
          <t>K-2</t>
        </is>
      </c>
      <c r="K46" s="36" t="inlineStr">
        <is>
          <t>Angelo Ingrassia</t>
        </is>
      </c>
      <c r="L46" s="56" t="n">
        <v>1134</v>
      </c>
      <c r="M46" s="57" t="n"/>
      <c r="N46" s="57" t="n"/>
      <c r="Q46" s="58" t="inlineStr">
        <is>
          <t>Occ</t>
        </is>
      </c>
      <c r="U46" s="59" t="n">
        <v>3458</v>
      </c>
      <c r="V46" s="59" t="n">
        <v>3458</v>
      </c>
      <c r="W46" s="59" t="n">
        <v>0</v>
      </c>
      <c r="X46" s="59" t="n">
        <v>0</v>
      </c>
      <c r="Y46" s="59" t="n">
        <v>0</v>
      </c>
      <c r="AB46" s="60" t="n">
        <v>46356</v>
      </c>
    </row>
    <row r="47">
      <c r="D47" s="36" t="inlineStr">
        <is>
          <t>Colonial Pointe</t>
        </is>
      </c>
      <c r="E47" s="55" t="inlineStr">
        <is>
          <t>556-319</t>
        </is>
      </c>
      <c r="F47" s="55" t="inlineStr">
        <is>
          <t>E-2</t>
        </is>
      </c>
      <c r="G47" s="55" t="inlineStr">
        <is>
          <t>E-2</t>
        </is>
      </c>
      <c r="K47" s="36" t="inlineStr">
        <is>
          <t>Francis DeBlock</t>
        </is>
      </c>
      <c r="L47" s="56" t="n">
        <v>1146</v>
      </c>
      <c r="M47" s="57" t="n"/>
      <c r="N47" s="57" t="n"/>
      <c r="Q47" s="58" t="inlineStr">
        <is>
          <t>Occ</t>
        </is>
      </c>
      <c r="U47" s="59" t="n">
        <v>3482</v>
      </c>
      <c r="V47" s="59" t="n">
        <v>3482</v>
      </c>
      <c r="W47" s="59" t="n">
        <v>0</v>
      </c>
      <c r="X47" s="59" t="n">
        <v>0</v>
      </c>
      <c r="Y47" s="59" t="n">
        <v>0</v>
      </c>
      <c r="AB47" s="60" t="n">
        <v>46173</v>
      </c>
    </row>
    <row r="48">
      <c r="D48" s="36" t="inlineStr">
        <is>
          <t>Colonial Pointe</t>
        </is>
      </c>
      <c r="E48" s="55" t="inlineStr">
        <is>
          <t>556-320</t>
        </is>
      </c>
      <c r="F48" s="55" t="inlineStr">
        <is>
          <t>A-1</t>
        </is>
      </c>
      <c r="G48" s="55" t="inlineStr">
        <is>
          <t>A-1</t>
        </is>
      </c>
      <c r="K48" s="36" t="inlineStr">
        <is>
          <t>George Schluger</t>
        </is>
      </c>
      <c r="L48" s="56" t="n">
        <v>845</v>
      </c>
      <c r="M48" s="57" t="n"/>
      <c r="N48" s="57" t="n"/>
      <c r="Q48" s="58" t="inlineStr">
        <is>
          <t>Occ</t>
        </is>
      </c>
      <c r="U48" s="59" t="n">
        <v>2914</v>
      </c>
      <c r="V48" s="59" t="n">
        <v>2914</v>
      </c>
      <c r="W48" s="59" t="n">
        <v>0</v>
      </c>
      <c r="X48" s="59" t="n">
        <v>0</v>
      </c>
      <c r="Y48" s="59" t="n">
        <v>0</v>
      </c>
      <c r="AB48" s="60" t="n">
        <v>46599</v>
      </c>
    </row>
    <row r="49">
      <c r="D49" s="36" t="inlineStr">
        <is>
          <t>Colonial Pointe</t>
        </is>
      </c>
      <c r="E49" s="55" t="inlineStr">
        <is>
          <t>556-321</t>
        </is>
      </c>
      <c r="F49" s="55" t="inlineStr">
        <is>
          <t>A-1</t>
        </is>
      </c>
      <c r="G49" s="55" t="inlineStr">
        <is>
          <t>A-1</t>
        </is>
      </c>
      <c r="K49" s="36" t="inlineStr">
        <is>
          <t>Takuma Oda</t>
        </is>
      </c>
      <c r="L49" s="56" t="n">
        <v>845</v>
      </c>
      <c r="M49" s="57" t="n"/>
      <c r="N49" s="57" t="n"/>
      <c r="Q49" s="58" t="inlineStr">
        <is>
          <t>Occ</t>
        </is>
      </c>
      <c r="U49" s="59" t="n">
        <v>2848</v>
      </c>
      <c r="V49" s="59" t="n">
        <v>2848</v>
      </c>
      <c r="W49" s="59" t="n">
        <v>0</v>
      </c>
      <c r="X49" s="59" t="n">
        <v>0</v>
      </c>
      <c r="Y49" s="59" t="n">
        <v>0</v>
      </c>
      <c r="AB49" s="60" t="n">
        <v>46477</v>
      </c>
    </row>
    <row r="50">
      <c r="D50" s="36" t="inlineStr">
        <is>
          <t>Colonial Pointe</t>
        </is>
      </c>
      <c r="E50" s="55" t="inlineStr">
        <is>
          <t>556-322</t>
        </is>
      </c>
      <c r="F50" s="55" t="inlineStr">
        <is>
          <t>A-1</t>
        </is>
      </c>
      <c r="G50" s="55" t="inlineStr">
        <is>
          <t>A-1</t>
        </is>
      </c>
      <c r="K50" s="36" t="inlineStr">
        <is>
          <t>Mark Abidargham, Sally Khalil</t>
        </is>
      </c>
      <c r="L50" s="56" t="n">
        <v>845</v>
      </c>
      <c r="M50" s="57" t="n"/>
      <c r="N50" s="57" t="n"/>
      <c r="Q50" s="58" t="inlineStr">
        <is>
          <t>Occ</t>
        </is>
      </c>
      <c r="U50" s="59" t="n">
        <v>2823</v>
      </c>
      <c r="V50" s="59" t="n">
        <v>2823</v>
      </c>
      <c r="W50" s="59" t="n">
        <v>0</v>
      </c>
      <c r="X50" s="59" t="n">
        <v>0</v>
      </c>
      <c r="Y50" s="59" t="n">
        <v>0</v>
      </c>
      <c r="AB50" s="60" t="n">
        <v>46234</v>
      </c>
    </row>
    <row r="51">
      <c r="D51" s="36" t="inlineStr">
        <is>
          <t>Colonial Pointe</t>
        </is>
      </c>
      <c r="E51" s="55" t="inlineStr">
        <is>
          <t>556-401</t>
        </is>
      </c>
      <c r="F51" s="55" t="inlineStr">
        <is>
          <t>A-1</t>
        </is>
      </c>
      <c r="G51" s="55" t="inlineStr">
        <is>
          <t>A-1</t>
        </is>
      </c>
      <c r="K51" s="36" t="inlineStr">
        <is>
          <t>Dana Stamler</t>
        </is>
      </c>
      <c r="L51" s="56" t="n">
        <v>845</v>
      </c>
      <c r="M51" s="57" t="n"/>
      <c r="N51" s="57" t="n"/>
      <c r="Q51" s="58" t="inlineStr">
        <is>
          <t>Occ</t>
        </is>
      </c>
      <c r="U51" s="59" t="n">
        <v>2800</v>
      </c>
      <c r="V51" s="59" t="n">
        <v>2800</v>
      </c>
      <c r="W51" s="59" t="n">
        <v>0</v>
      </c>
      <c r="X51" s="59" t="n">
        <v>0</v>
      </c>
      <c r="Y51" s="59" t="n">
        <v>0</v>
      </c>
      <c r="AB51" s="60" t="n">
        <v>46142</v>
      </c>
    </row>
    <row r="52">
      <c r="D52" s="36" t="inlineStr">
        <is>
          <t>Colonial Pointe</t>
        </is>
      </c>
      <c r="E52" s="55" t="inlineStr">
        <is>
          <t>556-402</t>
        </is>
      </c>
      <c r="F52" s="55" t="inlineStr">
        <is>
          <t>J-2</t>
        </is>
      </c>
      <c r="G52" s="55" t="inlineStr">
        <is>
          <t>J-2</t>
        </is>
      </c>
      <c r="K52" s="36" t="inlineStr">
        <is>
          <t>Dina Messery, Craig Messery</t>
        </is>
      </c>
      <c r="L52" s="56" t="n">
        <v>1209</v>
      </c>
      <c r="M52" s="57" t="n"/>
      <c r="N52" s="57" t="n"/>
      <c r="Q52" s="58" t="inlineStr">
        <is>
          <t>Occ</t>
        </is>
      </c>
      <c r="U52" s="59" t="n">
        <v>3634</v>
      </c>
      <c r="V52" s="59" t="n">
        <v>3634</v>
      </c>
      <c r="W52" s="59" t="n">
        <v>0</v>
      </c>
      <c r="X52" s="59" t="n">
        <v>0</v>
      </c>
      <c r="Y52" s="59" t="n">
        <v>0</v>
      </c>
      <c r="AB52" s="60" t="n">
        <v>46203</v>
      </c>
    </row>
    <row r="53">
      <c r="D53" s="36" t="inlineStr">
        <is>
          <t>Colonial Pointe</t>
        </is>
      </c>
      <c r="E53" s="55" t="inlineStr">
        <is>
          <t>556-403</t>
        </is>
      </c>
      <c r="F53" s="55" t="inlineStr">
        <is>
          <t>E-2</t>
        </is>
      </c>
      <c r="G53" s="55" t="inlineStr">
        <is>
          <t>E-2</t>
        </is>
      </c>
      <c r="K53" s="36" t="inlineStr">
        <is>
          <t>Matthew Brizzi, Sara Brizzi</t>
        </is>
      </c>
      <c r="L53" s="56" t="n">
        <v>1146</v>
      </c>
      <c r="M53" s="57" t="n"/>
      <c r="N53" s="57" t="n"/>
      <c r="Q53" s="58" t="inlineStr">
        <is>
          <t>Occ</t>
        </is>
      </c>
      <c r="U53" s="59" t="n">
        <v>3610</v>
      </c>
      <c r="V53" s="59" t="n">
        <v>3610</v>
      </c>
      <c r="W53" s="59" t="n">
        <v>0</v>
      </c>
      <c r="X53" s="59" t="n">
        <v>0</v>
      </c>
      <c r="Y53" s="59" t="n">
        <v>0</v>
      </c>
      <c r="AB53" s="60" t="n">
        <v>46326</v>
      </c>
    </row>
    <row r="54">
      <c r="D54" s="36" t="inlineStr">
        <is>
          <t>Colonial Pointe</t>
        </is>
      </c>
      <c r="E54" s="55" t="inlineStr">
        <is>
          <t>556-404</t>
        </is>
      </c>
      <c r="F54" s="55" t="inlineStr">
        <is>
          <t>E-2</t>
        </is>
      </c>
      <c r="G54" s="55" t="inlineStr">
        <is>
          <t>E-2</t>
        </is>
      </c>
      <c r="K54" s="36" t="inlineStr">
        <is>
          <t>Donna Mancinelli</t>
        </is>
      </c>
      <c r="L54" s="56" t="n">
        <v>1146</v>
      </c>
      <c r="M54" s="57" t="n"/>
      <c r="N54" s="57" t="n"/>
      <c r="Q54" s="58" t="inlineStr">
        <is>
          <t>Occ</t>
        </is>
      </c>
      <c r="U54" s="59" t="n">
        <v>3597</v>
      </c>
      <c r="V54" s="59" t="n">
        <v>3597</v>
      </c>
      <c r="W54" s="59" t="n">
        <v>0</v>
      </c>
      <c r="X54" s="59" t="n">
        <v>0</v>
      </c>
      <c r="Y54" s="59" t="n">
        <v>0</v>
      </c>
      <c r="AB54" s="60" t="n">
        <v>46630</v>
      </c>
    </row>
    <row r="55">
      <c r="D55" s="36" t="inlineStr">
        <is>
          <t>Colonial Pointe</t>
        </is>
      </c>
      <c r="E55" s="55" t="inlineStr">
        <is>
          <t>556-405</t>
        </is>
      </c>
      <c r="F55" s="55" t="inlineStr">
        <is>
          <t>F-2</t>
        </is>
      </c>
      <c r="G55" s="55" t="inlineStr">
        <is>
          <t>F-2</t>
        </is>
      </c>
      <c r="K55" s="36" t="inlineStr">
        <is>
          <t>Dana Sopel</t>
        </is>
      </c>
      <c r="L55" s="56" t="n">
        <v>1141</v>
      </c>
      <c r="M55" s="57" t="n"/>
      <c r="N55" s="57" t="n"/>
      <c r="Q55" s="58" t="inlineStr">
        <is>
          <t>Occ</t>
        </is>
      </c>
      <c r="U55" s="59" t="n">
        <v>3629</v>
      </c>
      <c r="V55" s="59" t="n">
        <v>3629</v>
      </c>
      <c r="W55" s="59" t="n">
        <v>0</v>
      </c>
      <c r="X55" s="59" t="n">
        <v>0</v>
      </c>
      <c r="Y55" s="59" t="n">
        <v>0</v>
      </c>
      <c r="AB55" s="60" t="n">
        <v>46326</v>
      </c>
    </row>
    <row r="56">
      <c r="D56" s="36" t="inlineStr">
        <is>
          <t>Colonial Pointe</t>
        </is>
      </c>
      <c r="E56" s="55" t="inlineStr">
        <is>
          <t>556-406</t>
        </is>
      </c>
      <c r="F56" s="55" t="inlineStr">
        <is>
          <t>E-2</t>
        </is>
      </c>
      <c r="G56" s="55" t="inlineStr">
        <is>
          <t>E-2</t>
        </is>
      </c>
      <c r="K56" s="36" t="inlineStr">
        <is>
          <t>Hilda Jorge-Garcia, Fermin Garcia</t>
        </is>
      </c>
      <c r="L56" s="56" t="n">
        <v>1146</v>
      </c>
      <c r="M56" s="57" t="n"/>
      <c r="N56" s="57" t="n"/>
      <c r="Q56" s="58" t="inlineStr">
        <is>
          <t>Occ</t>
        </is>
      </c>
      <c r="U56" s="59" t="n">
        <v>3425</v>
      </c>
      <c r="V56" s="59" t="n">
        <v>3425</v>
      </c>
      <c r="W56" s="59" t="n">
        <v>0</v>
      </c>
      <c r="X56" s="59" t="n">
        <v>0</v>
      </c>
      <c r="Y56" s="59" t="n">
        <v>0</v>
      </c>
      <c r="AB56" s="60" t="n">
        <v>46234</v>
      </c>
    </row>
    <row r="57">
      <c r="D57" s="36" t="inlineStr">
        <is>
          <t>Colonial Pointe</t>
        </is>
      </c>
      <c r="E57" s="55" t="inlineStr">
        <is>
          <t>556-407</t>
        </is>
      </c>
      <c r="F57" s="55" t="inlineStr">
        <is>
          <t>B-1D</t>
        </is>
      </c>
      <c r="G57" s="55" t="inlineStr">
        <is>
          <t>B-1D</t>
        </is>
      </c>
      <c r="K57" s="36" t="inlineStr">
        <is>
          <t>Thomas Tashjian</t>
        </is>
      </c>
      <c r="L57" s="56" t="n">
        <v>980</v>
      </c>
      <c r="M57" s="57" t="n"/>
      <c r="N57" s="57" t="n"/>
      <c r="Q57" s="58" t="inlineStr">
        <is>
          <t>Occ</t>
        </is>
      </c>
      <c r="U57" s="59" t="n">
        <v>2925</v>
      </c>
      <c r="V57" s="59" t="n">
        <v>2925</v>
      </c>
      <c r="W57" s="59" t="n">
        <v>0</v>
      </c>
      <c r="X57" s="59" t="n">
        <v>0</v>
      </c>
      <c r="Y57" s="59" t="n">
        <v>0</v>
      </c>
      <c r="AB57" s="60" t="n">
        <v>46173</v>
      </c>
    </row>
    <row r="58">
      <c r="D58" s="36" t="inlineStr">
        <is>
          <t>Colonial Pointe</t>
        </is>
      </c>
      <c r="E58" s="55" t="inlineStr">
        <is>
          <t>556-408</t>
        </is>
      </c>
      <c r="F58" s="55" t="inlineStr">
        <is>
          <t>K-2</t>
        </is>
      </c>
      <c r="G58" s="55" t="inlineStr">
        <is>
          <t>K-2</t>
        </is>
      </c>
      <c r="K58" s="36" t="inlineStr">
        <is>
          <t>Camille Samuel, Julyet Samuel, Patricia Samuel</t>
        </is>
      </c>
      <c r="L58" s="56" t="n">
        <v>1134</v>
      </c>
      <c r="M58" s="57" t="n"/>
      <c r="N58" s="57" t="n"/>
      <c r="Q58" s="58" t="inlineStr">
        <is>
          <t>Occ</t>
        </is>
      </c>
      <c r="U58" s="59" t="n">
        <v>3533</v>
      </c>
      <c r="V58" s="59" t="n">
        <v>3533</v>
      </c>
      <c r="W58" s="59" t="n">
        <v>0</v>
      </c>
      <c r="X58" s="59" t="n">
        <v>0</v>
      </c>
      <c r="Y58" s="59" t="n">
        <v>0</v>
      </c>
      <c r="AB58" s="60" t="n">
        <v>46356</v>
      </c>
    </row>
    <row r="59">
      <c r="D59" s="36" t="inlineStr">
        <is>
          <t>Colonial Pointe</t>
        </is>
      </c>
      <c r="E59" s="55" t="inlineStr">
        <is>
          <t>556-409</t>
        </is>
      </c>
      <c r="F59" s="55" t="inlineStr">
        <is>
          <t>K-2</t>
        </is>
      </c>
      <c r="G59" s="55" t="inlineStr">
        <is>
          <t>K-2</t>
        </is>
      </c>
      <c r="K59" s="36" t="inlineStr">
        <is>
          <t>Marissa Liza</t>
        </is>
      </c>
      <c r="L59" s="56" t="n">
        <v>1134</v>
      </c>
      <c r="M59" s="57" t="n"/>
      <c r="N59" s="57" t="n"/>
      <c r="Q59" s="58" t="inlineStr">
        <is>
          <t>Occ</t>
        </is>
      </c>
      <c r="U59" s="59" t="n">
        <v>3577</v>
      </c>
      <c r="V59" s="59" t="n">
        <v>3577</v>
      </c>
      <c r="W59" s="59" t="n">
        <v>0</v>
      </c>
      <c r="X59" s="59" t="n">
        <v>0</v>
      </c>
      <c r="Y59" s="59" t="n">
        <v>0</v>
      </c>
      <c r="AB59" s="60" t="n">
        <v>46142</v>
      </c>
    </row>
    <row r="60">
      <c r="D60" s="36" t="inlineStr">
        <is>
          <t>Colonial Pointe</t>
        </is>
      </c>
      <c r="E60" s="55" t="inlineStr">
        <is>
          <t>556-410</t>
        </is>
      </c>
      <c r="F60" s="55" t="inlineStr">
        <is>
          <t>E-2</t>
        </is>
      </c>
      <c r="G60" s="55" t="inlineStr">
        <is>
          <t>E-2</t>
        </is>
      </c>
      <c r="K60" s="36" t="inlineStr">
        <is>
          <t>Sally Kady, John Kady</t>
        </is>
      </c>
      <c r="L60" s="56" t="n">
        <v>1146</v>
      </c>
      <c r="M60" s="57" t="n"/>
      <c r="N60" s="57" t="n"/>
      <c r="Q60" s="58" t="inlineStr">
        <is>
          <t>Occ</t>
        </is>
      </c>
      <c r="U60" s="59" t="n">
        <v>3565</v>
      </c>
      <c r="V60" s="59" t="n">
        <v>3565</v>
      </c>
      <c r="W60" s="59" t="n">
        <v>0</v>
      </c>
      <c r="X60" s="59" t="n">
        <v>0</v>
      </c>
      <c r="Y60" s="59" t="n">
        <v>0</v>
      </c>
      <c r="AB60" s="60" t="n">
        <v>46295</v>
      </c>
    </row>
    <row r="61">
      <c r="D61" s="36" t="inlineStr">
        <is>
          <t>Colonial Pointe</t>
        </is>
      </c>
      <c r="E61" s="55" t="inlineStr">
        <is>
          <t>556-411</t>
        </is>
      </c>
      <c r="F61" s="55" t="inlineStr">
        <is>
          <t>F-2</t>
        </is>
      </c>
      <c r="G61" s="55" t="inlineStr">
        <is>
          <t>F-2</t>
        </is>
      </c>
      <c r="K61" s="36" t="inlineStr">
        <is>
          <t>Gail Marquard</t>
        </is>
      </c>
      <c r="L61" s="56" t="n">
        <v>1141</v>
      </c>
      <c r="M61" s="57" t="n"/>
      <c r="N61" s="57" t="n"/>
      <c r="Q61" s="58" t="inlineStr">
        <is>
          <t>Occ</t>
        </is>
      </c>
      <c r="U61" s="59" t="n">
        <v>3467</v>
      </c>
      <c r="V61" s="59" t="n">
        <v>3467</v>
      </c>
      <c r="W61" s="59" t="n">
        <v>0</v>
      </c>
      <c r="X61" s="59" t="n">
        <v>0</v>
      </c>
      <c r="Y61" s="59" t="n">
        <v>0</v>
      </c>
      <c r="AB61" s="60" t="n">
        <v>46691</v>
      </c>
    </row>
    <row r="62">
      <c r="D62" s="36" t="inlineStr">
        <is>
          <t>Colonial Pointe</t>
        </is>
      </c>
      <c r="E62" s="55" t="inlineStr">
        <is>
          <t>556-412</t>
        </is>
      </c>
      <c r="F62" s="55" t="inlineStr">
        <is>
          <t>E-2</t>
        </is>
      </c>
      <c r="G62" s="55" t="inlineStr">
        <is>
          <t>E-2</t>
        </is>
      </c>
      <c r="K62" s="36" t="inlineStr">
        <is>
          <t>Aga Montes, Vin Montes</t>
        </is>
      </c>
      <c r="L62" s="56" t="n">
        <v>1146</v>
      </c>
      <c r="M62" s="57" t="n"/>
      <c r="N62" s="57" t="n"/>
      <c r="Q62" s="58" t="inlineStr">
        <is>
          <t>Occ</t>
        </is>
      </c>
      <c r="U62" s="59" t="n">
        <v>3500</v>
      </c>
      <c r="V62" s="59" t="n">
        <v>3500</v>
      </c>
      <c r="W62" s="59" t="n">
        <v>0</v>
      </c>
      <c r="X62" s="59" t="n">
        <v>0</v>
      </c>
      <c r="Y62" s="59" t="n">
        <v>0</v>
      </c>
      <c r="AB62" s="60" t="n">
        <v>46295</v>
      </c>
    </row>
    <row r="63">
      <c r="D63" s="36" t="inlineStr">
        <is>
          <t>Colonial Pointe</t>
        </is>
      </c>
      <c r="E63" s="55" t="inlineStr">
        <is>
          <t>556-413</t>
        </is>
      </c>
      <c r="F63" s="55" t="inlineStr">
        <is>
          <t>H1-2D</t>
        </is>
      </c>
      <c r="G63" s="55" t="inlineStr">
        <is>
          <t>H1-2D</t>
        </is>
      </c>
      <c r="K63" s="36" t="inlineStr">
        <is>
          <t>Anthony Ruggiero</t>
        </is>
      </c>
      <c r="L63" s="56" t="n">
        <v>1505</v>
      </c>
      <c r="M63" s="57" t="n"/>
      <c r="N63" s="57" t="n"/>
      <c r="Q63" s="58" t="inlineStr">
        <is>
          <t>Occ</t>
        </is>
      </c>
      <c r="U63" s="59" t="n">
        <v>4065</v>
      </c>
      <c r="V63" s="59" t="n">
        <v>4065</v>
      </c>
      <c r="W63" s="59" t="n">
        <v>0</v>
      </c>
      <c r="X63" s="59" t="n">
        <v>0</v>
      </c>
      <c r="Y63" s="59" t="n">
        <v>0</v>
      </c>
      <c r="AB63" s="60" t="n">
        <v>46295</v>
      </c>
    </row>
    <row r="64">
      <c r="D64" s="36" t="inlineStr">
        <is>
          <t>Colonial Pointe</t>
        </is>
      </c>
      <c r="E64" s="55" t="inlineStr">
        <is>
          <t>556-414</t>
        </is>
      </c>
      <c r="F64" s="55" t="inlineStr">
        <is>
          <t>G-2D</t>
        </is>
      </c>
      <c r="G64" s="55" t="inlineStr">
        <is>
          <t>G-2D</t>
        </is>
      </c>
      <c r="K64" s="36" t="inlineStr">
        <is>
          <t>Joseph Geronimo, Anna Geronimo</t>
        </is>
      </c>
      <c r="L64" s="56" t="n">
        <v>1434</v>
      </c>
      <c r="M64" s="57" t="n"/>
      <c r="N64" s="57" t="n"/>
      <c r="Q64" s="58" t="inlineStr">
        <is>
          <t>Occ</t>
        </is>
      </c>
      <c r="U64" s="59" t="n">
        <v>3964</v>
      </c>
      <c r="V64" s="59" t="n">
        <v>3964</v>
      </c>
      <c r="W64" s="59" t="n">
        <v>0</v>
      </c>
      <c r="X64" s="59" t="n">
        <v>0</v>
      </c>
      <c r="Y64" s="59" t="n">
        <v>0</v>
      </c>
      <c r="AB64" s="60" t="n">
        <v>46507</v>
      </c>
    </row>
    <row r="65">
      <c r="D65" s="36" t="inlineStr">
        <is>
          <t>Colonial Pointe</t>
        </is>
      </c>
      <c r="E65" s="55" t="inlineStr">
        <is>
          <t>556-415</t>
        </is>
      </c>
      <c r="F65" s="55" t="inlineStr">
        <is>
          <t>F-2</t>
        </is>
      </c>
      <c r="G65" s="55" t="inlineStr">
        <is>
          <t>F-2</t>
        </is>
      </c>
      <c r="K65" s="36" t="inlineStr">
        <is>
          <t>Janet Koeller</t>
        </is>
      </c>
      <c r="L65" s="56" t="n">
        <v>1141</v>
      </c>
      <c r="M65" s="57" t="n"/>
      <c r="N65" s="57" t="n"/>
      <c r="Q65" s="58" t="inlineStr">
        <is>
          <t>Occ</t>
        </is>
      </c>
      <c r="U65" s="59" t="n">
        <v>3443</v>
      </c>
      <c r="V65" s="59" t="n">
        <v>3443</v>
      </c>
      <c r="W65" s="59" t="n">
        <v>0</v>
      </c>
      <c r="X65" s="59" t="n">
        <v>0</v>
      </c>
      <c r="Y65" s="59" t="n">
        <v>0</v>
      </c>
      <c r="AB65" s="60" t="n">
        <v>46173</v>
      </c>
    </row>
    <row r="66">
      <c r="D66" s="36" t="inlineStr">
        <is>
          <t>Colonial Pointe</t>
        </is>
      </c>
      <c r="E66" s="55" t="inlineStr">
        <is>
          <t>556-416</t>
        </is>
      </c>
      <c r="F66" s="55" t="inlineStr">
        <is>
          <t>B-1D</t>
        </is>
      </c>
      <c r="G66" s="55" t="inlineStr">
        <is>
          <t>B-1D</t>
        </is>
      </c>
      <c r="K66" s="36" t="inlineStr">
        <is>
          <t>Sarah Kuldip</t>
        </is>
      </c>
      <c r="L66" s="56" t="n">
        <v>980</v>
      </c>
      <c r="M66" s="57" t="n"/>
      <c r="N66" s="57" t="n"/>
      <c r="Q66" s="58" t="inlineStr">
        <is>
          <t>Occ</t>
        </is>
      </c>
      <c r="U66" s="59" t="n">
        <v>3028</v>
      </c>
      <c r="V66" s="59" t="n">
        <v>3028</v>
      </c>
      <c r="W66" s="59" t="n">
        <v>0</v>
      </c>
      <c r="X66" s="59" t="n">
        <v>0</v>
      </c>
      <c r="Y66" s="59" t="n">
        <v>0</v>
      </c>
      <c r="AB66" s="60" t="n">
        <v>46446</v>
      </c>
    </row>
    <row r="67">
      <c r="D67" s="36" t="inlineStr">
        <is>
          <t>Colonial Pointe</t>
        </is>
      </c>
      <c r="E67" s="55" t="inlineStr">
        <is>
          <t>556-417</t>
        </is>
      </c>
      <c r="F67" s="55" t="inlineStr">
        <is>
          <t>K-2</t>
        </is>
      </c>
      <c r="G67" s="55" t="inlineStr">
        <is>
          <t>K-2</t>
        </is>
      </c>
      <c r="K67" s="36" t="inlineStr">
        <is>
          <t>Alicia Marcucilli</t>
        </is>
      </c>
      <c r="L67" s="56" t="n">
        <v>1134</v>
      </c>
      <c r="M67" s="57" t="n"/>
      <c r="N67" s="57" t="n"/>
      <c r="Q67" s="58" t="inlineStr">
        <is>
          <t>Occ</t>
        </is>
      </c>
      <c r="U67" s="59" t="n">
        <v>3593</v>
      </c>
      <c r="V67" s="59" t="n">
        <v>3593</v>
      </c>
      <c r="W67" s="59" t="n">
        <v>0</v>
      </c>
      <c r="X67" s="59" t="n">
        <v>0</v>
      </c>
      <c r="Y67" s="59" t="n">
        <v>0</v>
      </c>
      <c r="AB67" s="60" t="n">
        <v>46446</v>
      </c>
    </row>
    <row r="68">
      <c r="D68" s="36" t="inlineStr">
        <is>
          <t>Colonial Pointe</t>
        </is>
      </c>
      <c r="E68" s="55" t="inlineStr">
        <is>
          <t>556-418</t>
        </is>
      </c>
      <c r="F68" s="55" t="inlineStr">
        <is>
          <t>K-2</t>
        </is>
      </c>
      <c r="G68" s="55" t="inlineStr">
        <is>
          <t>K-2</t>
        </is>
      </c>
      <c r="K68" s="36" t="inlineStr">
        <is>
          <t>Ani Gabrellian</t>
        </is>
      </c>
      <c r="L68" s="56" t="n">
        <v>1134</v>
      </c>
      <c r="M68" s="57" t="n"/>
      <c r="N68" s="57" t="n"/>
      <c r="Q68" s="58" t="inlineStr">
        <is>
          <t>Occ</t>
        </is>
      </c>
      <c r="U68" s="59" t="n">
        <v>3745</v>
      </c>
      <c r="V68" s="59" t="n">
        <v>3745</v>
      </c>
      <c r="W68" s="59" t="n">
        <v>0</v>
      </c>
      <c r="X68" s="59" t="n">
        <v>0</v>
      </c>
      <c r="Y68" s="59" t="n">
        <v>0</v>
      </c>
      <c r="AB68" s="60" t="n">
        <v>46265</v>
      </c>
    </row>
    <row r="69">
      <c r="D69" s="36" t="inlineStr">
        <is>
          <t>Colonial Pointe</t>
        </is>
      </c>
      <c r="E69" s="55" t="inlineStr">
        <is>
          <t>556-419</t>
        </is>
      </c>
      <c r="F69" s="55" t="inlineStr">
        <is>
          <t>E-2</t>
        </is>
      </c>
      <c r="G69" s="55" t="inlineStr">
        <is>
          <t>E-2</t>
        </is>
      </c>
      <c r="K69" s="36" t="inlineStr">
        <is>
          <t>David Smiley</t>
        </is>
      </c>
      <c r="L69" s="56" t="n">
        <v>1146</v>
      </c>
      <c r="M69" s="57" t="n"/>
      <c r="N69" s="57" t="n"/>
      <c r="Q69" s="58" t="inlineStr">
        <is>
          <t>Occ</t>
        </is>
      </c>
      <c r="U69" s="59" t="n">
        <v>3425</v>
      </c>
      <c r="V69" s="59" t="n">
        <v>3425</v>
      </c>
      <c r="W69" s="59" t="n">
        <v>0</v>
      </c>
      <c r="X69" s="59" t="n">
        <v>0</v>
      </c>
      <c r="Y69" s="59" t="n">
        <v>0</v>
      </c>
      <c r="AB69" s="60" t="n">
        <v>46173</v>
      </c>
    </row>
    <row r="70">
      <c r="D70" s="36" t="inlineStr">
        <is>
          <t>Colonial Pointe</t>
        </is>
      </c>
      <c r="E70" s="55" t="inlineStr">
        <is>
          <t>556-420</t>
        </is>
      </c>
      <c r="F70" s="55" t="inlineStr">
        <is>
          <t>A-1</t>
        </is>
      </c>
      <c r="G70" s="55" t="inlineStr">
        <is>
          <t>A-1</t>
        </is>
      </c>
      <c r="K70" s="36" t="inlineStr">
        <is>
          <t>Vacant</t>
        </is>
      </c>
      <c r="L70" s="56" t="n">
        <v>845</v>
      </c>
      <c r="M70" s="57" t="n"/>
      <c r="N70" s="57" t="n"/>
      <c r="Q70" s="58" t="inlineStr">
        <is>
          <t>Vac</t>
        </is>
      </c>
      <c r="U70" s="59" t="n">
        <v>3085</v>
      </c>
      <c r="V70" s="59" t="n">
        <v>0</v>
      </c>
      <c r="W70" s="59" t="n">
        <v>0</v>
      </c>
      <c r="X70" s="59" t="n">
        <v>0</v>
      </c>
      <c r="Y70" s="59" t="n">
        <v>0</v>
      </c>
    </row>
    <row r="71">
      <c r="D71" s="36" t="inlineStr">
        <is>
          <t>Colonial Pointe</t>
        </is>
      </c>
      <c r="E71" s="55" t="inlineStr">
        <is>
          <t>556-421</t>
        </is>
      </c>
      <c r="F71" s="55" t="inlineStr">
        <is>
          <t>A-1</t>
        </is>
      </c>
      <c r="G71" s="55" t="inlineStr">
        <is>
          <t>A-1</t>
        </is>
      </c>
      <c r="K71" s="36" t="inlineStr">
        <is>
          <t>Carol Lobban</t>
        </is>
      </c>
      <c r="L71" s="56" t="n">
        <v>845</v>
      </c>
      <c r="M71" s="57" t="n"/>
      <c r="N71" s="57" t="n"/>
      <c r="Q71" s="58" t="inlineStr">
        <is>
          <t>Occ</t>
        </is>
      </c>
      <c r="U71" s="59" t="n">
        <v>2848</v>
      </c>
      <c r="V71" s="59" t="n">
        <v>2848</v>
      </c>
      <c r="W71" s="59" t="n">
        <v>0</v>
      </c>
      <c r="X71" s="59" t="n">
        <v>0</v>
      </c>
      <c r="Y71" s="59" t="n">
        <v>0</v>
      </c>
      <c r="AB71" s="60" t="n">
        <v>46295</v>
      </c>
    </row>
    <row r="72">
      <c r="D72" s="36" t="inlineStr">
        <is>
          <t>Colonial Pointe</t>
        </is>
      </c>
      <c r="E72" s="55" t="inlineStr">
        <is>
          <t>556-422</t>
        </is>
      </c>
      <c r="F72" s="55" t="inlineStr">
        <is>
          <t>A-1</t>
        </is>
      </c>
      <c r="G72" s="55" t="inlineStr">
        <is>
          <t>A-1</t>
        </is>
      </c>
      <c r="K72" s="36" t="inlineStr">
        <is>
          <t>Kristy Rothfritz</t>
        </is>
      </c>
      <c r="L72" s="56" t="n">
        <v>845</v>
      </c>
      <c r="M72" s="57" t="n"/>
      <c r="N72" s="57" t="n"/>
      <c r="Q72" s="58" t="inlineStr">
        <is>
          <t>Occ</t>
        </is>
      </c>
      <c r="U72" s="59" t="n">
        <v>2828</v>
      </c>
      <c r="V72" s="59" t="n">
        <v>2828</v>
      </c>
      <c r="W72" s="59" t="n">
        <v>0</v>
      </c>
      <c r="X72" s="59" t="n">
        <v>0</v>
      </c>
      <c r="Y72" s="59" t="n">
        <v>0</v>
      </c>
      <c r="AB72" s="60" t="n">
        <v>46387</v>
      </c>
    </row>
    <row r="73">
      <c r="D73" s="36" t="inlineStr">
        <is>
          <t>Colonial Pointe</t>
        </is>
      </c>
      <c r="E73" s="55" t="inlineStr">
        <is>
          <t>558-101</t>
        </is>
      </c>
      <c r="F73" s="55" t="inlineStr">
        <is>
          <t>P1-1 AFF L</t>
        </is>
      </c>
      <c r="G73" s="55" t="inlineStr">
        <is>
          <t>P1-1 AFF L</t>
        </is>
      </c>
      <c r="K73" s="36" t="inlineStr">
        <is>
          <t>Romualdo Turelli</t>
        </is>
      </c>
      <c r="L73" s="56" t="n">
        <v>710</v>
      </c>
      <c r="M73" s="57" t="n"/>
      <c r="N73" s="57" t="n"/>
      <c r="Q73" s="58" t="inlineStr">
        <is>
          <t>Occ</t>
        </is>
      </c>
      <c r="U73" s="59" t="n">
        <v>977</v>
      </c>
      <c r="V73" s="59" t="n">
        <v>977</v>
      </c>
      <c r="W73" s="59" t="n">
        <v>0</v>
      </c>
      <c r="X73" s="59" t="n">
        <v>0</v>
      </c>
      <c r="Y73" s="59" t="n">
        <v>0</v>
      </c>
      <c r="AB73" s="60" t="n">
        <v>46477</v>
      </c>
    </row>
    <row r="74">
      <c r="D74" s="36" t="inlineStr">
        <is>
          <t>Colonial Pointe</t>
        </is>
      </c>
      <c r="E74" s="55" t="inlineStr">
        <is>
          <t>558-102</t>
        </is>
      </c>
      <c r="F74" s="55" t="inlineStr">
        <is>
          <t>L-2 AFF VL</t>
        </is>
      </c>
      <c r="G74" s="55" t="inlineStr">
        <is>
          <t>L-2 AFF VL</t>
        </is>
      </c>
      <c r="K74" s="36" t="inlineStr">
        <is>
          <t>Lori Clolinger</t>
        </is>
      </c>
      <c r="L74" s="56" t="n">
        <v>881</v>
      </c>
      <c r="M74" s="57" t="n"/>
      <c r="N74" s="57" t="n"/>
      <c r="Q74" s="58" t="inlineStr">
        <is>
          <t>Occ</t>
        </is>
      </c>
      <c r="U74" s="59" t="n">
        <v>625</v>
      </c>
      <c r="V74" s="59" t="n">
        <v>625</v>
      </c>
      <c r="W74" s="59" t="n">
        <v>0</v>
      </c>
      <c r="X74" s="59" t="n">
        <v>0</v>
      </c>
      <c r="Y74" s="59" t="n">
        <v>0</v>
      </c>
      <c r="AB74" s="60" t="n">
        <v>46477</v>
      </c>
    </row>
    <row r="75">
      <c r="D75" s="36" t="inlineStr">
        <is>
          <t>Colonial Pointe</t>
        </is>
      </c>
      <c r="E75" s="55" t="inlineStr">
        <is>
          <t>558-103</t>
        </is>
      </c>
      <c r="F75" s="55" t="inlineStr">
        <is>
          <t>L-2 AFF VL</t>
        </is>
      </c>
      <c r="G75" s="55" t="inlineStr">
        <is>
          <t>L-2 AFF VL</t>
        </is>
      </c>
      <c r="K75" s="36" t="inlineStr">
        <is>
          <t>Amanda Parisi</t>
        </is>
      </c>
      <c r="L75" s="56" t="n">
        <v>881</v>
      </c>
      <c r="M75" s="57" t="n"/>
      <c r="N75" s="57" t="n"/>
      <c r="Q75" s="58" t="inlineStr">
        <is>
          <t>Occ</t>
        </is>
      </c>
      <c r="U75" s="59" t="n">
        <v>704</v>
      </c>
      <c r="V75" s="59" t="n">
        <v>704</v>
      </c>
      <c r="W75" s="59" t="n">
        <v>0</v>
      </c>
      <c r="X75" s="59" t="n">
        <v>0</v>
      </c>
      <c r="Y75" s="59" t="n">
        <v>0</v>
      </c>
      <c r="AB75" s="60" t="n">
        <v>46477</v>
      </c>
    </row>
    <row r="76">
      <c r="D76" s="36" t="inlineStr">
        <is>
          <t>Colonial Pointe</t>
        </is>
      </c>
      <c r="E76" s="55" t="inlineStr">
        <is>
          <t>558-104</t>
        </is>
      </c>
      <c r="F76" s="55" t="inlineStr">
        <is>
          <t>N-2 AFF VL</t>
        </is>
      </c>
      <c r="G76" s="55" t="inlineStr">
        <is>
          <t>N-2 AFF VL</t>
        </is>
      </c>
      <c r="K76" s="36" t="inlineStr">
        <is>
          <t>Jacqueline Craven</t>
        </is>
      </c>
      <c r="L76" s="56" t="n">
        <v>960</v>
      </c>
      <c r="M76" s="57" t="n"/>
      <c r="N76" s="57" t="n"/>
      <c r="Q76" s="58" t="inlineStr">
        <is>
          <t>Occ</t>
        </is>
      </c>
      <c r="U76" s="59" t="n">
        <v>623</v>
      </c>
      <c r="V76" s="59" t="n">
        <v>623</v>
      </c>
      <c r="W76" s="59" t="n">
        <v>0</v>
      </c>
      <c r="X76" s="59" t="n">
        <v>0</v>
      </c>
      <c r="Y76" s="59" t="n">
        <v>0</v>
      </c>
      <c r="AB76" s="60" t="n">
        <v>46387</v>
      </c>
    </row>
    <row r="77">
      <c r="D77" s="36" t="inlineStr">
        <is>
          <t>Colonial Pointe</t>
        </is>
      </c>
      <c r="E77" s="55" t="inlineStr">
        <is>
          <t>558-105</t>
        </is>
      </c>
      <c r="F77" s="55" t="inlineStr">
        <is>
          <t>N-2 AFF L</t>
        </is>
      </c>
      <c r="G77" s="55" t="inlineStr">
        <is>
          <t>N-2 AFF L</t>
        </is>
      </c>
      <c r="K77" s="36" t="inlineStr">
        <is>
          <t>Amelia DeLaRosa</t>
        </is>
      </c>
      <c r="L77" s="56" t="n">
        <v>960</v>
      </c>
      <c r="M77" s="57" t="n"/>
      <c r="N77" s="57" t="n"/>
      <c r="Q77" s="58" t="inlineStr">
        <is>
          <t>Occ</t>
        </is>
      </c>
      <c r="U77" s="59" t="n">
        <v>1073</v>
      </c>
      <c r="V77" s="59" t="n">
        <v>1073</v>
      </c>
      <c r="W77" s="59" t="n">
        <v>0</v>
      </c>
      <c r="X77" s="59" t="n">
        <v>0</v>
      </c>
      <c r="Y77" s="59" t="n">
        <v>0</v>
      </c>
      <c r="AB77" s="60" t="n">
        <v>46142</v>
      </c>
    </row>
    <row r="78">
      <c r="D78" s="36" t="inlineStr">
        <is>
          <t>Colonial Pointe</t>
        </is>
      </c>
      <c r="E78" s="55" t="inlineStr">
        <is>
          <t>558-106</t>
        </is>
      </c>
      <c r="F78" s="55" t="inlineStr">
        <is>
          <t>M-3 AFF VL</t>
        </is>
      </c>
      <c r="G78" s="55" t="inlineStr">
        <is>
          <t>M-3 AFF VL</t>
        </is>
      </c>
      <c r="K78" s="36" t="inlineStr">
        <is>
          <t>Jahnita Merced</t>
        </is>
      </c>
      <c r="L78" s="56" t="n">
        <v>1203</v>
      </c>
      <c r="M78" s="57" t="n"/>
      <c r="N78" s="57" t="n"/>
      <c r="Q78" s="58" t="inlineStr">
        <is>
          <t>Occ</t>
        </is>
      </c>
      <c r="U78" s="59" t="n">
        <v>887</v>
      </c>
      <c r="V78" s="59" t="n">
        <v>887</v>
      </c>
      <c r="W78" s="59" t="n">
        <v>0</v>
      </c>
      <c r="X78" s="59" t="n">
        <v>0</v>
      </c>
      <c r="Y78" s="59" t="n">
        <v>0</v>
      </c>
      <c r="AB78" s="60" t="n">
        <v>46477</v>
      </c>
    </row>
    <row r="79">
      <c r="D79" s="36" t="inlineStr">
        <is>
          <t>Colonial Pointe</t>
        </is>
      </c>
      <c r="E79" s="55" t="inlineStr">
        <is>
          <t>558-107</t>
        </is>
      </c>
      <c r="F79" s="55" t="inlineStr">
        <is>
          <t>M-2 AFF L</t>
        </is>
      </c>
      <c r="G79" s="55" t="inlineStr">
        <is>
          <t>M-2 AFF L</t>
        </is>
      </c>
      <c r="K79" s="36" t="inlineStr">
        <is>
          <t>Marilyn Betancourt</t>
        </is>
      </c>
      <c r="L79" s="56" t="n">
        <v>1047</v>
      </c>
      <c r="M79" s="57" t="n"/>
      <c r="N79" s="57" t="n"/>
      <c r="Q79" s="58" t="inlineStr">
        <is>
          <t>Occ</t>
        </is>
      </c>
      <c r="U79" s="59" t="n">
        <v>1073</v>
      </c>
      <c r="V79" s="59" t="n">
        <v>1073</v>
      </c>
      <c r="W79" s="59" t="n">
        <v>0</v>
      </c>
      <c r="X79" s="59" t="n">
        <v>0</v>
      </c>
      <c r="Y79" s="59" t="n">
        <v>0</v>
      </c>
      <c r="AB79" s="60" t="n">
        <v>46142</v>
      </c>
    </row>
    <row r="80">
      <c r="D80" s="36" t="inlineStr">
        <is>
          <t>Colonial Pointe</t>
        </is>
      </c>
      <c r="E80" s="55" t="inlineStr">
        <is>
          <t>558-201</t>
        </is>
      </c>
      <c r="F80" s="55" t="inlineStr">
        <is>
          <t>P-1 AFF L</t>
        </is>
      </c>
      <c r="G80" s="55" t="inlineStr">
        <is>
          <t>P-1 AFF L</t>
        </is>
      </c>
      <c r="K80" s="36" t="inlineStr">
        <is>
          <t>Demetria Moore</t>
        </is>
      </c>
      <c r="L80" s="56" t="n">
        <v>984</v>
      </c>
      <c r="M80" s="57" t="n"/>
      <c r="N80" s="57" t="n"/>
      <c r="Q80" s="58" t="inlineStr">
        <is>
          <t>Occ</t>
        </is>
      </c>
      <c r="U80" s="59" t="n">
        <v>1133</v>
      </c>
      <c r="V80" s="59" t="n">
        <v>1133</v>
      </c>
      <c r="W80" s="59" t="n">
        <v>0</v>
      </c>
      <c r="X80" s="59" t="n">
        <v>0</v>
      </c>
      <c r="Y80" s="59" t="n">
        <v>0</v>
      </c>
      <c r="AB80" s="60" t="n">
        <v>46446</v>
      </c>
    </row>
    <row r="81">
      <c r="D81" s="36" t="inlineStr">
        <is>
          <t>Colonial Pointe</t>
        </is>
      </c>
      <c r="E81" s="55" t="inlineStr">
        <is>
          <t>558-202</t>
        </is>
      </c>
      <c r="F81" s="55" t="inlineStr">
        <is>
          <t>L-2 AFF M</t>
        </is>
      </c>
      <c r="G81" s="55" t="inlineStr">
        <is>
          <t>L-2 AFF M</t>
        </is>
      </c>
      <c r="K81" s="36" t="inlineStr">
        <is>
          <t>Donna Mango, Peter Mango</t>
        </is>
      </c>
      <c r="L81" s="56" t="n">
        <v>881</v>
      </c>
      <c r="M81" s="57" t="n"/>
      <c r="N81" s="57" t="n"/>
      <c r="Q81" s="58" t="inlineStr">
        <is>
          <t>Occ</t>
        </is>
      </c>
      <c r="U81" s="59" t="n">
        <v>1386</v>
      </c>
      <c r="V81" s="59" t="n">
        <v>1386</v>
      </c>
      <c r="W81" s="59" t="n">
        <v>0</v>
      </c>
      <c r="X81" s="59" t="n">
        <v>0</v>
      </c>
      <c r="Y81" s="59" t="n">
        <v>0</v>
      </c>
      <c r="AB81" s="60" t="n">
        <v>46446</v>
      </c>
    </row>
    <row r="82">
      <c r="D82" s="36" t="inlineStr">
        <is>
          <t>Colonial Pointe</t>
        </is>
      </c>
      <c r="E82" s="55" t="inlineStr">
        <is>
          <t>558-203</t>
        </is>
      </c>
      <c r="F82" s="55" t="inlineStr">
        <is>
          <t>L-2 AFF M</t>
        </is>
      </c>
      <c r="G82" s="55" t="inlineStr">
        <is>
          <t>L-2 AFF M</t>
        </is>
      </c>
      <c r="K82" s="36" t="inlineStr">
        <is>
          <t>Ingrid Daniels, LaNique Watts</t>
        </is>
      </c>
      <c r="L82" s="56" t="n">
        <v>881</v>
      </c>
      <c r="M82" s="57" t="n"/>
      <c r="N82" s="57" t="n"/>
      <c r="Q82" s="58" t="inlineStr">
        <is>
          <t>Occ</t>
        </is>
      </c>
      <c r="U82" s="59" t="n">
        <v>1465</v>
      </c>
      <c r="V82" s="59" t="n">
        <v>1465</v>
      </c>
      <c r="W82" s="59" t="n">
        <v>0</v>
      </c>
      <c r="X82" s="59" t="n">
        <v>0</v>
      </c>
      <c r="Y82" s="59" t="n">
        <v>0</v>
      </c>
      <c r="AB82" s="60" t="n">
        <v>46446</v>
      </c>
    </row>
    <row r="83">
      <c r="D83" s="36" t="inlineStr">
        <is>
          <t>Colonial Pointe</t>
        </is>
      </c>
      <c r="E83" s="55" t="inlineStr">
        <is>
          <t>558-204</t>
        </is>
      </c>
      <c r="F83" s="55" t="inlineStr">
        <is>
          <t>N-2 AFF M</t>
        </is>
      </c>
      <c r="G83" s="55" t="inlineStr">
        <is>
          <t>N-2 AFF M</t>
        </is>
      </c>
      <c r="K83" s="36" t="inlineStr">
        <is>
          <t>Karen Williamson</t>
        </is>
      </c>
      <c r="L83" s="56" t="n">
        <v>960</v>
      </c>
      <c r="M83" s="57" t="n"/>
      <c r="N83" s="57" t="n"/>
      <c r="Q83" s="58" t="inlineStr">
        <is>
          <t>Occ</t>
        </is>
      </c>
      <c r="U83" s="59" t="n">
        <v>1297</v>
      </c>
      <c r="V83" s="59" t="n">
        <v>1297</v>
      </c>
      <c r="W83" s="59" t="n">
        <v>0</v>
      </c>
      <c r="X83" s="59" t="n">
        <v>0</v>
      </c>
      <c r="Y83" s="59" t="n">
        <v>0</v>
      </c>
      <c r="AB83" s="60" t="n">
        <v>46265</v>
      </c>
    </row>
    <row r="84">
      <c r="D84" s="36" t="inlineStr">
        <is>
          <t>Colonial Pointe</t>
        </is>
      </c>
      <c r="E84" s="55" t="inlineStr">
        <is>
          <t>558-205</t>
        </is>
      </c>
      <c r="F84" s="55" t="inlineStr">
        <is>
          <t>N-2 AFF M</t>
        </is>
      </c>
      <c r="G84" s="55" t="inlineStr">
        <is>
          <t>N-2 AFF M</t>
        </is>
      </c>
      <c r="K84" s="36" t="inlineStr">
        <is>
          <t>Veronica Candia-Toledo</t>
        </is>
      </c>
      <c r="L84" s="56" t="n">
        <v>960</v>
      </c>
      <c r="M84" s="57" t="n"/>
      <c r="N84" s="57" t="n"/>
      <c r="Q84" s="58" t="inlineStr">
        <is>
          <t>Occ</t>
        </is>
      </c>
      <c r="R84" s="55" t="inlineStr">
        <is>
          <t>MTM</t>
        </is>
      </c>
      <c r="U84" s="59" t="n">
        <v>1313</v>
      </c>
      <c r="V84" s="59" t="n">
        <v>1313</v>
      </c>
      <c r="W84" s="59" t="n">
        <v>0</v>
      </c>
      <c r="X84" s="59" t="n">
        <v>0</v>
      </c>
      <c r="Y84" s="59" t="n">
        <v>0</v>
      </c>
    </row>
    <row r="85">
      <c r="D85" s="36" t="inlineStr">
        <is>
          <t>Colonial Pointe</t>
        </is>
      </c>
      <c r="E85" s="55" t="inlineStr">
        <is>
          <t>558-206</t>
        </is>
      </c>
      <c r="F85" s="55" t="inlineStr">
        <is>
          <t>M-3 AFF L</t>
        </is>
      </c>
      <c r="G85" s="55" t="inlineStr">
        <is>
          <t>M-3 AFF L</t>
        </is>
      </c>
      <c r="K85" s="36" t="inlineStr">
        <is>
          <t>Vacant</t>
        </is>
      </c>
      <c r="L85" s="56" t="n">
        <v>1203</v>
      </c>
      <c r="M85" s="57" t="n"/>
      <c r="N85" s="57" t="n"/>
      <c r="Q85" s="58" t="inlineStr">
        <is>
          <t>Vac</t>
        </is>
      </c>
      <c r="U85" s="59" t="n">
        <v>1650</v>
      </c>
      <c r="V85" s="59" t="n">
        <v>0</v>
      </c>
      <c r="W85" s="59" t="n">
        <v>0</v>
      </c>
      <c r="X85" s="59" t="n">
        <v>0</v>
      </c>
      <c r="Y85" s="59" t="n">
        <v>0</v>
      </c>
    </row>
    <row r="86">
      <c r="D86" s="36" t="inlineStr">
        <is>
          <t>Colonial Pointe</t>
        </is>
      </c>
      <c r="E86" s="55" t="inlineStr">
        <is>
          <t>558-207</t>
        </is>
      </c>
      <c r="F86" s="55" t="inlineStr">
        <is>
          <t>M-3 AFF M</t>
        </is>
      </c>
      <c r="G86" s="55" t="inlineStr">
        <is>
          <t>M-3 AFF M</t>
        </is>
      </c>
      <c r="K86" s="36" t="inlineStr">
        <is>
          <t>Wanda DeLeon</t>
        </is>
      </c>
      <c r="L86" s="56" t="n">
        <v>1203</v>
      </c>
      <c r="M86" s="57" t="n"/>
      <c r="N86" s="57" t="n"/>
      <c r="Q86" s="58" t="inlineStr">
        <is>
          <t>Occ</t>
        </is>
      </c>
      <c r="U86" s="59" t="n">
        <v>1644</v>
      </c>
      <c r="V86" s="59" t="n">
        <v>1644</v>
      </c>
      <c r="W86" s="59" t="n">
        <v>0</v>
      </c>
      <c r="X86" s="59" t="n">
        <v>0</v>
      </c>
      <c r="Y86" s="59" t="n">
        <v>0</v>
      </c>
      <c r="AB86" s="60" t="n">
        <v>46387</v>
      </c>
    </row>
    <row r="87">
      <c r="D87" s="36" t="inlineStr">
        <is>
          <t>Colonial Pointe</t>
        </is>
      </c>
      <c r="E87" s="55" t="inlineStr">
        <is>
          <t>558-208</t>
        </is>
      </c>
      <c r="F87" s="55" t="inlineStr">
        <is>
          <t>Q-1 AFF M</t>
        </is>
      </c>
      <c r="G87" s="55" t="inlineStr">
        <is>
          <t>Q-1 AFF M</t>
        </is>
      </c>
      <c r="K87" s="36" t="inlineStr">
        <is>
          <t>Eva Noa</t>
        </is>
      </c>
      <c r="L87" s="56" t="n">
        <v>705</v>
      </c>
      <c r="M87" s="57" t="n"/>
      <c r="N87" s="57" t="n"/>
      <c r="Q87" s="58" t="inlineStr">
        <is>
          <t>Occ</t>
        </is>
      </c>
      <c r="U87" s="59" t="n">
        <v>1123</v>
      </c>
      <c r="V87" s="59" t="n">
        <v>1123</v>
      </c>
      <c r="W87" s="59" t="n">
        <v>0</v>
      </c>
      <c r="X87" s="59" t="n">
        <v>0</v>
      </c>
      <c r="Y87" s="59" t="n">
        <v>0</v>
      </c>
      <c r="AB87" s="60" t="n">
        <v>46326</v>
      </c>
    </row>
    <row r="88">
      <c r="D88" s="36" t="inlineStr">
        <is>
          <t>Colonial Pointe</t>
        </is>
      </c>
      <c r="E88" s="55" t="inlineStr">
        <is>
          <t>558-301</t>
        </is>
      </c>
      <c r="F88" s="55" t="inlineStr">
        <is>
          <t>P-1</t>
        </is>
      </c>
      <c r="G88" s="55" t="inlineStr">
        <is>
          <t>P-1</t>
        </is>
      </c>
      <c r="K88" s="36" t="inlineStr">
        <is>
          <t>Daniel Mazza</t>
        </is>
      </c>
      <c r="L88" s="56" t="n">
        <v>984</v>
      </c>
      <c r="M88" s="57" t="n"/>
      <c r="N88" s="57" t="n"/>
      <c r="Q88" s="58" t="inlineStr">
        <is>
          <t>Occ</t>
        </is>
      </c>
      <c r="U88" s="59" t="n">
        <v>2710</v>
      </c>
      <c r="V88" s="59" t="n">
        <v>2710</v>
      </c>
      <c r="W88" s="59" t="n">
        <v>0</v>
      </c>
      <c r="X88" s="59" t="n">
        <v>0</v>
      </c>
      <c r="Y88" s="59" t="n">
        <v>0</v>
      </c>
      <c r="AB88" s="60" t="n">
        <v>46630</v>
      </c>
    </row>
    <row r="89">
      <c r="D89" s="36" t="inlineStr">
        <is>
          <t>Colonial Pointe</t>
        </is>
      </c>
      <c r="E89" s="55" t="inlineStr">
        <is>
          <t>558-302</t>
        </is>
      </c>
      <c r="F89" s="55" t="inlineStr">
        <is>
          <t>L-2</t>
        </is>
      </c>
      <c r="G89" s="55" t="inlineStr">
        <is>
          <t>L-2</t>
        </is>
      </c>
      <c r="K89" s="36" t="inlineStr">
        <is>
          <t>Harold Schultz</t>
        </is>
      </c>
      <c r="L89" s="56" t="n">
        <v>881</v>
      </c>
      <c r="M89" s="57" t="n"/>
      <c r="N89" s="57" t="n"/>
      <c r="Q89" s="58" t="inlineStr">
        <is>
          <t>Occ</t>
        </is>
      </c>
      <c r="U89" s="59" t="n">
        <v>2650</v>
      </c>
      <c r="V89" s="59" t="n">
        <v>2650</v>
      </c>
      <c r="W89" s="59" t="n">
        <v>0</v>
      </c>
      <c r="X89" s="59" t="n">
        <v>0</v>
      </c>
      <c r="Y89" s="59" t="n">
        <v>0</v>
      </c>
      <c r="AB89" s="60" t="n">
        <v>46203</v>
      </c>
    </row>
    <row r="90">
      <c r="D90" s="36" t="inlineStr">
        <is>
          <t>Colonial Pointe</t>
        </is>
      </c>
      <c r="E90" s="55" t="inlineStr">
        <is>
          <t>558-303</t>
        </is>
      </c>
      <c r="F90" s="55" t="inlineStr">
        <is>
          <t>L-2</t>
        </is>
      </c>
      <c r="G90" s="55" t="inlineStr">
        <is>
          <t>L-2</t>
        </is>
      </c>
      <c r="K90" s="36" t="inlineStr">
        <is>
          <t>Kamelia Rafeh-Saheli</t>
        </is>
      </c>
      <c r="L90" s="56" t="n">
        <v>881</v>
      </c>
      <c r="M90" s="57" t="n"/>
      <c r="N90" s="57" t="n"/>
      <c r="Q90" s="58" t="inlineStr">
        <is>
          <t>Occ</t>
        </is>
      </c>
      <c r="U90" s="59" t="n">
        <v>2631</v>
      </c>
      <c r="V90" s="59" t="n">
        <v>2631</v>
      </c>
      <c r="W90" s="59" t="n">
        <v>0</v>
      </c>
      <c r="X90" s="59" t="n">
        <v>0</v>
      </c>
      <c r="Y90" s="59" t="n">
        <v>0</v>
      </c>
      <c r="AB90" s="60" t="n">
        <v>46173</v>
      </c>
    </row>
    <row r="91">
      <c r="D91" s="36" t="inlineStr">
        <is>
          <t>Colonial Pointe</t>
        </is>
      </c>
      <c r="E91" s="55" t="inlineStr">
        <is>
          <t>558-304</t>
        </is>
      </c>
      <c r="F91" s="55" t="inlineStr">
        <is>
          <t>N-2 AFF M</t>
        </is>
      </c>
      <c r="G91" s="55" t="inlineStr">
        <is>
          <t>N-2 AFF M</t>
        </is>
      </c>
      <c r="K91" s="36" t="inlineStr">
        <is>
          <t>Darlene Rivetti, Michael Rivetti</t>
        </is>
      </c>
      <c r="L91" s="56" t="n">
        <v>960</v>
      </c>
      <c r="M91" s="57" t="n"/>
      <c r="N91" s="57" t="n"/>
      <c r="Q91" s="58" t="inlineStr">
        <is>
          <t>Occ</t>
        </is>
      </c>
      <c r="U91" s="59" t="n">
        <v>1385</v>
      </c>
      <c r="V91" s="59" t="n">
        <v>1385</v>
      </c>
      <c r="W91" s="59" t="n">
        <v>0</v>
      </c>
      <c r="X91" s="59" t="n">
        <v>0</v>
      </c>
      <c r="Y91" s="59" t="n">
        <v>0</v>
      </c>
      <c r="AB91" s="60" t="n">
        <v>46418</v>
      </c>
    </row>
    <row r="92">
      <c r="D92" s="36" t="inlineStr">
        <is>
          <t>Colonial Pointe</t>
        </is>
      </c>
      <c r="E92" s="55" t="inlineStr">
        <is>
          <t>558-305</t>
        </is>
      </c>
      <c r="F92" s="55" t="inlineStr">
        <is>
          <t>N-2 AFF M</t>
        </is>
      </c>
      <c r="G92" s="55" t="inlineStr">
        <is>
          <t>N-2 AFF M</t>
        </is>
      </c>
      <c r="K92" s="36" t="inlineStr">
        <is>
          <t>Tanya Cintron</t>
        </is>
      </c>
      <c r="L92" s="56" t="n">
        <v>960</v>
      </c>
      <c r="M92" s="57" t="n"/>
      <c r="N92" s="57" t="n"/>
      <c r="Q92" s="58" t="inlineStr">
        <is>
          <t>Occ</t>
        </is>
      </c>
      <c r="U92" s="59" t="n">
        <v>1335</v>
      </c>
      <c r="V92" s="59" t="n">
        <v>1335</v>
      </c>
      <c r="W92" s="59" t="n">
        <v>0</v>
      </c>
      <c r="X92" s="59" t="n">
        <v>0</v>
      </c>
      <c r="Y92" s="59" t="n">
        <v>0</v>
      </c>
      <c r="AB92" s="60" t="n">
        <v>46173</v>
      </c>
    </row>
    <row r="93">
      <c r="D93" s="36" t="inlineStr">
        <is>
          <t>Colonial Pointe</t>
        </is>
      </c>
      <c r="E93" s="55" t="inlineStr">
        <is>
          <t>558-306</t>
        </is>
      </c>
      <c r="F93" s="55" t="inlineStr">
        <is>
          <t>M-3 AFF M</t>
        </is>
      </c>
      <c r="G93" s="55" t="inlineStr">
        <is>
          <t>M-3 AFF M</t>
        </is>
      </c>
      <c r="K93" s="36" t="inlineStr">
        <is>
          <t>Jose Ortiz, Priscilla Rosario</t>
        </is>
      </c>
      <c r="L93" s="56" t="n">
        <v>1203</v>
      </c>
      <c r="M93" s="57" t="n"/>
      <c r="N93" s="57" t="n"/>
      <c r="Q93" s="58" t="inlineStr">
        <is>
          <t>Occ</t>
        </is>
      </c>
      <c r="U93" s="59" t="n">
        <v>1514</v>
      </c>
      <c r="V93" s="59" t="n">
        <v>1514</v>
      </c>
      <c r="W93" s="59" t="n">
        <v>0</v>
      </c>
      <c r="X93" s="59" t="n">
        <v>0</v>
      </c>
      <c r="Y93" s="59" t="n">
        <v>0</v>
      </c>
      <c r="AB93" s="60" t="n">
        <v>46387</v>
      </c>
    </row>
    <row r="94">
      <c r="D94" s="36" t="inlineStr">
        <is>
          <t>Colonial Pointe</t>
        </is>
      </c>
      <c r="E94" s="55" t="inlineStr">
        <is>
          <t>558-307</t>
        </is>
      </c>
      <c r="F94" s="55" t="inlineStr">
        <is>
          <t>M-3</t>
        </is>
      </c>
      <c r="G94" s="55" t="inlineStr">
        <is>
          <t>M-3</t>
        </is>
      </c>
      <c r="H94" s="55" t="inlineStr">
        <is>
          <t>Maintenaince Super Apt</t>
        </is>
      </c>
      <c r="K94" s="36" t="inlineStr">
        <is>
          <t>Admin</t>
        </is>
      </c>
      <c r="L94" s="56" t="n">
        <v>1203</v>
      </c>
      <c r="M94" s="57" t="n"/>
      <c r="N94" s="57" t="n"/>
      <c r="Q94" s="58" t="inlineStr">
        <is>
          <t>Admin</t>
        </is>
      </c>
      <c r="U94" s="59" t="n">
        <v>2000</v>
      </c>
      <c r="V94" s="59" t="n">
        <v>2000</v>
      </c>
      <c r="W94" s="59" t="n">
        <v>-2000</v>
      </c>
      <c r="X94" s="59" t="n">
        <v>0</v>
      </c>
      <c r="Y94" s="59" t="n">
        <v>0</v>
      </c>
      <c r="AB94" s="60" t="n">
        <v>46477</v>
      </c>
    </row>
    <row r="95">
      <c r="D95" s="36" t="inlineStr">
        <is>
          <t>Colonial Pointe</t>
        </is>
      </c>
      <c r="E95" s="55" t="inlineStr">
        <is>
          <t>558-308</t>
        </is>
      </c>
      <c r="F95" s="55" t="inlineStr">
        <is>
          <t>Q-1</t>
        </is>
      </c>
      <c r="G95" s="55" t="inlineStr">
        <is>
          <t>Q-1</t>
        </is>
      </c>
      <c r="K95" s="36" t="inlineStr">
        <is>
          <t>Jacklyn Marshall</t>
        </is>
      </c>
      <c r="L95" s="56" t="n">
        <v>705</v>
      </c>
      <c r="M95" s="57" t="n"/>
      <c r="N95" s="57" t="n"/>
      <c r="Q95" s="58" t="inlineStr">
        <is>
          <t>Occ</t>
        </is>
      </c>
      <c r="U95" s="59" t="n">
        <v>2300</v>
      </c>
      <c r="V95" s="59" t="n">
        <v>2300</v>
      </c>
      <c r="W95" s="59" t="n">
        <v>0</v>
      </c>
      <c r="X95" s="59" t="n">
        <v>0</v>
      </c>
      <c r="Y95" s="59" t="n">
        <v>0</v>
      </c>
      <c r="AB95" s="60" t="n">
        <v>46477</v>
      </c>
    </row>
    <row r="96">
      <c r="C96" s="61" t="inlineStr">
        <is>
          <t>Total / Wtd. Average</t>
        </is>
      </c>
      <c r="D96" s="62" t="n"/>
      <c r="E96" s="62" t="n"/>
      <c r="F96" s="62" t="n"/>
      <c r="G96" s="63" t="n">
        <v>88</v>
      </c>
      <c r="H96" s="62" t="n"/>
      <c r="I96" s="62" t="n"/>
      <c r="J96" s="62" t="n"/>
      <c r="K96" s="62" t="n"/>
      <c r="L96" s="64" t="n">
        <v>93570</v>
      </c>
      <c r="M96" s="62" t="n"/>
      <c r="N96" s="62" t="n"/>
      <c r="O96" s="62" t="n"/>
      <c r="P96" s="62" t="n"/>
      <c r="Q96" s="62" t="n"/>
      <c r="R96" s="62" t="n"/>
      <c r="S96" s="62" t="n"/>
      <c r="T96" s="62" t="n"/>
      <c r="U96" s="65" t="n">
        <v>251789</v>
      </c>
      <c r="V96" s="65" t="n">
        <v>244842</v>
      </c>
      <c r="W96" s="65" t="n">
        <v>-2212</v>
      </c>
      <c r="X96" s="65" t="n">
        <v>0</v>
      </c>
      <c r="Y96" s="65" t="n">
        <v>0</v>
      </c>
      <c r="Z96" s="62" t="n"/>
      <c r="AA96" s="62" t="n"/>
      <c r="AB96" s="62" t="n"/>
      <c r="AC96" s="62" t="n"/>
      <c r="AD96" s="62" t="n"/>
      <c r="AE96" s="66" t="n">
        <v>0</v>
      </c>
      <c r="AF96" s="66" t="n">
        <v>0</v>
      </c>
      <c r="AG96" s="6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3:AB136"/>
  <sheetViews>
    <sheetView showGridLines="0" workbookViewId="0">
      <pane ySplit="48" topLeftCell="A49" activePane="bottomLeft" state="frozen"/>
      <selection pane="bottomLeft" activeCell="A1" sqref="A1"/>
    </sheetView>
  </sheetViews>
  <sheetFormatPr baseColWidth="8" defaultRowHeight="15"/>
  <cols>
    <col width="21.6" customWidth="1" min="1" max="1"/>
    <col width="4.1" customWidth="1" min="2" max="2"/>
    <col width="24" customWidth="1" min="3" max="3"/>
    <col width="12.6" customWidth="1" min="5" max="5"/>
    <col width="4.6" customWidth="1" min="6" max="6"/>
    <col width="9.4" customWidth="1" min="7" max="7"/>
    <col width="9.6" customWidth="1" min="8" max="8"/>
    <col width="11.6" customWidth="1" min="10" max="10"/>
    <col width="18.6" customWidth="1" min="11" max="11"/>
    <col width="17.6" customWidth="1" min="12" max="12"/>
    <col width="11.1" customWidth="1" min="13" max="13"/>
    <col width="11.6" customWidth="1" min="14" max="14"/>
    <col width="11.6" customWidth="1" min="15" max="15"/>
    <col width="11.4" customWidth="1" min="16" max="16"/>
    <col width="14.1" customWidth="1" min="17" max="17"/>
    <col width="11.4" customWidth="1" min="18" max="18"/>
    <col width="11.6" customWidth="1" min="19" max="19"/>
    <col width="12.1" customWidth="1" min="20" max="20"/>
    <col width="24" customWidth="1" min="22" max="22"/>
    <col width="12.1" customWidth="1" min="25" max="25"/>
    <col width="13" customWidth="1" min="28" max="28"/>
  </cols>
  <sheetData>
    <row r="3">
      <c r="C3" s="68" t="inlineStr">
        <is>
          <t>Checking:</t>
        </is>
      </c>
    </row>
    <row r="4">
      <c r="C4" s="69" t="inlineStr">
        <is>
          <t>Floor Plan</t>
        </is>
      </c>
      <c r="D4" s="69" t="inlineStr">
        <is>
          <t>Unit Type</t>
        </is>
      </c>
      <c r="E4" s="70" t="inlineStr">
        <is>
          <t>BD</t>
        </is>
      </c>
      <c r="F4" s="70" t="inlineStr">
        <is>
          <t>BA</t>
        </is>
      </c>
      <c r="G4" s="70" t="inlineStr">
        <is>
          <t>Renovated</t>
        </is>
      </c>
      <c r="H4" s="71" t="inlineStr">
        <is>
          <t>Units</t>
        </is>
      </c>
      <c r="I4" s="71" t="inlineStr">
        <is>
          <t># Occ</t>
        </is>
      </c>
      <c r="J4" s="71" t="inlineStr">
        <is>
          <t>#Vac</t>
        </is>
      </c>
      <c r="K4" s="71" t="inlineStr">
        <is>
          <t>Avg SF</t>
        </is>
      </c>
      <c r="L4" s="71" t="inlineStr">
        <is>
          <t>Total SF</t>
        </is>
      </c>
      <c r="M4" s="71" t="inlineStr">
        <is>
          <t>Occ SF</t>
        </is>
      </c>
      <c r="N4" s="71" t="inlineStr">
        <is>
          <t>Vac SF</t>
        </is>
      </c>
      <c r="O4" s="71" t="inlineStr">
        <is>
          <t xml:space="preserve">Market Rent </t>
        </is>
      </c>
      <c r="P4" s="71" t="inlineStr">
        <is>
          <t>Rent</t>
        </is>
      </c>
      <c r="Q4" s="71" t="inlineStr">
        <is>
          <t>Other Income</t>
        </is>
      </c>
      <c r="R4" s="71" t="inlineStr">
        <is>
          <t>Concessions</t>
        </is>
      </c>
      <c r="S4" s="71" t="inlineStr">
        <is>
          <t>Emp Discounts</t>
        </is>
      </c>
    </row>
    <row r="5">
      <c r="C5" s="72" t="inlineStr">
        <is>
          <t>Q-1</t>
        </is>
      </c>
      <c r="D5" s="73" t="inlineStr">
        <is>
          <t>Q-1</t>
        </is>
      </c>
      <c r="E5" s="74" t="n"/>
      <c r="F5" s="75" t="n"/>
      <c r="G5" s="74" t="inlineStr">
        <is>
          <t>No</t>
        </is>
      </c>
      <c r="H5" s="76">
        <f>COUNTIFS($D$49:$D$136,$C5)</f>
        <v/>
      </c>
      <c r="I5" s="76">
        <f>COUNTIFS($D$49:$D$136,$C5,$C$49:$C$136,"Occ")+COUNTIFS($D$49:$D$136,$C5,$C$49:$C$136,"Admin")+COUNTIFS($D$49:$D$136,$C5,$C$49:$C$136,"Down")+COUNTIFS($D$49:$D$136,$C5,$C$49:$C$136,"Super")+COUNTIFS($D$49:$D$136,$C5,$C$49:$C$136,"Model")</f>
        <v/>
      </c>
      <c r="J5" s="76">
        <f>COUNTIFS($D$49:$D$136,$C5,$C$49:$C$136,"Vac")</f>
        <v/>
      </c>
      <c r="K5" s="76">
        <f>IFERROR(AVERAGEIFS($J$49:$J$136,$D$49:$D$136,$C5),"n/a")</f>
        <v/>
      </c>
      <c r="L5" s="76">
        <f>SUMIFS($J$49:$J$136,$D$49:$D$136,$C5)</f>
        <v/>
      </c>
      <c r="M5" s="76">
        <f>SUMIFS($J$49:$J$136,$D$49:$D$136,$C5,$C$49:$C$136,"Occ")+SUMIFS($J$49:$J$136,$D$49:$D$136,$C5,$C$49:$C$136,"Admin")+SUMIFS($J$49:$J$136,$D$49:$D$136,$C5,$C$49:$C$136,"Down")+SUMIFS($J$49:$J$136,$D$49:$D$136,$C5,$C$49:$C$136,"Super")+SUMIFS($J$49:$J$136,$D$49:$D$136,$C5,$C$49:$C$136,"Model")</f>
        <v/>
      </c>
      <c r="N5" s="76">
        <f>SUMIFS($J$49:$J$136,$D$49:$D$136,$C5,$C$49:$C$136,"Vac")</f>
        <v/>
      </c>
      <c r="O5" s="76">
        <f>SUMIFS($L$49:$L$136,$D$49:$D$136,$C5)</f>
        <v/>
      </c>
      <c r="P5" s="76">
        <f>SUMIFS($M$49:$M$136,$D$49:$D$136,$C5)</f>
        <v/>
      </c>
      <c r="Q5" s="76">
        <f>SUMIFS($R$49:$R$136,$D$49:$D$136,$C5)</f>
        <v/>
      </c>
      <c r="R5" s="76">
        <f>SUMIFS($S$49:$S$136,$D$49:$D$136,$C5)</f>
        <v/>
      </c>
      <c r="S5" s="76">
        <f>SUMIFS($T$49:$T$136,$D$49:$D$136,$C5)</f>
        <v/>
      </c>
    </row>
    <row r="6">
      <c r="C6" s="72" t="inlineStr">
        <is>
          <t>Q-1 AFF M</t>
        </is>
      </c>
      <c r="D6" s="73" t="inlineStr">
        <is>
          <t>Q-1 AFF M</t>
        </is>
      </c>
      <c r="E6" s="74" t="n"/>
      <c r="F6" s="75" t="n"/>
      <c r="G6" s="74" t="inlineStr">
        <is>
          <t>No</t>
        </is>
      </c>
      <c r="H6" s="76">
        <f>COUNTIFS($D$49:$D$136,$C6)</f>
        <v/>
      </c>
      <c r="I6" s="76">
        <f>COUNTIFS($D$49:$D$136,$C6,$C$49:$C$136,"Occ")+COUNTIFS($D$49:$D$136,$C6,$C$49:$C$136,"Admin")+COUNTIFS($D$49:$D$136,$C6,$C$49:$C$136,"Down")+COUNTIFS($D$49:$D$136,$C6,$C$49:$C$136,"Super")+COUNTIFS($D$49:$D$136,$C6,$C$49:$C$136,"Model")</f>
        <v/>
      </c>
      <c r="J6" s="76">
        <f>COUNTIFS($D$49:$D$136,$C6,$C$49:$C$136,"Vac")</f>
        <v/>
      </c>
      <c r="K6" s="76">
        <f>IFERROR(AVERAGEIFS($J$49:$J$136,$D$49:$D$136,$C6),"n/a")</f>
        <v/>
      </c>
      <c r="L6" s="76">
        <f>SUMIFS($J$49:$J$136,$D$49:$D$136,$C6)</f>
        <v/>
      </c>
      <c r="M6" s="76">
        <f>SUMIFS($J$49:$J$136,$D$49:$D$136,$C6,$C$49:$C$136,"Occ")+SUMIFS($J$49:$J$136,$D$49:$D$136,$C6,$C$49:$C$136,"Admin")+SUMIFS($J$49:$J$136,$D$49:$D$136,$C6,$C$49:$C$136,"Down")+SUMIFS($J$49:$J$136,$D$49:$D$136,$C6,$C$49:$C$136,"Super")+SUMIFS($J$49:$J$136,$D$49:$D$136,$C6,$C$49:$C$136,"Model")</f>
        <v/>
      </c>
      <c r="N6" s="76">
        <f>SUMIFS($J$49:$J$136,$D$49:$D$136,$C6,$C$49:$C$136,"Vac")</f>
        <v/>
      </c>
      <c r="O6" s="76">
        <f>SUMIFS($L$49:$L$136,$D$49:$D$136,$C6)</f>
        <v/>
      </c>
      <c r="P6" s="76">
        <f>SUMIFS($M$49:$M$136,$D$49:$D$136,$C6)</f>
        <v/>
      </c>
      <c r="Q6" s="76">
        <f>SUMIFS($R$49:$R$136,$D$49:$D$136,$C6)</f>
        <v/>
      </c>
      <c r="R6" s="76">
        <f>SUMIFS($S$49:$S$136,$D$49:$D$136,$C6)</f>
        <v/>
      </c>
      <c r="S6" s="76">
        <f>SUMIFS($T$49:$T$136,$D$49:$D$136,$C6)</f>
        <v/>
      </c>
    </row>
    <row r="7">
      <c r="C7" s="72" t="inlineStr">
        <is>
          <t>P1-1 AFF L</t>
        </is>
      </c>
      <c r="D7" s="73" t="inlineStr">
        <is>
          <t>P1-1 AFF L</t>
        </is>
      </c>
      <c r="E7" s="74" t="n"/>
      <c r="F7" s="75" t="n"/>
      <c r="G7" s="74" t="inlineStr">
        <is>
          <t>No</t>
        </is>
      </c>
      <c r="H7" s="76">
        <f>COUNTIFS($D$49:$D$136,$C7)</f>
        <v/>
      </c>
      <c r="I7" s="76">
        <f>COUNTIFS($D$49:$D$136,$C7,$C$49:$C$136,"Occ")+COUNTIFS($D$49:$D$136,$C7,$C$49:$C$136,"Admin")+COUNTIFS($D$49:$D$136,$C7,$C$49:$C$136,"Down")+COUNTIFS($D$49:$D$136,$C7,$C$49:$C$136,"Super")+COUNTIFS($D$49:$D$136,$C7,$C$49:$C$136,"Model")</f>
        <v/>
      </c>
      <c r="J7" s="76">
        <f>COUNTIFS($D$49:$D$136,$C7,$C$49:$C$136,"Vac")</f>
        <v/>
      </c>
      <c r="K7" s="76">
        <f>IFERROR(AVERAGEIFS($J$49:$J$136,$D$49:$D$136,$C7),"n/a")</f>
        <v/>
      </c>
      <c r="L7" s="76">
        <f>SUMIFS($J$49:$J$136,$D$49:$D$136,$C7)</f>
        <v/>
      </c>
      <c r="M7" s="76">
        <f>SUMIFS($J$49:$J$136,$D$49:$D$136,$C7,$C$49:$C$136,"Occ")+SUMIFS($J$49:$J$136,$D$49:$D$136,$C7,$C$49:$C$136,"Admin")+SUMIFS($J$49:$J$136,$D$49:$D$136,$C7,$C$49:$C$136,"Down")+SUMIFS($J$49:$J$136,$D$49:$D$136,$C7,$C$49:$C$136,"Super")+SUMIFS($J$49:$J$136,$D$49:$D$136,$C7,$C$49:$C$136,"Model")</f>
        <v/>
      </c>
      <c r="N7" s="76">
        <f>SUMIFS($J$49:$J$136,$D$49:$D$136,$C7,$C$49:$C$136,"Vac")</f>
        <v/>
      </c>
      <c r="O7" s="76">
        <f>SUMIFS($L$49:$L$136,$D$49:$D$136,$C7)</f>
        <v/>
      </c>
      <c r="P7" s="76">
        <f>SUMIFS($M$49:$M$136,$D$49:$D$136,$C7)</f>
        <v/>
      </c>
      <c r="Q7" s="76">
        <f>SUMIFS($R$49:$R$136,$D$49:$D$136,$C7)</f>
        <v/>
      </c>
      <c r="R7" s="76">
        <f>SUMIFS($S$49:$S$136,$D$49:$D$136,$C7)</f>
        <v/>
      </c>
      <c r="S7" s="76">
        <f>SUMIFS($T$49:$T$136,$D$49:$D$136,$C7)</f>
        <v/>
      </c>
    </row>
    <row r="8">
      <c r="C8" s="72" t="inlineStr">
        <is>
          <t>A-1</t>
        </is>
      </c>
      <c r="D8" s="73" t="inlineStr">
        <is>
          <t>A-1</t>
        </is>
      </c>
      <c r="E8" s="74" t="n"/>
      <c r="F8" s="75" t="n"/>
      <c r="G8" s="74" t="inlineStr">
        <is>
          <t>No</t>
        </is>
      </c>
      <c r="H8" s="76">
        <f>COUNTIFS($D$49:$D$136,$C8)</f>
        <v/>
      </c>
      <c r="I8" s="76">
        <f>COUNTIFS($D$49:$D$136,$C8,$C$49:$C$136,"Occ")+COUNTIFS($D$49:$D$136,$C8,$C$49:$C$136,"Admin")+COUNTIFS($D$49:$D$136,$C8,$C$49:$C$136,"Down")+COUNTIFS($D$49:$D$136,$C8,$C$49:$C$136,"Super")+COUNTIFS($D$49:$D$136,$C8,$C$49:$C$136,"Model")</f>
        <v/>
      </c>
      <c r="J8" s="76">
        <f>COUNTIFS($D$49:$D$136,$C8,$C$49:$C$136,"Vac")</f>
        <v/>
      </c>
      <c r="K8" s="76">
        <f>IFERROR(AVERAGEIFS($J$49:$J$136,$D$49:$D$136,$C8),"n/a")</f>
        <v/>
      </c>
      <c r="L8" s="76">
        <f>SUMIFS($J$49:$J$136,$D$49:$D$136,$C8)</f>
        <v/>
      </c>
      <c r="M8" s="76">
        <f>SUMIFS($J$49:$J$136,$D$49:$D$136,$C8,$C$49:$C$136,"Occ")+SUMIFS($J$49:$J$136,$D$49:$D$136,$C8,$C$49:$C$136,"Admin")+SUMIFS($J$49:$J$136,$D$49:$D$136,$C8,$C$49:$C$136,"Down")+SUMIFS($J$49:$J$136,$D$49:$D$136,$C8,$C$49:$C$136,"Super")+SUMIFS($J$49:$J$136,$D$49:$D$136,$C8,$C$49:$C$136,"Model")</f>
        <v/>
      </c>
      <c r="N8" s="76">
        <f>SUMIFS($J$49:$J$136,$D$49:$D$136,$C8,$C$49:$C$136,"Vac")</f>
        <v/>
      </c>
      <c r="O8" s="76">
        <f>SUMIFS($L$49:$L$136,$D$49:$D$136,$C8)</f>
        <v/>
      </c>
      <c r="P8" s="76">
        <f>SUMIFS($M$49:$M$136,$D$49:$D$136,$C8)</f>
        <v/>
      </c>
      <c r="Q8" s="76">
        <f>SUMIFS($R$49:$R$136,$D$49:$D$136,$C8)</f>
        <v/>
      </c>
      <c r="R8" s="76">
        <f>SUMIFS($S$49:$S$136,$D$49:$D$136,$C8)</f>
        <v/>
      </c>
      <c r="S8" s="76">
        <f>SUMIFS($T$49:$T$136,$D$49:$D$136,$C8)</f>
        <v/>
      </c>
    </row>
    <row r="9">
      <c r="C9" s="72" t="inlineStr">
        <is>
          <t>L-2</t>
        </is>
      </c>
      <c r="D9" s="73" t="inlineStr">
        <is>
          <t>L-2</t>
        </is>
      </c>
      <c r="E9" s="74" t="n"/>
      <c r="F9" s="75" t="n"/>
      <c r="G9" s="74" t="inlineStr">
        <is>
          <t>No</t>
        </is>
      </c>
      <c r="H9" s="76">
        <f>COUNTIFS($D$49:$D$136,$C9)</f>
        <v/>
      </c>
      <c r="I9" s="76">
        <f>COUNTIFS($D$49:$D$136,$C9,$C$49:$C$136,"Occ")+COUNTIFS($D$49:$D$136,$C9,$C$49:$C$136,"Admin")+COUNTIFS($D$49:$D$136,$C9,$C$49:$C$136,"Down")+COUNTIFS($D$49:$D$136,$C9,$C$49:$C$136,"Super")+COUNTIFS($D$49:$D$136,$C9,$C$49:$C$136,"Model")</f>
        <v/>
      </c>
      <c r="J9" s="76">
        <f>COUNTIFS($D$49:$D$136,$C9,$C$49:$C$136,"Vac")</f>
        <v/>
      </c>
      <c r="K9" s="76">
        <f>IFERROR(AVERAGEIFS($J$49:$J$136,$D$49:$D$136,$C9),"n/a")</f>
        <v/>
      </c>
      <c r="L9" s="76">
        <f>SUMIFS($J$49:$J$136,$D$49:$D$136,$C9)</f>
        <v/>
      </c>
      <c r="M9" s="76">
        <f>SUMIFS($J$49:$J$136,$D$49:$D$136,$C9,$C$49:$C$136,"Occ")+SUMIFS($J$49:$J$136,$D$49:$D$136,$C9,$C$49:$C$136,"Admin")+SUMIFS($J$49:$J$136,$D$49:$D$136,$C9,$C$49:$C$136,"Down")+SUMIFS($J$49:$J$136,$D$49:$D$136,$C9,$C$49:$C$136,"Super")+SUMIFS($J$49:$J$136,$D$49:$D$136,$C9,$C$49:$C$136,"Model")</f>
        <v/>
      </c>
      <c r="N9" s="76">
        <f>SUMIFS($J$49:$J$136,$D$49:$D$136,$C9,$C$49:$C$136,"Vac")</f>
        <v/>
      </c>
      <c r="O9" s="76">
        <f>SUMIFS($L$49:$L$136,$D$49:$D$136,$C9)</f>
        <v/>
      </c>
      <c r="P9" s="76">
        <f>SUMIFS($M$49:$M$136,$D$49:$D$136,$C9)</f>
        <v/>
      </c>
      <c r="Q9" s="76">
        <f>SUMIFS($R$49:$R$136,$D$49:$D$136,$C9)</f>
        <v/>
      </c>
      <c r="R9" s="76">
        <f>SUMIFS($S$49:$S$136,$D$49:$D$136,$C9)</f>
        <v/>
      </c>
      <c r="S9" s="76">
        <f>SUMIFS($T$49:$T$136,$D$49:$D$136,$C9)</f>
        <v/>
      </c>
    </row>
    <row r="10">
      <c r="C10" s="72" t="inlineStr">
        <is>
          <t>L-2 AFF M</t>
        </is>
      </c>
      <c r="D10" s="73" t="inlineStr">
        <is>
          <t>L-2 AFF M</t>
        </is>
      </c>
      <c r="E10" s="74" t="n"/>
      <c r="F10" s="75" t="n"/>
      <c r="G10" s="74" t="inlineStr">
        <is>
          <t>No</t>
        </is>
      </c>
      <c r="H10" s="76">
        <f>COUNTIFS($D$49:$D$136,$C10)</f>
        <v/>
      </c>
      <c r="I10" s="76">
        <f>COUNTIFS($D$49:$D$136,$C10,$C$49:$C$136,"Occ")+COUNTIFS($D$49:$D$136,$C10,$C$49:$C$136,"Admin")+COUNTIFS($D$49:$D$136,$C10,$C$49:$C$136,"Down")+COUNTIFS($D$49:$D$136,$C10,$C$49:$C$136,"Super")+COUNTIFS($D$49:$D$136,$C10,$C$49:$C$136,"Model")</f>
        <v/>
      </c>
      <c r="J10" s="76">
        <f>COUNTIFS($D$49:$D$136,$C10,$C$49:$C$136,"Vac")</f>
        <v/>
      </c>
      <c r="K10" s="76">
        <f>IFERROR(AVERAGEIFS($J$49:$J$136,$D$49:$D$136,$C10),"n/a")</f>
        <v/>
      </c>
      <c r="L10" s="76">
        <f>SUMIFS($J$49:$J$136,$D$49:$D$136,$C10)</f>
        <v/>
      </c>
      <c r="M10" s="76">
        <f>SUMIFS($J$49:$J$136,$D$49:$D$136,$C10,$C$49:$C$136,"Occ")+SUMIFS($J$49:$J$136,$D$49:$D$136,$C10,$C$49:$C$136,"Admin")+SUMIFS($J$49:$J$136,$D$49:$D$136,$C10,$C$49:$C$136,"Down")+SUMIFS($J$49:$J$136,$D$49:$D$136,$C10,$C$49:$C$136,"Super")+SUMIFS($J$49:$J$136,$D$49:$D$136,$C10,$C$49:$C$136,"Model")</f>
        <v/>
      </c>
      <c r="N10" s="76">
        <f>SUMIFS($J$49:$J$136,$D$49:$D$136,$C10,$C$49:$C$136,"Vac")</f>
        <v/>
      </c>
      <c r="O10" s="76">
        <f>SUMIFS($L$49:$L$136,$D$49:$D$136,$C10)</f>
        <v/>
      </c>
      <c r="P10" s="76">
        <f>SUMIFS($M$49:$M$136,$D$49:$D$136,$C10)</f>
        <v/>
      </c>
      <c r="Q10" s="76">
        <f>SUMIFS($R$49:$R$136,$D$49:$D$136,$C10)</f>
        <v/>
      </c>
      <c r="R10" s="76">
        <f>SUMIFS($S$49:$S$136,$D$49:$D$136,$C10)</f>
        <v/>
      </c>
      <c r="S10" s="76">
        <f>SUMIFS($T$49:$T$136,$D$49:$D$136,$C10)</f>
        <v/>
      </c>
    </row>
    <row r="11">
      <c r="C11" s="72" t="inlineStr">
        <is>
          <t>L-2 AFF VL</t>
        </is>
      </c>
      <c r="D11" s="73" t="inlineStr">
        <is>
          <t>L-2 AFF VL</t>
        </is>
      </c>
      <c r="E11" s="74" t="n"/>
      <c r="F11" s="75" t="n"/>
      <c r="G11" s="74" t="inlineStr">
        <is>
          <t>No</t>
        </is>
      </c>
      <c r="H11" s="76">
        <f>COUNTIFS($D$49:$D$136,$C11)</f>
        <v/>
      </c>
      <c r="I11" s="76">
        <f>COUNTIFS($D$49:$D$136,$C11,$C$49:$C$136,"Occ")+COUNTIFS($D$49:$D$136,$C11,$C$49:$C$136,"Admin")+COUNTIFS($D$49:$D$136,$C11,$C$49:$C$136,"Down")+COUNTIFS($D$49:$D$136,$C11,$C$49:$C$136,"Super")+COUNTIFS($D$49:$D$136,$C11,$C$49:$C$136,"Model")</f>
        <v/>
      </c>
      <c r="J11" s="76">
        <f>COUNTIFS($D$49:$D$136,$C11,$C$49:$C$136,"Vac")</f>
        <v/>
      </c>
      <c r="K11" s="76">
        <f>IFERROR(AVERAGEIFS($J$49:$J$136,$D$49:$D$136,$C11),"n/a")</f>
        <v/>
      </c>
      <c r="L11" s="76">
        <f>SUMIFS($J$49:$J$136,$D$49:$D$136,$C11)</f>
        <v/>
      </c>
      <c r="M11" s="76">
        <f>SUMIFS($J$49:$J$136,$D$49:$D$136,$C11,$C$49:$C$136,"Occ")+SUMIFS($J$49:$J$136,$D$49:$D$136,$C11,$C$49:$C$136,"Admin")+SUMIFS($J$49:$J$136,$D$49:$D$136,$C11,$C$49:$C$136,"Down")+SUMIFS($J$49:$J$136,$D$49:$D$136,$C11,$C$49:$C$136,"Super")+SUMIFS($J$49:$J$136,$D$49:$D$136,$C11,$C$49:$C$136,"Model")</f>
        <v/>
      </c>
      <c r="N11" s="76">
        <f>SUMIFS($J$49:$J$136,$D$49:$D$136,$C11,$C$49:$C$136,"Vac")</f>
        <v/>
      </c>
      <c r="O11" s="76">
        <f>SUMIFS($L$49:$L$136,$D$49:$D$136,$C11)</f>
        <v/>
      </c>
      <c r="P11" s="76">
        <f>SUMIFS($M$49:$M$136,$D$49:$D$136,$C11)</f>
        <v/>
      </c>
      <c r="Q11" s="76">
        <f>SUMIFS($R$49:$R$136,$D$49:$D$136,$C11)</f>
        <v/>
      </c>
      <c r="R11" s="76">
        <f>SUMIFS($S$49:$S$136,$D$49:$D$136,$C11)</f>
        <v/>
      </c>
      <c r="S11" s="76">
        <f>SUMIFS($T$49:$T$136,$D$49:$D$136,$C11)</f>
        <v/>
      </c>
    </row>
    <row r="12">
      <c r="C12" s="72" t="inlineStr">
        <is>
          <t>N-2 AFF L</t>
        </is>
      </c>
      <c r="D12" s="73" t="inlineStr">
        <is>
          <t>N-2 AFF L</t>
        </is>
      </c>
      <c r="E12" s="74" t="n"/>
      <c r="F12" s="75" t="n"/>
      <c r="G12" s="74" t="inlineStr">
        <is>
          <t>No</t>
        </is>
      </c>
      <c r="H12" s="76">
        <f>COUNTIFS($D$49:$D$136,$C12)</f>
        <v/>
      </c>
      <c r="I12" s="76">
        <f>COUNTIFS($D$49:$D$136,$C12,$C$49:$C$136,"Occ")+COUNTIFS($D$49:$D$136,$C12,$C$49:$C$136,"Admin")+COUNTIFS($D$49:$D$136,$C12,$C$49:$C$136,"Down")+COUNTIFS($D$49:$D$136,$C12,$C$49:$C$136,"Super")+COUNTIFS($D$49:$D$136,$C12,$C$49:$C$136,"Model")</f>
        <v/>
      </c>
      <c r="J12" s="76">
        <f>COUNTIFS($D$49:$D$136,$C12,$C$49:$C$136,"Vac")</f>
        <v/>
      </c>
      <c r="K12" s="76">
        <f>IFERROR(AVERAGEIFS($J$49:$J$136,$D$49:$D$136,$C12),"n/a")</f>
        <v/>
      </c>
      <c r="L12" s="76">
        <f>SUMIFS($J$49:$J$136,$D$49:$D$136,$C12)</f>
        <v/>
      </c>
      <c r="M12" s="76">
        <f>SUMIFS($J$49:$J$136,$D$49:$D$136,$C12,$C$49:$C$136,"Occ")+SUMIFS($J$49:$J$136,$D$49:$D$136,$C12,$C$49:$C$136,"Admin")+SUMIFS($J$49:$J$136,$D$49:$D$136,$C12,$C$49:$C$136,"Down")+SUMIFS($J$49:$J$136,$D$49:$D$136,$C12,$C$49:$C$136,"Super")+SUMIFS($J$49:$J$136,$D$49:$D$136,$C12,$C$49:$C$136,"Model")</f>
        <v/>
      </c>
      <c r="N12" s="76">
        <f>SUMIFS($J$49:$J$136,$D$49:$D$136,$C12,$C$49:$C$136,"Vac")</f>
        <v/>
      </c>
      <c r="O12" s="76">
        <f>SUMIFS($L$49:$L$136,$D$49:$D$136,$C12)</f>
        <v/>
      </c>
      <c r="P12" s="76">
        <f>SUMIFS($M$49:$M$136,$D$49:$D$136,$C12)</f>
        <v/>
      </c>
      <c r="Q12" s="76">
        <f>SUMIFS($R$49:$R$136,$D$49:$D$136,$C12)</f>
        <v/>
      </c>
      <c r="R12" s="76">
        <f>SUMIFS($S$49:$S$136,$D$49:$D$136,$C12)</f>
        <v/>
      </c>
      <c r="S12" s="76">
        <f>SUMIFS($T$49:$T$136,$D$49:$D$136,$C12)</f>
        <v/>
      </c>
    </row>
    <row r="13">
      <c r="C13" s="72" t="inlineStr">
        <is>
          <t>N-2 AFF M</t>
        </is>
      </c>
      <c r="D13" s="73" t="inlineStr">
        <is>
          <t>N-2 AFF M</t>
        </is>
      </c>
      <c r="E13" s="74" t="n"/>
      <c r="F13" s="75" t="n"/>
      <c r="G13" s="74" t="inlineStr">
        <is>
          <t>No</t>
        </is>
      </c>
      <c r="H13" s="76">
        <f>COUNTIFS($D$49:$D$136,$C13)</f>
        <v/>
      </c>
      <c r="I13" s="76">
        <f>COUNTIFS($D$49:$D$136,$C13,$C$49:$C$136,"Occ")+COUNTIFS($D$49:$D$136,$C13,$C$49:$C$136,"Admin")+COUNTIFS($D$49:$D$136,$C13,$C$49:$C$136,"Down")+COUNTIFS($D$49:$D$136,$C13,$C$49:$C$136,"Super")+COUNTIFS($D$49:$D$136,$C13,$C$49:$C$136,"Model")</f>
        <v/>
      </c>
      <c r="J13" s="76">
        <f>COUNTIFS($D$49:$D$136,$C13,$C$49:$C$136,"Vac")</f>
        <v/>
      </c>
      <c r="K13" s="76">
        <f>IFERROR(AVERAGEIFS($J$49:$J$136,$D$49:$D$136,$C13),"n/a")</f>
        <v/>
      </c>
      <c r="L13" s="76">
        <f>SUMIFS($J$49:$J$136,$D$49:$D$136,$C13)</f>
        <v/>
      </c>
      <c r="M13" s="76">
        <f>SUMIFS($J$49:$J$136,$D$49:$D$136,$C13,$C$49:$C$136,"Occ")+SUMIFS($J$49:$J$136,$D$49:$D$136,$C13,$C$49:$C$136,"Admin")+SUMIFS($J$49:$J$136,$D$49:$D$136,$C13,$C$49:$C$136,"Down")+SUMIFS($J$49:$J$136,$D$49:$D$136,$C13,$C$49:$C$136,"Super")+SUMIFS($J$49:$J$136,$D$49:$D$136,$C13,$C$49:$C$136,"Model")</f>
        <v/>
      </c>
      <c r="N13" s="76">
        <f>SUMIFS($J$49:$J$136,$D$49:$D$136,$C13,$C$49:$C$136,"Vac")</f>
        <v/>
      </c>
      <c r="O13" s="76">
        <f>SUMIFS($L$49:$L$136,$D$49:$D$136,$C13)</f>
        <v/>
      </c>
      <c r="P13" s="76">
        <f>SUMIFS($M$49:$M$136,$D$49:$D$136,$C13)</f>
        <v/>
      </c>
      <c r="Q13" s="76">
        <f>SUMIFS($R$49:$R$136,$D$49:$D$136,$C13)</f>
        <v/>
      </c>
      <c r="R13" s="76">
        <f>SUMIFS($S$49:$S$136,$D$49:$D$136,$C13)</f>
        <v/>
      </c>
      <c r="S13" s="76">
        <f>SUMIFS($T$49:$T$136,$D$49:$D$136,$C13)</f>
        <v/>
      </c>
    </row>
    <row r="14">
      <c r="C14" s="72" t="inlineStr">
        <is>
          <t>N-2 AFF VL</t>
        </is>
      </c>
      <c r="D14" s="73" t="inlineStr">
        <is>
          <t>N-2 AFF VL</t>
        </is>
      </c>
      <c r="E14" s="74" t="n"/>
      <c r="F14" s="75" t="n"/>
      <c r="G14" s="74" t="inlineStr">
        <is>
          <t>No</t>
        </is>
      </c>
      <c r="H14" s="76">
        <f>COUNTIFS($D$49:$D$136,$C14)</f>
        <v/>
      </c>
      <c r="I14" s="76">
        <f>COUNTIFS($D$49:$D$136,$C14,$C$49:$C$136,"Occ")+COUNTIFS($D$49:$D$136,$C14,$C$49:$C$136,"Admin")+COUNTIFS($D$49:$D$136,$C14,$C$49:$C$136,"Down")+COUNTIFS($D$49:$D$136,$C14,$C$49:$C$136,"Super")+COUNTIFS($D$49:$D$136,$C14,$C$49:$C$136,"Model")</f>
        <v/>
      </c>
      <c r="J14" s="76">
        <f>COUNTIFS($D$49:$D$136,$C14,$C$49:$C$136,"Vac")</f>
        <v/>
      </c>
      <c r="K14" s="76">
        <f>IFERROR(AVERAGEIFS($J$49:$J$136,$D$49:$D$136,$C14),"n/a")</f>
        <v/>
      </c>
      <c r="L14" s="76">
        <f>SUMIFS($J$49:$J$136,$D$49:$D$136,$C14)</f>
        <v/>
      </c>
      <c r="M14" s="76">
        <f>SUMIFS($J$49:$J$136,$D$49:$D$136,$C14,$C$49:$C$136,"Occ")+SUMIFS($J$49:$J$136,$D$49:$D$136,$C14,$C$49:$C$136,"Admin")+SUMIFS($J$49:$J$136,$D$49:$D$136,$C14,$C$49:$C$136,"Down")+SUMIFS($J$49:$J$136,$D$49:$D$136,$C14,$C$49:$C$136,"Super")+SUMIFS($J$49:$J$136,$D$49:$D$136,$C14,$C$49:$C$136,"Model")</f>
        <v/>
      </c>
      <c r="N14" s="76">
        <f>SUMIFS($J$49:$J$136,$D$49:$D$136,$C14,$C$49:$C$136,"Vac")</f>
        <v/>
      </c>
      <c r="O14" s="76">
        <f>SUMIFS($L$49:$L$136,$D$49:$D$136,$C14)</f>
        <v/>
      </c>
      <c r="P14" s="76">
        <f>SUMIFS($M$49:$M$136,$D$49:$D$136,$C14)</f>
        <v/>
      </c>
      <c r="Q14" s="76">
        <f>SUMIFS($R$49:$R$136,$D$49:$D$136,$C14)</f>
        <v/>
      </c>
      <c r="R14" s="76">
        <f>SUMIFS($S$49:$S$136,$D$49:$D$136,$C14)</f>
        <v/>
      </c>
      <c r="S14" s="76">
        <f>SUMIFS($T$49:$T$136,$D$49:$D$136,$C14)</f>
        <v/>
      </c>
    </row>
    <row r="15">
      <c r="C15" s="72" t="inlineStr">
        <is>
          <t>B-1D</t>
        </is>
      </c>
      <c r="D15" s="73" t="inlineStr">
        <is>
          <t>B-1D</t>
        </is>
      </c>
      <c r="E15" s="74" t="n"/>
      <c r="F15" s="75" t="n"/>
      <c r="G15" s="74" t="inlineStr">
        <is>
          <t>No</t>
        </is>
      </c>
      <c r="H15" s="76">
        <f>COUNTIFS($D$49:$D$136,$C15)</f>
        <v/>
      </c>
      <c r="I15" s="76">
        <f>COUNTIFS($D$49:$D$136,$C15,$C$49:$C$136,"Occ")+COUNTIFS($D$49:$D$136,$C15,$C$49:$C$136,"Admin")+COUNTIFS($D$49:$D$136,$C15,$C$49:$C$136,"Down")+COUNTIFS($D$49:$D$136,$C15,$C$49:$C$136,"Super")+COUNTIFS($D$49:$D$136,$C15,$C$49:$C$136,"Model")</f>
        <v/>
      </c>
      <c r="J15" s="76">
        <f>COUNTIFS($D$49:$D$136,$C15,$C$49:$C$136,"Vac")</f>
        <v/>
      </c>
      <c r="K15" s="76">
        <f>IFERROR(AVERAGEIFS($J$49:$J$136,$D$49:$D$136,$C15),"n/a")</f>
        <v/>
      </c>
      <c r="L15" s="76">
        <f>SUMIFS($J$49:$J$136,$D$49:$D$136,$C15)</f>
        <v/>
      </c>
      <c r="M15" s="76">
        <f>SUMIFS($J$49:$J$136,$D$49:$D$136,$C15,$C$49:$C$136,"Occ")+SUMIFS($J$49:$J$136,$D$49:$D$136,$C15,$C$49:$C$136,"Admin")+SUMIFS($J$49:$J$136,$D$49:$D$136,$C15,$C$49:$C$136,"Down")+SUMIFS($J$49:$J$136,$D$49:$D$136,$C15,$C$49:$C$136,"Super")+SUMIFS($J$49:$J$136,$D$49:$D$136,$C15,$C$49:$C$136,"Model")</f>
        <v/>
      </c>
      <c r="N15" s="76">
        <f>SUMIFS($J$49:$J$136,$D$49:$D$136,$C15,$C$49:$C$136,"Vac")</f>
        <v/>
      </c>
      <c r="O15" s="76">
        <f>SUMIFS($L$49:$L$136,$D$49:$D$136,$C15)</f>
        <v/>
      </c>
      <c r="P15" s="76">
        <f>SUMIFS($M$49:$M$136,$D$49:$D$136,$C15)</f>
        <v/>
      </c>
      <c r="Q15" s="76">
        <f>SUMIFS($R$49:$R$136,$D$49:$D$136,$C15)</f>
        <v/>
      </c>
      <c r="R15" s="76">
        <f>SUMIFS($S$49:$S$136,$D$49:$D$136,$C15)</f>
        <v/>
      </c>
      <c r="S15" s="76">
        <f>SUMIFS($T$49:$T$136,$D$49:$D$136,$C15)</f>
        <v/>
      </c>
    </row>
    <row r="16">
      <c r="C16" s="72" t="inlineStr">
        <is>
          <t>D-1D</t>
        </is>
      </c>
      <c r="D16" s="73" t="inlineStr">
        <is>
          <t>D-1D</t>
        </is>
      </c>
      <c r="E16" s="74" t="n"/>
      <c r="F16" s="75" t="n"/>
      <c r="G16" s="74" t="inlineStr">
        <is>
          <t>No</t>
        </is>
      </c>
      <c r="H16" s="76">
        <f>COUNTIFS($D$49:$D$136,$C16)</f>
        <v/>
      </c>
      <c r="I16" s="76">
        <f>COUNTIFS($D$49:$D$136,$C16,$C$49:$C$136,"Occ")+COUNTIFS($D$49:$D$136,$C16,$C$49:$C$136,"Admin")+COUNTIFS($D$49:$D$136,$C16,$C$49:$C$136,"Down")+COUNTIFS($D$49:$D$136,$C16,$C$49:$C$136,"Super")+COUNTIFS($D$49:$D$136,$C16,$C$49:$C$136,"Model")</f>
        <v/>
      </c>
      <c r="J16" s="76">
        <f>COUNTIFS($D$49:$D$136,$C16,$C$49:$C$136,"Vac")</f>
        <v/>
      </c>
      <c r="K16" s="76">
        <f>IFERROR(AVERAGEIFS($J$49:$J$136,$D$49:$D$136,$C16),"n/a")</f>
        <v/>
      </c>
      <c r="L16" s="76">
        <f>SUMIFS($J$49:$J$136,$D$49:$D$136,$C16)</f>
        <v/>
      </c>
      <c r="M16" s="76">
        <f>SUMIFS($J$49:$J$136,$D$49:$D$136,$C16,$C$49:$C$136,"Occ")+SUMIFS($J$49:$J$136,$D$49:$D$136,$C16,$C$49:$C$136,"Admin")+SUMIFS($J$49:$J$136,$D$49:$D$136,$C16,$C$49:$C$136,"Down")+SUMIFS($J$49:$J$136,$D$49:$D$136,$C16,$C$49:$C$136,"Super")+SUMIFS($J$49:$J$136,$D$49:$D$136,$C16,$C$49:$C$136,"Model")</f>
        <v/>
      </c>
      <c r="N16" s="76">
        <f>SUMIFS($J$49:$J$136,$D$49:$D$136,$C16,$C$49:$C$136,"Vac")</f>
        <v/>
      </c>
      <c r="O16" s="76">
        <f>SUMIFS($L$49:$L$136,$D$49:$D$136,$C16)</f>
        <v/>
      </c>
      <c r="P16" s="76">
        <f>SUMIFS($M$49:$M$136,$D$49:$D$136,$C16)</f>
        <v/>
      </c>
      <c r="Q16" s="76">
        <f>SUMIFS($R$49:$R$136,$D$49:$D$136,$C16)</f>
        <v/>
      </c>
      <c r="R16" s="76">
        <f>SUMIFS($S$49:$S$136,$D$49:$D$136,$C16)</f>
        <v/>
      </c>
      <c r="S16" s="76">
        <f>SUMIFS($T$49:$T$136,$D$49:$D$136,$C16)</f>
        <v/>
      </c>
    </row>
    <row r="17">
      <c r="C17" s="72" t="inlineStr">
        <is>
          <t>P-1</t>
        </is>
      </c>
      <c r="D17" s="73" t="inlineStr">
        <is>
          <t>P-1</t>
        </is>
      </c>
      <c r="E17" s="74" t="n"/>
      <c r="F17" s="75" t="n"/>
      <c r="G17" s="74" t="inlineStr">
        <is>
          <t>No</t>
        </is>
      </c>
      <c r="H17" s="76">
        <f>COUNTIFS($D$49:$D$136,$C17)</f>
        <v/>
      </c>
      <c r="I17" s="76">
        <f>COUNTIFS($D$49:$D$136,$C17,$C$49:$C$136,"Occ")+COUNTIFS($D$49:$D$136,$C17,$C$49:$C$136,"Admin")+COUNTIFS($D$49:$D$136,$C17,$C$49:$C$136,"Down")+COUNTIFS($D$49:$D$136,$C17,$C$49:$C$136,"Super")+COUNTIFS($D$49:$D$136,$C17,$C$49:$C$136,"Model")</f>
        <v/>
      </c>
      <c r="J17" s="76">
        <f>COUNTIFS($D$49:$D$136,$C17,$C$49:$C$136,"Vac")</f>
        <v/>
      </c>
      <c r="K17" s="76">
        <f>IFERROR(AVERAGEIFS($J$49:$J$136,$D$49:$D$136,$C17),"n/a")</f>
        <v/>
      </c>
      <c r="L17" s="76">
        <f>SUMIFS($J$49:$J$136,$D$49:$D$136,$C17)</f>
        <v/>
      </c>
      <c r="M17" s="76">
        <f>SUMIFS($J$49:$J$136,$D$49:$D$136,$C17,$C$49:$C$136,"Occ")+SUMIFS($J$49:$J$136,$D$49:$D$136,$C17,$C$49:$C$136,"Admin")+SUMIFS($J$49:$J$136,$D$49:$D$136,$C17,$C$49:$C$136,"Down")+SUMIFS($J$49:$J$136,$D$49:$D$136,$C17,$C$49:$C$136,"Super")+SUMIFS($J$49:$J$136,$D$49:$D$136,$C17,$C$49:$C$136,"Model")</f>
        <v/>
      </c>
      <c r="N17" s="76">
        <f>SUMIFS($J$49:$J$136,$D$49:$D$136,$C17,$C$49:$C$136,"Vac")</f>
        <v/>
      </c>
      <c r="O17" s="76">
        <f>SUMIFS($L$49:$L$136,$D$49:$D$136,$C17)</f>
        <v/>
      </c>
      <c r="P17" s="76">
        <f>SUMIFS($M$49:$M$136,$D$49:$D$136,$C17)</f>
        <v/>
      </c>
      <c r="Q17" s="76">
        <f>SUMIFS($R$49:$R$136,$D$49:$D$136,$C17)</f>
        <v/>
      </c>
      <c r="R17" s="76">
        <f>SUMIFS($S$49:$S$136,$D$49:$D$136,$C17)</f>
        <v/>
      </c>
      <c r="S17" s="76">
        <f>SUMIFS($T$49:$T$136,$D$49:$D$136,$C17)</f>
        <v/>
      </c>
    </row>
    <row r="18">
      <c r="C18" s="72" t="inlineStr">
        <is>
          <t>P-1 AFF L</t>
        </is>
      </c>
      <c r="D18" s="73" t="inlineStr">
        <is>
          <t>P-1 AFF L</t>
        </is>
      </c>
      <c r="E18" s="74" t="n"/>
      <c r="F18" s="75" t="n"/>
      <c r="G18" s="74" t="inlineStr">
        <is>
          <t>No</t>
        </is>
      </c>
      <c r="H18" s="76">
        <f>COUNTIFS($D$49:$D$136,$C18)</f>
        <v/>
      </c>
      <c r="I18" s="76">
        <f>COUNTIFS($D$49:$D$136,$C18,$C$49:$C$136,"Occ")+COUNTIFS($D$49:$D$136,$C18,$C$49:$C$136,"Admin")+COUNTIFS($D$49:$D$136,$C18,$C$49:$C$136,"Down")+COUNTIFS($D$49:$D$136,$C18,$C$49:$C$136,"Super")+COUNTIFS($D$49:$D$136,$C18,$C$49:$C$136,"Model")</f>
        <v/>
      </c>
      <c r="J18" s="76">
        <f>COUNTIFS($D$49:$D$136,$C18,$C$49:$C$136,"Vac")</f>
        <v/>
      </c>
      <c r="K18" s="76">
        <f>IFERROR(AVERAGEIFS($J$49:$J$136,$D$49:$D$136,$C18),"n/a")</f>
        <v/>
      </c>
      <c r="L18" s="76">
        <f>SUMIFS($J$49:$J$136,$D$49:$D$136,$C18)</f>
        <v/>
      </c>
      <c r="M18" s="76">
        <f>SUMIFS($J$49:$J$136,$D$49:$D$136,$C18,$C$49:$C$136,"Occ")+SUMIFS($J$49:$J$136,$D$49:$D$136,$C18,$C$49:$C$136,"Admin")+SUMIFS($J$49:$J$136,$D$49:$D$136,$C18,$C$49:$C$136,"Down")+SUMIFS($J$49:$J$136,$D$49:$D$136,$C18,$C$49:$C$136,"Super")+SUMIFS($J$49:$J$136,$D$49:$D$136,$C18,$C$49:$C$136,"Model")</f>
        <v/>
      </c>
      <c r="N18" s="76">
        <f>SUMIFS($J$49:$J$136,$D$49:$D$136,$C18,$C$49:$C$136,"Vac")</f>
        <v/>
      </c>
      <c r="O18" s="76">
        <f>SUMIFS($L$49:$L$136,$D$49:$D$136,$C18)</f>
        <v/>
      </c>
      <c r="P18" s="76">
        <f>SUMIFS($M$49:$M$136,$D$49:$D$136,$C18)</f>
        <v/>
      </c>
      <c r="Q18" s="76">
        <f>SUMIFS($R$49:$R$136,$D$49:$D$136,$C18)</f>
        <v/>
      </c>
      <c r="R18" s="76">
        <f>SUMIFS($S$49:$S$136,$D$49:$D$136,$C18)</f>
        <v/>
      </c>
      <c r="S18" s="76">
        <f>SUMIFS($T$49:$T$136,$D$49:$D$136,$C18)</f>
        <v/>
      </c>
    </row>
    <row r="19">
      <c r="C19" s="72" t="inlineStr">
        <is>
          <t>M-2 AFF L</t>
        </is>
      </c>
      <c r="D19" s="73" t="inlineStr">
        <is>
          <t>M-2 AFF L</t>
        </is>
      </c>
      <c r="E19" s="74" t="n"/>
      <c r="F19" s="75" t="n"/>
      <c r="G19" s="74" t="inlineStr">
        <is>
          <t>No</t>
        </is>
      </c>
      <c r="H19" s="76">
        <f>COUNTIFS($D$49:$D$136,$C19)</f>
        <v/>
      </c>
      <c r="I19" s="76">
        <f>COUNTIFS($D$49:$D$136,$C19,$C$49:$C$136,"Occ")+COUNTIFS($D$49:$D$136,$C19,$C$49:$C$136,"Admin")+COUNTIFS($D$49:$D$136,$C19,$C$49:$C$136,"Down")+COUNTIFS($D$49:$D$136,$C19,$C$49:$C$136,"Super")+COUNTIFS($D$49:$D$136,$C19,$C$49:$C$136,"Model")</f>
        <v/>
      </c>
      <c r="J19" s="76">
        <f>COUNTIFS($D$49:$D$136,$C19,$C$49:$C$136,"Vac")</f>
        <v/>
      </c>
      <c r="K19" s="76">
        <f>IFERROR(AVERAGEIFS($J$49:$J$136,$D$49:$D$136,$C19),"n/a")</f>
        <v/>
      </c>
      <c r="L19" s="76">
        <f>SUMIFS($J$49:$J$136,$D$49:$D$136,$C19)</f>
        <v/>
      </c>
      <c r="M19" s="76">
        <f>SUMIFS($J$49:$J$136,$D$49:$D$136,$C19,$C$49:$C$136,"Occ")+SUMIFS($J$49:$J$136,$D$49:$D$136,$C19,$C$49:$C$136,"Admin")+SUMIFS($J$49:$J$136,$D$49:$D$136,$C19,$C$49:$C$136,"Down")+SUMIFS($J$49:$J$136,$D$49:$D$136,$C19,$C$49:$C$136,"Super")+SUMIFS($J$49:$J$136,$D$49:$D$136,$C19,$C$49:$C$136,"Model")</f>
        <v/>
      </c>
      <c r="N19" s="76">
        <f>SUMIFS($J$49:$J$136,$D$49:$D$136,$C19,$C$49:$C$136,"Vac")</f>
        <v/>
      </c>
      <c r="O19" s="76">
        <f>SUMIFS($L$49:$L$136,$D$49:$D$136,$C19)</f>
        <v/>
      </c>
      <c r="P19" s="76">
        <f>SUMIFS($M$49:$M$136,$D$49:$D$136,$C19)</f>
        <v/>
      </c>
      <c r="Q19" s="76">
        <f>SUMIFS($R$49:$R$136,$D$49:$D$136,$C19)</f>
        <v/>
      </c>
      <c r="R19" s="76">
        <f>SUMIFS($S$49:$S$136,$D$49:$D$136,$C19)</f>
        <v/>
      </c>
      <c r="S19" s="76">
        <f>SUMIFS($T$49:$T$136,$D$49:$D$136,$C19)</f>
        <v/>
      </c>
    </row>
    <row r="20">
      <c r="C20" s="72" t="inlineStr">
        <is>
          <t>C-1D</t>
        </is>
      </c>
      <c r="D20" s="73" t="inlineStr">
        <is>
          <t>C-1D</t>
        </is>
      </c>
      <c r="E20" s="74" t="n"/>
      <c r="F20" s="75" t="n"/>
      <c r="G20" s="74" t="inlineStr">
        <is>
          <t>No</t>
        </is>
      </c>
      <c r="H20" s="76">
        <f>COUNTIFS($D$49:$D$136,$C20)</f>
        <v/>
      </c>
      <c r="I20" s="76">
        <f>COUNTIFS($D$49:$D$136,$C20,$C$49:$C$136,"Occ")+COUNTIFS($D$49:$D$136,$C20,$C$49:$C$136,"Admin")+COUNTIFS($D$49:$D$136,$C20,$C$49:$C$136,"Down")+COUNTIFS($D$49:$D$136,$C20,$C$49:$C$136,"Super")+COUNTIFS($D$49:$D$136,$C20,$C$49:$C$136,"Model")</f>
        <v/>
      </c>
      <c r="J20" s="76">
        <f>COUNTIFS($D$49:$D$136,$C20,$C$49:$C$136,"Vac")</f>
        <v/>
      </c>
      <c r="K20" s="76">
        <f>IFERROR(AVERAGEIFS($J$49:$J$136,$D$49:$D$136,$C20),"n/a")</f>
        <v/>
      </c>
      <c r="L20" s="76">
        <f>SUMIFS($J$49:$J$136,$D$49:$D$136,$C20)</f>
        <v/>
      </c>
      <c r="M20" s="76">
        <f>SUMIFS($J$49:$J$136,$D$49:$D$136,$C20,$C$49:$C$136,"Occ")+SUMIFS($J$49:$J$136,$D$49:$D$136,$C20,$C$49:$C$136,"Admin")+SUMIFS($J$49:$J$136,$D$49:$D$136,$C20,$C$49:$C$136,"Down")+SUMIFS($J$49:$J$136,$D$49:$D$136,$C20,$C$49:$C$136,"Super")+SUMIFS($J$49:$J$136,$D$49:$D$136,$C20,$C$49:$C$136,"Model")</f>
        <v/>
      </c>
      <c r="N20" s="76">
        <f>SUMIFS($J$49:$J$136,$D$49:$D$136,$C20,$C$49:$C$136,"Vac")</f>
        <v/>
      </c>
      <c r="O20" s="76">
        <f>SUMIFS($L$49:$L$136,$D$49:$D$136,$C20)</f>
        <v/>
      </c>
      <c r="P20" s="76">
        <f>SUMIFS($M$49:$M$136,$D$49:$D$136,$C20)</f>
        <v/>
      </c>
      <c r="Q20" s="76">
        <f>SUMIFS($R$49:$R$136,$D$49:$D$136,$C20)</f>
        <v/>
      </c>
      <c r="R20" s="76">
        <f>SUMIFS($S$49:$S$136,$D$49:$D$136,$C20)</f>
        <v/>
      </c>
      <c r="S20" s="76">
        <f>SUMIFS($T$49:$T$136,$D$49:$D$136,$C20)</f>
        <v/>
      </c>
    </row>
    <row r="21">
      <c r="C21" s="72" t="inlineStr">
        <is>
          <t>K-2</t>
        </is>
      </c>
      <c r="D21" s="73" t="inlineStr">
        <is>
          <t>K-2</t>
        </is>
      </c>
      <c r="E21" s="74" t="n"/>
      <c r="F21" s="75" t="n"/>
      <c r="G21" s="74" t="inlineStr">
        <is>
          <t>No</t>
        </is>
      </c>
      <c r="H21" s="76">
        <f>COUNTIFS($D$49:$D$136,$C21)</f>
        <v/>
      </c>
      <c r="I21" s="76">
        <f>COUNTIFS($D$49:$D$136,$C21,$C$49:$C$136,"Occ")+COUNTIFS($D$49:$D$136,$C21,$C$49:$C$136,"Admin")+COUNTIFS($D$49:$D$136,$C21,$C$49:$C$136,"Down")+COUNTIFS($D$49:$D$136,$C21,$C$49:$C$136,"Super")+COUNTIFS($D$49:$D$136,$C21,$C$49:$C$136,"Model")</f>
        <v/>
      </c>
      <c r="J21" s="76">
        <f>COUNTIFS($D$49:$D$136,$C21,$C$49:$C$136,"Vac")</f>
        <v/>
      </c>
      <c r="K21" s="76">
        <f>IFERROR(AVERAGEIFS($J$49:$J$136,$D$49:$D$136,$C21),"n/a")</f>
        <v/>
      </c>
      <c r="L21" s="76">
        <f>SUMIFS($J$49:$J$136,$D$49:$D$136,$C21)</f>
        <v/>
      </c>
      <c r="M21" s="76">
        <f>SUMIFS($J$49:$J$136,$D$49:$D$136,$C21,$C$49:$C$136,"Occ")+SUMIFS($J$49:$J$136,$D$49:$D$136,$C21,$C$49:$C$136,"Admin")+SUMIFS($J$49:$J$136,$D$49:$D$136,$C21,$C$49:$C$136,"Down")+SUMIFS($J$49:$J$136,$D$49:$D$136,$C21,$C$49:$C$136,"Super")+SUMIFS($J$49:$J$136,$D$49:$D$136,$C21,$C$49:$C$136,"Model")</f>
        <v/>
      </c>
      <c r="N21" s="76">
        <f>SUMIFS($J$49:$J$136,$D$49:$D$136,$C21,$C$49:$C$136,"Vac")</f>
        <v/>
      </c>
      <c r="O21" s="76">
        <f>SUMIFS($L$49:$L$136,$D$49:$D$136,$C21)</f>
        <v/>
      </c>
      <c r="P21" s="76">
        <f>SUMIFS($M$49:$M$136,$D$49:$D$136,$C21)</f>
        <v/>
      </c>
      <c r="Q21" s="76">
        <f>SUMIFS($R$49:$R$136,$D$49:$D$136,$C21)</f>
        <v/>
      </c>
      <c r="R21" s="76">
        <f>SUMIFS($S$49:$S$136,$D$49:$D$136,$C21)</f>
        <v/>
      </c>
      <c r="S21" s="76">
        <f>SUMIFS($T$49:$T$136,$D$49:$D$136,$C21)</f>
        <v/>
      </c>
    </row>
    <row r="22">
      <c r="C22" s="72" t="inlineStr">
        <is>
          <t>F-2</t>
        </is>
      </c>
      <c r="D22" s="73" t="inlineStr">
        <is>
          <t>F-2</t>
        </is>
      </c>
      <c r="E22" s="74" t="n"/>
      <c r="F22" s="75" t="n"/>
      <c r="G22" s="74" t="inlineStr">
        <is>
          <t>No</t>
        </is>
      </c>
      <c r="H22" s="76">
        <f>COUNTIFS($D$49:$D$136,$C22)</f>
        <v/>
      </c>
      <c r="I22" s="76">
        <f>COUNTIFS($D$49:$D$136,$C22,$C$49:$C$136,"Occ")+COUNTIFS($D$49:$D$136,$C22,$C$49:$C$136,"Admin")+COUNTIFS($D$49:$D$136,$C22,$C$49:$C$136,"Down")+COUNTIFS($D$49:$D$136,$C22,$C$49:$C$136,"Super")+COUNTIFS($D$49:$D$136,$C22,$C$49:$C$136,"Model")</f>
        <v/>
      </c>
      <c r="J22" s="76">
        <f>COUNTIFS($D$49:$D$136,$C22,$C$49:$C$136,"Vac")</f>
        <v/>
      </c>
      <c r="K22" s="76">
        <f>IFERROR(AVERAGEIFS($J$49:$J$136,$D$49:$D$136,$C22),"n/a")</f>
        <v/>
      </c>
      <c r="L22" s="76">
        <f>SUMIFS($J$49:$J$136,$D$49:$D$136,$C22)</f>
        <v/>
      </c>
      <c r="M22" s="76">
        <f>SUMIFS($J$49:$J$136,$D$49:$D$136,$C22,$C$49:$C$136,"Occ")+SUMIFS($J$49:$J$136,$D$49:$D$136,$C22,$C$49:$C$136,"Admin")+SUMIFS($J$49:$J$136,$D$49:$D$136,$C22,$C$49:$C$136,"Down")+SUMIFS($J$49:$J$136,$D$49:$D$136,$C22,$C$49:$C$136,"Super")+SUMIFS($J$49:$J$136,$D$49:$D$136,$C22,$C$49:$C$136,"Model")</f>
        <v/>
      </c>
      <c r="N22" s="76">
        <f>SUMIFS($J$49:$J$136,$D$49:$D$136,$C22,$C$49:$C$136,"Vac")</f>
        <v/>
      </c>
      <c r="O22" s="76">
        <f>SUMIFS($L$49:$L$136,$D$49:$D$136,$C22)</f>
        <v/>
      </c>
      <c r="P22" s="76">
        <f>SUMIFS($M$49:$M$136,$D$49:$D$136,$C22)</f>
        <v/>
      </c>
      <c r="Q22" s="76">
        <f>SUMIFS($R$49:$R$136,$D$49:$D$136,$C22)</f>
        <v/>
      </c>
      <c r="R22" s="76">
        <f>SUMIFS($S$49:$S$136,$D$49:$D$136,$C22)</f>
        <v/>
      </c>
      <c r="S22" s="76">
        <f>SUMIFS($T$49:$T$136,$D$49:$D$136,$C22)</f>
        <v/>
      </c>
    </row>
    <row r="23">
      <c r="C23" s="72" t="inlineStr">
        <is>
          <t>E-2</t>
        </is>
      </c>
      <c r="D23" s="73" t="inlineStr">
        <is>
          <t>E-2</t>
        </is>
      </c>
      <c r="E23" s="74" t="n"/>
      <c r="F23" s="75" t="n"/>
      <c r="G23" s="74" t="inlineStr">
        <is>
          <t>No</t>
        </is>
      </c>
      <c r="H23" s="76">
        <f>COUNTIFS($D$49:$D$136,$C23)</f>
        <v/>
      </c>
      <c r="I23" s="76">
        <f>COUNTIFS($D$49:$D$136,$C23,$C$49:$C$136,"Occ")+COUNTIFS($D$49:$D$136,$C23,$C$49:$C$136,"Admin")+COUNTIFS($D$49:$D$136,$C23,$C$49:$C$136,"Down")+COUNTIFS($D$49:$D$136,$C23,$C$49:$C$136,"Super")+COUNTIFS($D$49:$D$136,$C23,$C$49:$C$136,"Model")</f>
        <v/>
      </c>
      <c r="J23" s="76">
        <f>COUNTIFS($D$49:$D$136,$C23,$C$49:$C$136,"Vac")</f>
        <v/>
      </c>
      <c r="K23" s="76">
        <f>IFERROR(AVERAGEIFS($J$49:$J$136,$D$49:$D$136,$C23),"n/a")</f>
        <v/>
      </c>
      <c r="L23" s="76">
        <f>SUMIFS($J$49:$J$136,$D$49:$D$136,$C23)</f>
        <v/>
      </c>
      <c r="M23" s="76">
        <f>SUMIFS($J$49:$J$136,$D$49:$D$136,$C23,$C$49:$C$136,"Occ")+SUMIFS($J$49:$J$136,$D$49:$D$136,$C23,$C$49:$C$136,"Admin")+SUMIFS($J$49:$J$136,$D$49:$D$136,$C23,$C$49:$C$136,"Down")+SUMIFS($J$49:$J$136,$D$49:$D$136,$C23,$C$49:$C$136,"Super")+SUMIFS($J$49:$J$136,$D$49:$D$136,$C23,$C$49:$C$136,"Model")</f>
        <v/>
      </c>
      <c r="N23" s="76">
        <f>SUMIFS($J$49:$J$136,$D$49:$D$136,$C23,$C$49:$C$136,"Vac")</f>
        <v/>
      </c>
      <c r="O23" s="76">
        <f>SUMIFS($L$49:$L$136,$D$49:$D$136,$C23)</f>
        <v/>
      </c>
      <c r="P23" s="76">
        <f>SUMIFS($M$49:$M$136,$D$49:$D$136,$C23)</f>
        <v/>
      </c>
      <c r="Q23" s="76">
        <f>SUMIFS($R$49:$R$136,$D$49:$D$136,$C23)</f>
        <v/>
      </c>
      <c r="R23" s="76">
        <f>SUMIFS($S$49:$S$136,$D$49:$D$136,$C23)</f>
        <v/>
      </c>
      <c r="S23" s="76">
        <f>SUMIFS($T$49:$T$136,$D$49:$D$136,$C23)</f>
        <v/>
      </c>
    </row>
    <row r="24">
      <c r="C24" s="72" t="inlineStr">
        <is>
          <t>M-3</t>
        </is>
      </c>
      <c r="D24" s="73" t="inlineStr">
        <is>
          <t>M-3</t>
        </is>
      </c>
      <c r="E24" s="74" t="n"/>
      <c r="F24" s="75" t="n"/>
      <c r="G24" s="74" t="inlineStr">
        <is>
          <t>No</t>
        </is>
      </c>
      <c r="H24" s="76">
        <f>COUNTIFS($D$49:$D$136,$C24)</f>
        <v/>
      </c>
      <c r="I24" s="76">
        <f>COUNTIFS($D$49:$D$136,$C24,$C$49:$C$136,"Occ")+COUNTIFS($D$49:$D$136,$C24,$C$49:$C$136,"Admin")+COUNTIFS($D$49:$D$136,$C24,$C$49:$C$136,"Down")+COUNTIFS($D$49:$D$136,$C24,$C$49:$C$136,"Super")+COUNTIFS($D$49:$D$136,$C24,$C$49:$C$136,"Model")</f>
        <v/>
      </c>
      <c r="J24" s="76">
        <f>COUNTIFS($D$49:$D$136,$C24,$C$49:$C$136,"Vac")</f>
        <v/>
      </c>
      <c r="K24" s="76">
        <f>IFERROR(AVERAGEIFS($J$49:$J$136,$D$49:$D$136,$C24),"n/a")</f>
        <v/>
      </c>
      <c r="L24" s="76">
        <f>SUMIFS($J$49:$J$136,$D$49:$D$136,$C24)</f>
        <v/>
      </c>
      <c r="M24" s="76">
        <f>SUMIFS($J$49:$J$136,$D$49:$D$136,$C24,$C$49:$C$136,"Occ")+SUMIFS($J$49:$J$136,$D$49:$D$136,$C24,$C$49:$C$136,"Admin")+SUMIFS($J$49:$J$136,$D$49:$D$136,$C24,$C$49:$C$136,"Down")+SUMIFS($J$49:$J$136,$D$49:$D$136,$C24,$C$49:$C$136,"Super")+SUMIFS($J$49:$J$136,$D$49:$D$136,$C24,$C$49:$C$136,"Model")</f>
        <v/>
      </c>
      <c r="N24" s="76">
        <f>SUMIFS($J$49:$J$136,$D$49:$D$136,$C24,$C$49:$C$136,"Vac")</f>
        <v/>
      </c>
      <c r="O24" s="76">
        <f>SUMIFS($L$49:$L$136,$D$49:$D$136,$C24)</f>
        <v/>
      </c>
      <c r="P24" s="76">
        <f>SUMIFS($M$49:$M$136,$D$49:$D$136,$C24)</f>
        <v/>
      </c>
      <c r="Q24" s="76">
        <f>SUMIFS($R$49:$R$136,$D$49:$D$136,$C24)</f>
        <v/>
      </c>
      <c r="R24" s="76">
        <f>SUMIFS($S$49:$S$136,$D$49:$D$136,$C24)</f>
        <v/>
      </c>
      <c r="S24" s="76">
        <f>SUMIFS($T$49:$T$136,$D$49:$D$136,$C24)</f>
        <v/>
      </c>
    </row>
    <row r="25">
      <c r="C25" s="72" t="inlineStr">
        <is>
          <t>M-3 AFF L</t>
        </is>
      </c>
      <c r="D25" s="73" t="inlineStr">
        <is>
          <t>M-3 AFF L</t>
        </is>
      </c>
      <c r="E25" s="74" t="n"/>
      <c r="F25" s="75" t="n"/>
      <c r="G25" s="74" t="inlineStr">
        <is>
          <t>No</t>
        </is>
      </c>
      <c r="H25" s="76">
        <f>COUNTIFS($D$49:$D$136,$C25)</f>
        <v/>
      </c>
      <c r="I25" s="76">
        <f>COUNTIFS($D$49:$D$136,$C25,$C$49:$C$136,"Occ")+COUNTIFS($D$49:$D$136,$C25,$C$49:$C$136,"Admin")+COUNTIFS($D$49:$D$136,$C25,$C$49:$C$136,"Down")+COUNTIFS($D$49:$D$136,$C25,$C$49:$C$136,"Super")+COUNTIFS($D$49:$D$136,$C25,$C$49:$C$136,"Model")</f>
        <v/>
      </c>
      <c r="J25" s="76">
        <f>COUNTIFS($D$49:$D$136,$C25,$C$49:$C$136,"Vac")</f>
        <v/>
      </c>
      <c r="K25" s="76">
        <f>IFERROR(AVERAGEIFS($J$49:$J$136,$D$49:$D$136,$C25),"n/a")</f>
        <v/>
      </c>
      <c r="L25" s="76">
        <f>SUMIFS($J$49:$J$136,$D$49:$D$136,$C25)</f>
        <v/>
      </c>
      <c r="M25" s="76">
        <f>SUMIFS($J$49:$J$136,$D$49:$D$136,$C25,$C$49:$C$136,"Occ")+SUMIFS($J$49:$J$136,$D$49:$D$136,$C25,$C$49:$C$136,"Admin")+SUMIFS($J$49:$J$136,$D$49:$D$136,$C25,$C$49:$C$136,"Down")+SUMIFS($J$49:$J$136,$D$49:$D$136,$C25,$C$49:$C$136,"Super")+SUMIFS($J$49:$J$136,$D$49:$D$136,$C25,$C$49:$C$136,"Model")</f>
        <v/>
      </c>
      <c r="N25" s="76">
        <f>SUMIFS($J$49:$J$136,$D$49:$D$136,$C25,$C$49:$C$136,"Vac")</f>
        <v/>
      </c>
      <c r="O25" s="76">
        <f>SUMIFS($L$49:$L$136,$D$49:$D$136,$C25)</f>
        <v/>
      </c>
      <c r="P25" s="76">
        <f>SUMIFS($M$49:$M$136,$D$49:$D$136,$C25)</f>
        <v/>
      </c>
      <c r="Q25" s="76">
        <f>SUMIFS($R$49:$R$136,$D$49:$D$136,$C25)</f>
        <v/>
      </c>
      <c r="R25" s="76">
        <f>SUMIFS($S$49:$S$136,$D$49:$D$136,$C25)</f>
        <v/>
      </c>
      <c r="S25" s="76">
        <f>SUMIFS($T$49:$T$136,$D$49:$D$136,$C25)</f>
        <v/>
      </c>
    </row>
    <row r="26">
      <c r="C26" s="72" t="inlineStr">
        <is>
          <t>M-3 AFF M</t>
        </is>
      </c>
      <c r="D26" s="73" t="inlineStr">
        <is>
          <t>M-3 AFF M</t>
        </is>
      </c>
      <c r="E26" s="74" t="n"/>
      <c r="F26" s="75" t="n"/>
      <c r="G26" s="74" t="inlineStr">
        <is>
          <t>No</t>
        </is>
      </c>
      <c r="H26" s="76">
        <f>COUNTIFS($D$49:$D$136,$C26)</f>
        <v/>
      </c>
      <c r="I26" s="76">
        <f>COUNTIFS($D$49:$D$136,$C26,$C$49:$C$136,"Occ")+COUNTIFS($D$49:$D$136,$C26,$C$49:$C$136,"Admin")+COUNTIFS($D$49:$D$136,$C26,$C$49:$C$136,"Down")+COUNTIFS($D$49:$D$136,$C26,$C$49:$C$136,"Super")+COUNTIFS($D$49:$D$136,$C26,$C$49:$C$136,"Model")</f>
        <v/>
      </c>
      <c r="J26" s="76">
        <f>COUNTIFS($D$49:$D$136,$C26,$C$49:$C$136,"Vac")</f>
        <v/>
      </c>
      <c r="K26" s="76">
        <f>IFERROR(AVERAGEIFS($J$49:$J$136,$D$49:$D$136,$C26),"n/a")</f>
        <v/>
      </c>
      <c r="L26" s="76">
        <f>SUMIFS($J$49:$J$136,$D$49:$D$136,$C26)</f>
        <v/>
      </c>
      <c r="M26" s="76">
        <f>SUMIFS($J$49:$J$136,$D$49:$D$136,$C26,$C$49:$C$136,"Occ")+SUMIFS($J$49:$J$136,$D$49:$D$136,$C26,$C$49:$C$136,"Admin")+SUMIFS($J$49:$J$136,$D$49:$D$136,$C26,$C$49:$C$136,"Down")+SUMIFS($J$49:$J$136,$D$49:$D$136,$C26,$C$49:$C$136,"Super")+SUMIFS($J$49:$J$136,$D$49:$D$136,$C26,$C$49:$C$136,"Model")</f>
        <v/>
      </c>
      <c r="N26" s="76">
        <f>SUMIFS($J$49:$J$136,$D$49:$D$136,$C26,$C$49:$C$136,"Vac")</f>
        <v/>
      </c>
      <c r="O26" s="76">
        <f>SUMIFS($L$49:$L$136,$D$49:$D$136,$C26)</f>
        <v/>
      </c>
      <c r="P26" s="76">
        <f>SUMIFS($M$49:$M$136,$D$49:$D$136,$C26)</f>
        <v/>
      </c>
      <c r="Q26" s="76">
        <f>SUMIFS($R$49:$R$136,$D$49:$D$136,$C26)</f>
        <v/>
      </c>
      <c r="R26" s="76">
        <f>SUMIFS($S$49:$S$136,$D$49:$D$136,$C26)</f>
        <v/>
      </c>
      <c r="S26" s="76">
        <f>SUMIFS($T$49:$T$136,$D$49:$D$136,$C26)</f>
        <v/>
      </c>
    </row>
    <row r="27">
      <c r="C27" s="72" t="inlineStr">
        <is>
          <t>M-3 AFF VL</t>
        </is>
      </c>
      <c r="D27" s="73" t="inlineStr">
        <is>
          <t>M-3 AFF VL</t>
        </is>
      </c>
      <c r="E27" s="74" t="n"/>
      <c r="F27" s="75" t="n"/>
      <c r="G27" s="74" t="inlineStr">
        <is>
          <t>No</t>
        </is>
      </c>
      <c r="H27" s="76">
        <f>COUNTIFS($D$49:$D$136,$C27)</f>
        <v/>
      </c>
      <c r="I27" s="76">
        <f>COUNTIFS($D$49:$D$136,$C27,$C$49:$C$136,"Occ")+COUNTIFS($D$49:$D$136,$C27,$C$49:$C$136,"Admin")+COUNTIFS($D$49:$D$136,$C27,$C$49:$C$136,"Down")+COUNTIFS($D$49:$D$136,$C27,$C$49:$C$136,"Super")+COUNTIFS($D$49:$D$136,$C27,$C$49:$C$136,"Model")</f>
        <v/>
      </c>
      <c r="J27" s="76">
        <f>COUNTIFS($D$49:$D$136,$C27,$C$49:$C$136,"Vac")</f>
        <v/>
      </c>
      <c r="K27" s="76">
        <f>IFERROR(AVERAGEIFS($J$49:$J$136,$D$49:$D$136,$C27),"n/a")</f>
        <v/>
      </c>
      <c r="L27" s="76">
        <f>SUMIFS($J$49:$J$136,$D$49:$D$136,$C27)</f>
        <v/>
      </c>
      <c r="M27" s="76">
        <f>SUMIFS($J$49:$J$136,$D$49:$D$136,$C27,$C$49:$C$136,"Occ")+SUMIFS($J$49:$J$136,$D$49:$D$136,$C27,$C$49:$C$136,"Admin")+SUMIFS($J$49:$J$136,$D$49:$D$136,$C27,$C$49:$C$136,"Down")+SUMIFS($J$49:$J$136,$D$49:$D$136,$C27,$C$49:$C$136,"Super")+SUMIFS($J$49:$J$136,$D$49:$D$136,$C27,$C$49:$C$136,"Model")</f>
        <v/>
      </c>
      <c r="N27" s="76">
        <f>SUMIFS($J$49:$J$136,$D$49:$D$136,$C27,$C$49:$C$136,"Vac")</f>
        <v/>
      </c>
      <c r="O27" s="76">
        <f>SUMIFS($L$49:$L$136,$D$49:$D$136,$C27)</f>
        <v/>
      </c>
      <c r="P27" s="76">
        <f>SUMIFS($M$49:$M$136,$D$49:$D$136,$C27)</f>
        <v/>
      </c>
      <c r="Q27" s="76">
        <f>SUMIFS($R$49:$R$136,$D$49:$D$136,$C27)</f>
        <v/>
      </c>
      <c r="R27" s="76">
        <f>SUMIFS($S$49:$S$136,$D$49:$D$136,$C27)</f>
        <v/>
      </c>
      <c r="S27" s="76">
        <f>SUMIFS($T$49:$T$136,$D$49:$D$136,$C27)</f>
        <v/>
      </c>
    </row>
    <row r="28">
      <c r="C28" s="72" t="inlineStr">
        <is>
          <t>J-2</t>
        </is>
      </c>
      <c r="D28" s="73" t="inlineStr">
        <is>
          <t>J-2</t>
        </is>
      </c>
      <c r="E28" s="74" t="n"/>
      <c r="F28" s="75" t="n"/>
      <c r="G28" s="74" t="inlineStr">
        <is>
          <t>No</t>
        </is>
      </c>
      <c r="H28" s="76">
        <f>COUNTIFS($D$49:$D$136,$C28)</f>
        <v/>
      </c>
      <c r="I28" s="76">
        <f>COUNTIFS($D$49:$D$136,$C28,$C$49:$C$136,"Occ")+COUNTIFS($D$49:$D$136,$C28,$C$49:$C$136,"Admin")+COUNTIFS($D$49:$D$136,$C28,$C$49:$C$136,"Down")+COUNTIFS($D$49:$D$136,$C28,$C$49:$C$136,"Super")+COUNTIFS($D$49:$D$136,$C28,$C$49:$C$136,"Model")</f>
        <v/>
      </c>
      <c r="J28" s="76">
        <f>COUNTIFS($D$49:$D$136,$C28,$C$49:$C$136,"Vac")</f>
        <v/>
      </c>
      <c r="K28" s="76">
        <f>IFERROR(AVERAGEIFS($J$49:$J$136,$D$49:$D$136,$C28),"n/a")</f>
        <v/>
      </c>
      <c r="L28" s="76">
        <f>SUMIFS($J$49:$J$136,$D$49:$D$136,$C28)</f>
        <v/>
      </c>
      <c r="M28" s="76">
        <f>SUMIFS($J$49:$J$136,$D$49:$D$136,$C28,$C$49:$C$136,"Occ")+SUMIFS($J$49:$J$136,$D$49:$D$136,$C28,$C$49:$C$136,"Admin")+SUMIFS($J$49:$J$136,$D$49:$D$136,$C28,$C$49:$C$136,"Down")+SUMIFS($J$49:$J$136,$D$49:$D$136,$C28,$C$49:$C$136,"Super")+SUMIFS($J$49:$J$136,$D$49:$D$136,$C28,$C$49:$C$136,"Model")</f>
        <v/>
      </c>
      <c r="N28" s="76">
        <f>SUMIFS($J$49:$J$136,$D$49:$D$136,$C28,$C$49:$C$136,"Vac")</f>
        <v/>
      </c>
      <c r="O28" s="76">
        <f>SUMIFS($L$49:$L$136,$D$49:$D$136,$C28)</f>
        <v/>
      </c>
      <c r="P28" s="76">
        <f>SUMIFS($M$49:$M$136,$D$49:$D$136,$C28)</f>
        <v/>
      </c>
      <c r="Q28" s="76">
        <f>SUMIFS($R$49:$R$136,$D$49:$D$136,$C28)</f>
        <v/>
      </c>
      <c r="R28" s="76">
        <f>SUMIFS($S$49:$S$136,$D$49:$D$136,$C28)</f>
        <v/>
      </c>
      <c r="S28" s="76">
        <f>SUMIFS($T$49:$T$136,$D$49:$D$136,$C28)</f>
        <v/>
      </c>
    </row>
    <row r="29">
      <c r="C29" s="72" t="inlineStr">
        <is>
          <t>H-2D</t>
        </is>
      </c>
      <c r="D29" s="73" t="inlineStr">
        <is>
          <t>H-2D</t>
        </is>
      </c>
      <c r="E29" s="74" t="n"/>
      <c r="F29" s="75" t="n"/>
      <c r="G29" s="74" t="inlineStr">
        <is>
          <t>No</t>
        </is>
      </c>
      <c r="H29" s="76">
        <f>COUNTIFS($D$49:$D$136,$C29)</f>
        <v/>
      </c>
      <c r="I29" s="76">
        <f>COUNTIFS($D$49:$D$136,$C29,$C$49:$C$136,"Occ")+COUNTIFS($D$49:$D$136,$C29,$C$49:$C$136,"Admin")+COUNTIFS($D$49:$D$136,$C29,$C$49:$C$136,"Down")+COUNTIFS($D$49:$D$136,$C29,$C$49:$C$136,"Super")+COUNTIFS($D$49:$D$136,$C29,$C$49:$C$136,"Model")</f>
        <v/>
      </c>
      <c r="J29" s="76">
        <f>COUNTIFS($D$49:$D$136,$C29,$C$49:$C$136,"Vac")</f>
        <v/>
      </c>
      <c r="K29" s="76">
        <f>IFERROR(AVERAGEIFS($J$49:$J$136,$D$49:$D$136,$C29),"n/a")</f>
        <v/>
      </c>
      <c r="L29" s="76">
        <f>SUMIFS($J$49:$J$136,$D$49:$D$136,$C29)</f>
        <v/>
      </c>
      <c r="M29" s="76">
        <f>SUMIFS($J$49:$J$136,$D$49:$D$136,$C29,$C$49:$C$136,"Occ")+SUMIFS($J$49:$J$136,$D$49:$D$136,$C29,$C$49:$C$136,"Admin")+SUMIFS($J$49:$J$136,$D$49:$D$136,$C29,$C$49:$C$136,"Down")+SUMIFS($J$49:$J$136,$D$49:$D$136,$C29,$C$49:$C$136,"Super")+SUMIFS($J$49:$J$136,$D$49:$D$136,$C29,$C$49:$C$136,"Model")</f>
        <v/>
      </c>
      <c r="N29" s="76">
        <f>SUMIFS($J$49:$J$136,$D$49:$D$136,$C29,$C$49:$C$136,"Vac")</f>
        <v/>
      </c>
      <c r="O29" s="76">
        <f>SUMIFS($L$49:$L$136,$D$49:$D$136,$C29)</f>
        <v/>
      </c>
      <c r="P29" s="76">
        <f>SUMIFS($M$49:$M$136,$D$49:$D$136,$C29)</f>
        <v/>
      </c>
      <c r="Q29" s="76">
        <f>SUMIFS($R$49:$R$136,$D$49:$D$136,$C29)</f>
        <v/>
      </c>
      <c r="R29" s="76">
        <f>SUMIFS($S$49:$S$136,$D$49:$D$136,$C29)</f>
        <v/>
      </c>
      <c r="S29" s="76">
        <f>SUMIFS($T$49:$T$136,$D$49:$D$136,$C29)</f>
        <v/>
      </c>
    </row>
    <row r="30">
      <c r="C30" s="72" t="inlineStr">
        <is>
          <t>G-2D</t>
        </is>
      </c>
      <c r="D30" s="73" t="inlineStr">
        <is>
          <t>G-2D</t>
        </is>
      </c>
      <c r="E30" s="74" t="n"/>
      <c r="F30" s="75" t="n"/>
      <c r="G30" s="74" t="inlineStr">
        <is>
          <t>No</t>
        </is>
      </c>
      <c r="H30" s="76">
        <f>COUNTIFS($D$49:$D$136,$C30)</f>
        <v/>
      </c>
      <c r="I30" s="76">
        <f>COUNTIFS($D$49:$D$136,$C30,$C$49:$C$136,"Occ")+COUNTIFS($D$49:$D$136,$C30,$C$49:$C$136,"Admin")+COUNTIFS($D$49:$D$136,$C30,$C$49:$C$136,"Down")+COUNTIFS($D$49:$D$136,$C30,$C$49:$C$136,"Super")+COUNTIFS($D$49:$D$136,$C30,$C$49:$C$136,"Model")</f>
        <v/>
      </c>
      <c r="J30" s="76">
        <f>COUNTIFS($D$49:$D$136,$C30,$C$49:$C$136,"Vac")</f>
        <v/>
      </c>
      <c r="K30" s="76">
        <f>IFERROR(AVERAGEIFS($J$49:$J$136,$D$49:$D$136,$C30),"n/a")</f>
        <v/>
      </c>
      <c r="L30" s="76">
        <f>SUMIFS($J$49:$J$136,$D$49:$D$136,$C30)</f>
        <v/>
      </c>
      <c r="M30" s="76">
        <f>SUMIFS($J$49:$J$136,$D$49:$D$136,$C30,$C$49:$C$136,"Occ")+SUMIFS($J$49:$J$136,$D$49:$D$136,$C30,$C$49:$C$136,"Admin")+SUMIFS($J$49:$J$136,$D$49:$D$136,$C30,$C$49:$C$136,"Down")+SUMIFS($J$49:$J$136,$D$49:$D$136,$C30,$C$49:$C$136,"Super")+SUMIFS($J$49:$J$136,$D$49:$D$136,$C30,$C$49:$C$136,"Model")</f>
        <v/>
      </c>
      <c r="N30" s="76">
        <f>SUMIFS($J$49:$J$136,$D$49:$D$136,$C30,$C$49:$C$136,"Vac")</f>
        <v/>
      </c>
      <c r="O30" s="76">
        <f>SUMIFS($L$49:$L$136,$D$49:$D$136,$C30)</f>
        <v/>
      </c>
      <c r="P30" s="76">
        <f>SUMIFS($M$49:$M$136,$D$49:$D$136,$C30)</f>
        <v/>
      </c>
      <c r="Q30" s="76">
        <f>SUMIFS($R$49:$R$136,$D$49:$D$136,$C30)</f>
        <v/>
      </c>
      <c r="R30" s="76">
        <f>SUMIFS($S$49:$S$136,$D$49:$D$136,$C30)</f>
        <v/>
      </c>
      <c r="S30" s="76">
        <f>SUMIFS($T$49:$T$136,$D$49:$D$136,$C30)</f>
        <v/>
      </c>
    </row>
    <row r="31">
      <c r="C31" s="72" t="inlineStr">
        <is>
          <t>H1-2D</t>
        </is>
      </c>
      <c r="D31" s="73" t="inlineStr">
        <is>
          <t>H1-2D</t>
        </is>
      </c>
      <c r="E31" s="74" t="n"/>
      <c r="F31" s="75" t="n"/>
      <c r="G31" s="74" t="inlineStr">
        <is>
          <t>No</t>
        </is>
      </c>
      <c r="H31" s="76">
        <f>COUNTIFS($D$49:$D$136,$C31)</f>
        <v/>
      </c>
      <c r="I31" s="76">
        <f>COUNTIFS($D$49:$D$136,$C31,$C$49:$C$136,"Occ")+COUNTIFS($D$49:$D$136,$C31,$C$49:$C$136,"Admin")+COUNTIFS($D$49:$D$136,$C31,$C$49:$C$136,"Down")+COUNTIFS($D$49:$D$136,$C31,$C$49:$C$136,"Super")+COUNTIFS($D$49:$D$136,$C31,$C$49:$C$136,"Model")</f>
        <v/>
      </c>
      <c r="J31" s="76">
        <f>COUNTIFS($D$49:$D$136,$C31,$C$49:$C$136,"Vac")</f>
        <v/>
      </c>
      <c r="K31" s="76">
        <f>IFERROR(AVERAGEIFS($J$49:$J$136,$D$49:$D$136,$C31),"n/a")</f>
        <v/>
      </c>
      <c r="L31" s="76">
        <f>SUMIFS($J$49:$J$136,$D$49:$D$136,$C31)</f>
        <v/>
      </c>
      <c r="M31" s="76">
        <f>SUMIFS($J$49:$J$136,$D$49:$D$136,$C31,$C$49:$C$136,"Occ")+SUMIFS($J$49:$J$136,$D$49:$D$136,$C31,$C$49:$C$136,"Admin")+SUMIFS($J$49:$J$136,$D$49:$D$136,$C31,$C$49:$C$136,"Down")+SUMIFS($J$49:$J$136,$D$49:$D$136,$C31,$C$49:$C$136,"Super")+SUMIFS($J$49:$J$136,$D$49:$D$136,$C31,$C$49:$C$136,"Model")</f>
        <v/>
      </c>
      <c r="N31" s="76">
        <f>SUMIFS($J$49:$J$136,$D$49:$D$136,$C31,$C$49:$C$136,"Vac")</f>
        <v/>
      </c>
      <c r="O31" s="76">
        <f>SUMIFS($L$49:$L$136,$D$49:$D$136,$C31)</f>
        <v/>
      </c>
      <c r="P31" s="76">
        <f>SUMIFS($M$49:$M$136,$D$49:$D$136,$C31)</f>
        <v/>
      </c>
      <c r="Q31" s="76">
        <f>SUMIFS($R$49:$R$136,$D$49:$D$136,$C31)</f>
        <v/>
      </c>
      <c r="R31" s="76">
        <f>SUMIFS($S$49:$S$136,$D$49:$D$136,$C31)</f>
        <v/>
      </c>
      <c r="S31" s="76">
        <f>SUMIFS($T$49:$T$136,$D$49:$D$136,$C31)</f>
        <v/>
      </c>
    </row>
    <row r="32">
      <c r="C32" s="69" t="inlineStr">
        <is>
          <t>Totals</t>
        </is>
      </c>
      <c r="H32" s="77">
        <f>SUM(H5:H31)</f>
        <v/>
      </c>
      <c r="I32" s="77">
        <f>SUM(I5:I31)</f>
        <v/>
      </c>
      <c r="J32" s="77">
        <f>SUM(J5:J31)</f>
        <v/>
      </c>
      <c r="L32" s="77">
        <f>SUM(L5:L31)</f>
        <v/>
      </c>
      <c r="M32" s="77">
        <f>SUM(M5:M31)</f>
        <v/>
      </c>
      <c r="N32" s="77">
        <f>SUM(N5:N31)</f>
        <v/>
      </c>
      <c r="O32" s="77">
        <f>SUM(O5:O31)</f>
        <v/>
      </c>
      <c r="P32" s="77">
        <f>SUM(P5:P31)</f>
        <v/>
      </c>
      <c r="Q32" s="77">
        <f>SUM(Q5:Q31)</f>
        <v/>
      </c>
      <c r="R32" s="77">
        <f>SUM(R5:R31)</f>
        <v/>
      </c>
      <c r="S32" s="77">
        <f>SUM(S5:S31)</f>
        <v/>
      </c>
    </row>
    <row r="33">
      <c r="C33" s="69" t="inlineStr">
        <is>
          <t>%</t>
        </is>
      </c>
      <c r="I33" s="78">
        <f>I32/$H$32</f>
        <v/>
      </c>
      <c r="J33" s="78">
        <f>J32/$H$32</f>
        <v/>
      </c>
      <c r="M33" s="78">
        <f>IFERROR(M32/$L$32,"n/a")</f>
        <v/>
      </c>
      <c r="N33" s="78">
        <f>IFERROR(N32/$L$32,"n/a")</f>
        <v/>
      </c>
    </row>
    <row r="37">
      <c r="C37" s="79" t="inlineStr">
        <is>
          <t>Notes:</t>
        </is>
      </c>
    </row>
    <row r="38">
      <c r="C38" s="79" t="inlineStr">
        <is>
          <t>1. Vacant units market rent is the per-unit market/asking rent from the source.</t>
        </is>
      </c>
    </row>
    <row r="39">
      <c r="C39" s="79" t="inlineStr">
        <is>
          <t>2. BD/BA count is from the Unit Type mapping above (edit the yellow cells to adjust).</t>
        </is>
      </c>
    </row>
    <row r="44">
      <c r="C44" s="79" t="inlineStr">
        <is>
          <t>Property Name</t>
        </is>
      </c>
      <c r="D44" s="79" t="inlineStr">
        <is>
          <t>Colonial Pointe</t>
        </is>
      </c>
    </row>
    <row r="45">
      <c r="C45" s="79" t="inlineStr">
        <is>
          <t>Rent Roll Date</t>
        </is>
      </c>
      <c r="D45" s="80" t="n">
        <v>46112</v>
      </c>
    </row>
    <row r="47">
      <c r="Y47" s="68" t="inlineStr">
        <is>
          <t>Rent</t>
        </is>
      </c>
      <c r="AB47" s="68" t="inlineStr">
        <is>
          <t>Concessions</t>
        </is>
      </c>
    </row>
    <row r="48">
      <c r="A48" s="68" t="inlineStr">
        <is>
          <t>Property</t>
        </is>
      </c>
      <c r="B48" s="68" t="inlineStr">
        <is>
          <t>#</t>
        </is>
      </c>
      <c r="C48" s="68" t="inlineStr">
        <is>
          <t>Occupancy</t>
        </is>
      </c>
      <c r="D48" s="68" t="inlineStr">
        <is>
          <t>Floorplan</t>
        </is>
      </c>
      <c r="E48" s="68" t="inlineStr">
        <is>
          <t>Bd</t>
        </is>
      </c>
      <c r="F48" s="68" t="inlineStr">
        <is>
          <t>Ba</t>
        </is>
      </c>
      <c r="G48" s="68" t="inlineStr">
        <is>
          <t>Renovated</t>
        </is>
      </c>
      <c r="H48" s="68" t="inlineStr">
        <is>
          <t>Unit #</t>
        </is>
      </c>
      <c r="I48" s="68" t="inlineStr">
        <is>
          <t>Unit Type</t>
        </is>
      </c>
      <c r="J48" s="68" t="inlineStr">
        <is>
          <t>Unit Sq Ft</t>
        </is>
      </c>
      <c r="K48" s="68" t="inlineStr">
        <is>
          <t>Resident/Tenant Name</t>
        </is>
      </c>
      <c r="L48" s="68" t="inlineStr">
        <is>
          <t>Market Rent</t>
        </is>
      </c>
      <c r="M48" s="68" t="inlineStr">
        <is>
          <t>Rent</t>
        </is>
      </c>
      <c r="N48" s="68" t="inlineStr">
        <is>
          <t>Move in</t>
        </is>
      </c>
      <c r="O48" s="68" t="inlineStr">
        <is>
          <t>Lease Start</t>
        </is>
      </c>
      <c r="P48" s="68" t="inlineStr">
        <is>
          <t>Lease End</t>
        </is>
      </c>
      <c r="Q48" s="68" t="inlineStr">
        <is>
          <t>Move Out</t>
        </is>
      </c>
      <c r="R48" s="68" t="inlineStr">
        <is>
          <t>Other Income</t>
        </is>
      </c>
      <c r="S48" s="68" t="inlineStr">
        <is>
          <t>Concessions</t>
        </is>
      </c>
      <c r="T48" s="68" t="inlineStr">
        <is>
          <t>Employee Discounts</t>
        </is>
      </c>
      <c r="V48" s="68" t="inlineStr">
        <is>
          <t>Unit Type (Manual)</t>
        </is>
      </c>
      <c r="W48" s="68" t="inlineStr">
        <is>
          <t>Unit Type (Manual) - Updated</t>
        </is>
      </c>
      <c r="Y48" s="68" t="inlineStr">
        <is>
          <t>RENT</t>
        </is>
      </c>
      <c r="AB48" s="68" t="inlineStr">
        <is>
          <t>Concession</t>
        </is>
      </c>
    </row>
    <row r="49">
      <c r="A49" s="73">
        <f>$D$44</f>
        <v/>
      </c>
      <c r="B49" s="73" t="n">
        <v>1</v>
      </c>
      <c r="C49" s="73">
        <f>IF(K49="Vacant","Vac",IF(K49="Model","Model",IF(K49="Admin","Admin",IF(K49="Down","Down",IF(K49="Super","Super","Occ")))))</f>
        <v/>
      </c>
      <c r="D49" s="73">
        <f>INDEX($C$5:$C$31,MATCH(I49,$D$5:$D$31,0))</f>
        <v/>
      </c>
      <c r="E49" s="73">
        <f>INDEX($E$5:$E$31,MATCH(D49,$C$5:$C$31,0))</f>
        <v/>
      </c>
      <c r="F49" s="73">
        <f>INDEX($F$5:$F$31,MATCH(D49,$C$5:$C$31,0))</f>
        <v/>
      </c>
      <c r="G49" s="73">
        <f>INDEX($G$5:$G$31,MATCH(D49,$C$5:$C$31,0))</f>
        <v/>
      </c>
      <c r="H49" s="73" t="inlineStr">
        <is>
          <t>556-000</t>
        </is>
      </c>
      <c r="I49" s="73" t="inlineStr">
        <is>
          <t>A-1</t>
        </is>
      </c>
      <c r="J49" s="81" t="n">
        <v>845</v>
      </c>
      <c r="K49" s="73" t="inlineStr">
        <is>
          <t>Admin</t>
        </is>
      </c>
      <c r="L49" s="82" t="n">
        <v>212</v>
      </c>
      <c r="M49" s="82">
        <f>Y49</f>
        <v/>
      </c>
      <c r="P49" s="83" t="n">
        <v>46387</v>
      </c>
      <c r="R49" s="82" t="n">
        <v>0</v>
      </c>
      <c r="S49" s="82">
        <f>AB49</f>
        <v/>
      </c>
      <c r="T49" s="82" t="n">
        <v>0</v>
      </c>
      <c r="Y49" s="82" t="n">
        <v>212</v>
      </c>
      <c r="AB49" s="82" t="n">
        <v>-212</v>
      </c>
    </row>
    <row r="50">
      <c r="A50" s="73">
        <f>$D$44</f>
        <v/>
      </c>
      <c r="B50" s="73">
        <f>B49+1</f>
        <v/>
      </c>
      <c r="C50" s="73">
        <f>IF(K50="Vacant","Vac",IF(K50="Model","Model",IF(K50="Admin","Admin",IF(K50="Down","Down",IF(K50="Super","Super","Occ")))))</f>
        <v/>
      </c>
      <c r="D50" s="73">
        <f>INDEX($C$5:$C$31,MATCH(I50,$D$5:$D$31,0))</f>
        <v/>
      </c>
      <c r="E50" s="73">
        <f>INDEX($E$5:$E$31,MATCH(D50,$C$5:$C$31,0))</f>
        <v/>
      </c>
      <c r="F50" s="73">
        <f>INDEX($F$5:$F$31,MATCH(D50,$C$5:$C$31,0))</f>
        <v/>
      </c>
      <c r="G50" s="73">
        <f>INDEX($G$5:$G$31,MATCH(D50,$C$5:$C$31,0))</f>
        <v/>
      </c>
      <c r="H50" s="73" t="inlineStr">
        <is>
          <t>556-201</t>
        </is>
      </c>
      <c r="I50" s="73" t="inlineStr">
        <is>
          <t>A-1</t>
        </is>
      </c>
      <c r="J50" s="81" t="n">
        <v>845</v>
      </c>
      <c r="K50" s="73" t="inlineStr">
        <is>
          <t>Anna Zilenziger, Rodman Zilenziger</t>
        </is>
      </c>
      <c r="L50" s="82" t="n">
        <v>3085</v>
      </c>
      <c r="M50" s="82">
        <f>Y50</f>
        <v/>
      </c>
      <c r="P50" s="83" t="n">
        <v>46142</v>
      </c>
      <c r="R50" s="82" t="n">
        <v>0</v>
      </c>
      <c r="S50" s="82">
        <f>AB50</f>
        <v/>
      </c>
      <c r="T50" s="82" t="n">
        <v>0</v>
      </c>
      <c r="Y50" s="82" t="n">
        <v>3085</v>
      </c>
    </row>
    <row r="51">
      <c r="A51" s="73">
        <f>$D$44</f>
        <v/>
      </c>
      <c r="B51" s="73">
        <f>B50+1</f>
        <v/>
      </c>
      <c r="C51" s="73">
        <f>IF(K51="Vacant","Vac",IF(K51="Model","Model",IF(K51="Admin","Admin",IF(K51="Down","Down",IF(K51="Super","Super","Occ")))))</f>
        <v/>
      </c>
      <c r="D51" s="73">
        <f>INDEX($C$5:$C$31,MATCH(I51,$D$5:$D$31,0))</f>
        <v/>
      </c>
      <c r="E51" s="73">
        <f>INDEX($E$5:$E$31,MATCH(D51,$C$5:$C$31,0))</f>
        <v/>
      </c>
      <c r="F51" s="73">
        <f>INDEX($F$5:$F$31,MATCH(D51,$C$5:$C$31,0))</f>
        <v/>
      </c>
      <c r="G51" s="73">
        <f>INDEX($G$5:$G$31,MATCH(D51,$C$5:$C$31,0))</f>
        <v/>
      </c>
      <c r="H51" s="73" t="inlineStr">
        <is>
          <t>556-202</t>
        </is>
      </c>
      <c r="I51" s="73" t="inlineStr">
        <is>
          <t>J-2</t>
        </is>
      </c>
      <c r="J51" s="81" t="n">
        <v>1209</v>
      </c>
      <c r="K51" s="73" t="inlineStr">
        <is>
          <t>Laura Fleming, Robert McClellan</t>
        </is>
      </c>
      <c r="L51" s="82" t="n">
        <v>3660</v>
      </c>
      <c r="M51" s="82">
        <f>Y51</f>
        <v/>
      </c>
      <c r="P51" s="83" t="n">
        <v>46630</v>
      </c>
      <c r="R51" s="82" t="n">
        <v>0</v>
      </c>
      <c r="S51" s="82">
        <f>AB51</f>
        <v/>
      </c>
      <c r="T51" s="82" t="n">
        <v>0</v>
      </c>
      <c r="Y51" s="82" t="n">
        <v>3660</v>
      </c>
    </row>
    <row r="52">
      <c r="A52" s="73">
        <f>$D$44</f>
        <v/>
      </c>
      <c r="B52" s="73">
        <f>B51+1</f>
        <v/>
      </c>
      <c r="C52" s="73">
        <f>IF(K52="Vacant","Vac",IF(K52="Model","Model",IF(K52="Admin","Admin",IF(K52="Down","Down",IF(K52="Super","Super","Occ")))))</f>
        <v/>
      </c>
      <c r="D52" s="73">
        <f>INDEX($C$5:$C$31,MATCH(I52,$D$5:$D$31,0))</f>
        <v/>
      </c>
      <c r="E52" s="73">
        <f>INDEX($E$5:$E$31,MATCH(D52,$C$5:$C$31,0))</f>
        <v/>
      </c>
      <c r="F52" s="73">
        <f>INDEX($F$5:$F$31,MATCH(D52,$C$5:$C$31,0))</f>
        <v/>
      </c>
      <c r="G52" s="73">
        <f>INDEX($G$5:$G$31,MATCH(D52,$C$5:$C$31,0))</f>
        <v/>
      </c>
      <c r="H52" s="73" t="inlineStr">
        <is>
          <t>556-203</t>
        </is>
      </c>
      <c r="I52" s="73" t="inlineStr">
        <is>
          <t>E-2</t>
        </is>
      </c>
      <c r="J52" s="81" t="n">
        <v>1146</v>
      </c>
      <c r="K52" s="73" t="inlineStr">
        <is>
          <t>Janet Kost</t>
        </is>
      </c>
      <c r="L52" s="82" t="n">
        <v>3565</v>
      </c>
      <c r="M52" s="82">
        <f>Y52</f>
        <v/>
      </c>
      <c r="P52" s="83" t="n">
        <v>46356</v>
      </c>
      <c r="R52" s="82" t="n">
        <v>0</v>
      </c>
      <c r="S52" s="82">
        <f>AB52</f>
        <v/>
      </c>
      <c r="T52" s="82" t="n">
        <v>0</v>
      </c>
      <c r="Y52" s="82" t="n">
        <v>3565</v>
      </c>
    </row>
    <row r="53">
      <c r="A53" s="73">
        <f>$D$44</f>
        <v/>
      </c>
      <c r="B53" s="73">
        <f>B52+1</f>
        <v/>
      </c>
      <c r="C53" s="73">
        <f>IF(K53="Vacant","Vac",IF(K53="Model","Model",IF(K53="Admin","Admin",IF(K53="Down","Down",IF(K53="Super","Super","Occ")))))</f>
        <v/>
      </c>
      <c r="D53" s="73">
        <f>INDEX($C$5:$C$31,MATCH(I53,$D$5:$D$31,0))</f>
        <v/>
      </c>
      <c r="E53" s="73">
        <f>INDEX($E$5:$E$31,MATCH(D53,$C$5:$C$31,0))</f>
        <v/>
      </c>
      <c r="F53" s="73">
        <f>INDEX($F$5:$F$31,MATCH(D53,$C$5:$C$31,0))</f>
        <v/>
      </c>
      <c r="G53" s="73">
        <f>INDEX($G$5:$G$31,MATCH(D53,$C$5:$C$31,0))</f>
        <v/>
      </c>
      <c r="H53" s="73" t="inlineStr">
        <is>
          <t>556-204</t>
        </is>
      </c>
      <c r="I53" s="73" t="inlineStr">
        <is>
          <t>E-2</t>
        </is>
      </c>
      <c r="J53" s="81" t="n">
        <v>1146</v>
      </c>
      <c r="K53" s="73" t="inlineStr">
        <is>
          <t>Arlene Camporeale, Ignazio Camporeale</t>
        </is>
      </c>
      <c r="L53" s="82" t="n">
        <v>3627</v>
      </c>
      <c r="M53" s="82">
        <f>Y53</f>
        <v/>
      </c>
      <c r="P53" s="83" t="n">
        <v>46568</v>
      </c>
      <c r="R53" s="82" t="n">
        <v>0</v>
      </c>
      <c r="S53" s="82">
        <f>AB53</f>
        <v/>
      </c>
      <c r="T53" s="82" t="n">
        <v>0</v>
      </c>
      <c r="Y53" s="82" t="n">
        <v>3627</v>
      </c>
    </row>
    <row r="54">
      <c r="A54" s="73">
        <f>$D$44</f>
        <v/>
      </c>
      <c r="B54" s="73">
        <f>B53+1</f>
        <v/>
      </c>
      <c r="C54" s="73">
        <f>IF(K54="Vacant","Vac",IF(K54="Model","Model",IF(K54="Admin","Admin",IF(K54="Down","Down",IF(K54="Super","Super","Occ")))))</f>
        <v/>
      </c>
      <c r="D54" s="73">
        <f>INDEX($C$5:$C$31,MATCH(I54,$D$5:$D$31,0))</f>
        <v/>
      </c>
      <c r="E54" s="73">
        <f>INDEX($E$5:$E$31,MATCH(D54,$C$5:$C$31,0))</f>
        <v/>
      </c>
      <c r="F54" s="73">
        <f>INDEX($F$5:$F$31,MATCH(D54,$C$5:$C$31,0))</f>
        <v/>
      </c>
      <c r="G54" s="73">
        <f>INDEX($G$5:$G$31,MATCH(D54,$C$5:$C$31,0))</f>
        <v/>
      </c>
      <c r="H54" s="73" t="inlineStr">
        <is>
          <t>556-205</t>
        </is>
      </c>
      <c r="I54" s="73" t="inlineStr">
        <is>
          <t>F-2</t>
        </is>
      </c>
      <c r="J54" s="81" t="n">
        <v>1141</v>
      </c>
      <c r="K54" s="73" t="inlineStr">
        <is>
          <t>Elizabeth Cooper, Samuel Cooper</t>
        </is>
      </c>
      <c r="L54" s="82" t="n">
        <v>3222</v>
      </c>
      <c r="M54" s="82">
        <f>Y54</f>
        <v/>
      </c>
      <c r="P54" s="83" t="n">
        <v>46295</v>
      </c>
      <c r="R54" s="82" t="n">
        <v>0</v>
      </c>
      <c r="S54" s="82">
        <f>AB54</f>
        <v/>
      </c>
      <c r="T54" s="82" t="n">
        <v>0</v>
      </c>
      <c r="Y54" s="82" t="n">
        <v>3222</v>
      </c>
    </row>
    <row r="55">
      <c r="A55" s="73">
        <f>$D$44</f>
        <v/>
      </c>
      <c r="B55" s="73">
        <f>B54+1</f>
        <v/>
      </c>
      <c r="C55" s="73">
        <f>IF(K55="Vacant","Vac",IF(K55="Model","Model",IF(K55="Admin","Admin",IF(K55="Down","Down",IF(K55="Super","Super","Occ")))))</f>
        <v/>
      </c>
      <c r="D55" s="73">
        <f>INDEX($C$5:$C$31,MATCH(I55,$D$5:$D$31,0))</f>
        <v/>
      </c>
      <c r="E55" s="73">
        <f>INDEX($E$5:$E$31,MATCH(D55,$C$5:$C$31,0))</f>
        <v/>
      </c>
      <c r="F55" s="73">
        <f>INDEX($F$5:$F$31,MATCH(D55,$C$5:$C$31,0))</f>
        <v/>
      </c>
      <c r="G55" s="73">
        <f>INDEX($G$5:$G$31,MATCH(D55,$C$5:$C$31,0))</f>
        <v/>
      </c>
      <c r="H55" s="73" t="inlineStr">
        <is>
          <t>556-206</t>
        </is>
      </c>
      <c r="I55" s="73" t="inlineStr">
        <is>
          <t>E-2</t>
        </is>
      </c>
      <c r="J55" s="81" t="n">
        <v>1146</v>
      </c>
      <c r="K55" s="73" t="inlineStr">
        <is>
          <t>Josephine Makoujy</t>
        </is>
      </c>
      <c r="L55" s="82" t="n">
        <v>3500</v>
      </c>
      <c r="M55" s="82">
        <f>Y55</f>
        <v/>
      </c>
      <c r="P55" s="83" t="n">
        <v>46326</v>
      </c>
      <c r="R55" s="82" t="n">
        <v>0</v>
      </c>
      <c r="S55" s="82">
        <f>AB55</f>
        <v/>
      </c>
      <c r="T55" s="82" t="n">
        <v>0</v>
      </c>
      <c r="Y55" s="82" t="n">
        <v>3500</v>
      </c>
    </row>
    <row r="56">
      <c r="A56" s="73">
        <f>$D$44</f>
        <v/>
      </c>
      <c r="B56" s="73">
        <f>B55+1</f>
        <v/>
      </c>
      <c r="C56" s="73">
        <f>IF(K56="Vacant","Vac",IF(K56="Model","Model",IF(K56="Admin","Admin",IF(K56="Down","Down",IF(K56="Super","Super","Occ")))))</f>
        <v/>
      </c>
      <c r="D56" s="73">
        <f>INDEX($C$5:$C$31,MATCH(I56,$D$5:$D$31,0))</f>
        <v/>
      </c>
      <c r="E56" s="73">
        <f>INDEX($E$5:$E$31,MATCH(D56,$C$5:$C$31,0))</f>
        <v/>
      </c>
      <c r="F56" s="73">
        <f>INDEX($F$5:$F$31,MATCH(D56,$C$5:$C$31,0))</f>
        <v/>
      </c>
      <c r="G56" s="73">
        <f>INDEX($G$5:$G$31,MATCH(D56,$C$5:$C$31,0))</f>
        <v/>
      </c>
      <c r="H56" s="73" t="inlineStr">
        <is>
          <t>556-207</t>
        </is>
      </c>
      <c r="I56" s="73" t="inlineStr">
        <is>
          <t>C-1D</t>
        </is>
      </c>
      <c r="J56" s="81" t="n">
        <v>1087</v>
      </c>
      <c r="K56" s="73" t="inlineStr">
        <is>
          <t>Barbara Brown</t>
        </is>
      </c>
      <c r="L56" s="82" t="n">
        <v>2950</v>
      </c>
      <c r="M56" s="82">
        <f>Y56</f>
        <v/>
      </c>
      <c r="P56" s="83" t="n">
        <v>46234</v>
      </c>
      <c r="R56" s="82" t="n">
        <v>0</v>
      </c>
      <c r="S56" s="82">
        <f>AB56</f>
        <v/>
      </c>
      <c r="T56" s="82" t="n">
        <v>0</v>
      </c>
      <c r="Y56" s="82" t="n">
        <v>2950</v>
      </c>
    </row>
    <row r="57">
      <c r="A57" s="73">
        <f>$D$44</f>
        <v/>
      </c>
      <c r="B57" s="73">
        <f>B56+1</f>
        <v/>
      </c>
      <c r="C57" s="73">
        <f>IF(K57="Vacant","Vac",IF(K57="Model","Model",IF(K57="Admin","Admin",IF(K57="Down","Down",IF(K57="Super","Super","Occ")))))</f>
        <v/>
      </c>
      <c r="D57" s="73">
        <f>INDEX($C$5:$C$31,MATCH(I57,$D$5:$D$31,0))</f>
        <v/>
      </c>
      <c r="E57" s="73">
        <f>INDEX($E$5:$E$31,MATCH(D57,$C$5:$C$31,0))</f>
        <v/>
      </c>
      <c r="F57" s="73">
        <f>INDEX($F$5:$F$31,MATCH(D57,$C$5:$C$31,0))</f>
        <v/>
      </c>
      <c r="G57" s="73">
        <f>INDEX($G$5:$G$31,MATCH(D57,$C$5:$C$31,0))</f>
        <v/>
      </c>
      <c r="H57" s="73" t="inlineStr">
        <is>
          <t>556-208</t>
        </is>
      </c>
      <c r="I57" s="73" t="inlineStr">
        <is>
          <t>K-2</t>
        </is>
      </c>
      <c r="J57" s="81" t="n">
        <v>1134</v>
      </c>
      <c r="K57" s="73" t="inlineStr">
        <is>
          <t>Joy Eliezer</t>
        </is>
      </c>
      <c r="L57" s="82" t="n">
        <v>3500</v>
      </c>
      <c r="M57" s="82">
        <f>Y57</f>
        <v/>
      </c>
      <c r="P57" s="83" t="n">
        <v>46507</v>
      </c>
      <c r="R57" s="82" t="n">
        <v>0</v>
      </c>
      <c r="S57" s="82">
        <f>AB57</f>
        <v/>
      </c>
      <c r="T57" s="82" t="n">
        <v>0</v>
      </c>
      <c r="Y57" s="82" t="n">
        <v>3500</v>
      </c>
    </row>
    <row r="58">
      <c r="A58" s="73">
        <f>$D$44</f>
        <v/>
      </c>
      <c r="B58" s="73">
        <f>B57+1</f>
        <v/>
      </c>
      <c r="C58" s="73">
        <f>IF(K58="Vacant","Vac",IF(K58="Model","Model",IF(K58="Admin","Admin",IF(K58="Down","Down",IF(K58="Super","Super","Occ")))))</f>
        <v/>
      </c>
      <c r="D58" s="73">
        <f>INDEX($C$5:$C$31,MATCH(I58,$D$5:$D$31,0))</f>
        <v/>
      </c>
      <c r="E58" s="73">
        <f>INDEX($E$5:$E$31,MATCH(D58,$C$5:$C$31,0))</f>
        <v/>
      </c>
      <c r="F58" s="73">
        <f>INDEX($F$5:$F$31,MATCH(D58,$C$5:$C$31,0))</f>
        <v/>
      </c>
      <c r="G58" s="73">
        <f>INDEX($G$5:$G$31,MATCH(D58,$C$5:$C$31,0))</f>
        <v/>
      </c>
      <c r="H58" s="73" t="inlineStr">
        <is>
          <t>556-209</t>
        </is>
      </c>
      <c r="I58" s="73" t="inlineStr">
        <is>
          <t>K-2</t>
        </is>
      </c>
      <c r="J58" s="81" t="n">
        <v>1134</v>
      </c>
      <c r="K58" s="73" t="inlineStr">
        <is>
          <t>Jennifer Wiedemann, Kyle Wiedemann</t>
        </is>
      </c>
      <c r="L58" s="82" t="n">
        <v>3408</v>
      </c>
      <c r="M58" s="82">
        <f>Y58</f>
        <v/>
      </c>
      <c r="P58" s="83" t="n">
        <v>46446</v>
      </c>
      <c r="R58" s="82" t="n">
        <v>0</v>
      </c>
      <c r="S58" s="82">
        <f>AB58</f>
        <v/>
      </c>
      <c r="T58" s="82" t="n">
        <v>0</v>
      </c>
      <c r="Y58" s="82" t="n">
        <v>3408</v>
      </c>
    </row>
    <row r="59">
      <c r="A59" s="73">
        <f>$D$44</f>
        <v/>
      </c>
      <c r="B59" s="73">
        <f>B58+1</f>
        <v/>
      </c>
      <c r="C59" s="73">
        <f>IF(K59="Vacant","Vac",IF(K59="Model","Model",IF(K59="Admin","Admin",IF(K59="Down","Down",IF(K59="Super","Super","Occ")))))</f>
        <v/>
      </c>
      <c r="D59" s="73">
        <f>INDEX($C$5:$C$31,MATCH(I59,$D$5:$D$31,0))</f>
        <v/>
      </c>
      <c r="E59" s="73">
        <f>INDEX($E$5:$E$31,MATCH(D59,$C$5:$C$31,0))</f>
        <v/>
      </c>
      <c r="F59" s="73">
        <f>INDEX($F$5:$F$31,MATCH(D59,$C$5:$C$31,0))</f>
        <v/>
      </c>
      <c r="G59" s="73">
        <f>INDEX($G$5:$G$31,MATCH(D59,$C$5:$C$31,0))</f>
        <v/>
      </c>
      <c r="H59" s="73" t="inlineStr">
        <is>
          <t>556-210</t>
        </is>
      </c>
      <c r="I59" s="73" t="inlineStr">
        <is>
          <t>E-2</t>
        </is>
      </c>
      <c r="J59" s="81" t="n">
        <v>1146</v>
      </c>
      <c r="K59" s="73" t="inlineStr">
        <is>
          <t>Constance Franks</t>
        </is>
      </c>
      <c r="L59" s="82" t="n">
        <v>3508</v>
      </c>
      <c r="M59" s="82">
        <f>Y59</f>
        <v/>
      </c>
      <c r="P59" s="83" t="n">
        <v>46234</v>
      </c>
      <c r="R59" s="82" t="n">
        <v>0</v>
      </c>
      <c r="S59" s="82">
        <f>AB59</f>
        <v/>
      </c>
      <c r="T59" s="82" t="n">
        <v>0</v>
      </c>
      <c r="Y59" s="82" t="n">
        <v>3508</v>
      </c>
    </row>
    <row r="60">
      <c r="A60" s="73">
        <f>$D$44</f>
        <v/>
      </c>
      <c r="B60" s="73">
        <f>B59+1</f>
        <v/>
      </c>
      <c r="C60" s="73">
        <f>IF(K60="Vacant","Vac",IF(K60="Model","Model",IF(K60="Admin","Admin",IF(K60="Down","Down",IF(K60="Super","Super","Occ")))))</f>
        <v/>
      </c>
      <c r="D60" s="73">
        <f>INDEX($C$5:$C$31,MATCH(I60,$D$5:$D$31,0))</f>
        <v/>
      </c>
      <c r="E60" s="73">
        <f>INDEX($E$5:$E$31,MATCH(D60,$C$5:$C$31,0))</f>
        <v/>
      </c>
      <c r="F60" s="73">
        <f>INDEX($F$5:$F$31,MATCH(D60,$C$5:$C$31,0))</f>
        <v/>
      </c>
      <c r="G60" s="73">
        <f>INDEX($G$5:$G$31,MATCH(D60,$C$5:$C$31,0))</f>
        <v/>
      </c>
      <c r="H60" s="73" t="inlineStr">
        <is>
          <t>556-211</t>
        </is>
      </c>
      <c r="I60" s="73" t="inlineStr">
        <is>
          <t>F-2</t>
        </is>
      </c>
      <c r="J60" s="81" t="n">
        <v>1141</v>
      </c>
      <c r="K60" s="73" t="inlineStr">
        <is>
          <t>Robert Lynch, Gail Lynch</t>
        </is>
      </c>
      <c r="L60" s="82" t="n">
        <v>3427</v>
      </c>
      <c r="M60" s="82">
        <f>Y60</f>
        <v/>
      </c>
      <c r="P60" s="83" t="n">
        <v>46356</v>
      </c>
      <c r="R60" s="82" t="n">
        <v>0</v>
      </c>
      <c r="S60" s="82">
        <f>AB60</f>
        <v/>
      </c>
      <c r="T60" s="82" t="n">
        <v>0</v>
      </c>
      <c r="Y60" s="82" t="n">
        <v>3427</v>
      </c>
    </row>
    <row r="61">
      <c r="A61" s="73">
        <f>$D$44</f>
        <v/>
      </c>
      <c r="B61" s="73">
        <f>B60+1</f>
        <v/>
      </c>
      <c r="C61" s="73">
        <f>IF(K61="Vacant","Vac",IF(K61="Model","Model",IF(K61="Admin","Admin",IF(K61="Down","Down",IF(K61="Super","Super","Occ")))))</f>
        <v/>
      </c>
      <c r="D61" s="73">
        <f>INDEX($C$5:$C$31,MATCH(I61,$D$5:$D$31,0))</f>
        <v/>
      </c>
      <c r="E61" s="73">
        <f>INDEX($E$5:$E$31,MATCH(D61,$C$5:$C$31,0))</f>
        <v/>
      </c>
      <c r="F61" s="73">
        <f>INDEX($F$5:$F$31,MATCH(D61,$C$5:$C$31,0))</f>
        <v/>
      </c>
      <c r="G61" s="73">
        <f>INDEX($G$5:$G$31,MATCH(D61,$C$5:$C$31,0))</f>
        <v/>
      </c>
      <c r="H61" s="73" t="inlineStr">
        <is>
          <t>556-212</t>
        </is>
      </c>
      <c r="I61" s="73" t="inlineStr">
        <is>
          <t>E-2</t>
        </is>
      </c>
      <c r="J61" s="81" t="n">
        <v>1146</v>
      </c>
      <c r="K61" s="73" t="inlineStr">
        <is>
          <t>Karen Tileston</t>
        </is>
      </c>
      <c r="L61" s="82" t="n">
        <v>3574</v>
      </c>
      <c r="M61" s="82">
        <f>Y61</f>
        <v/>
      </c>
      <c r="P61" s="83" t="n">
        <v>46843</v>
      </c>
      <c r="R61" s="82" t="n">
        <v>0</v>
      </c>
      <c r="S61" s="82">
        <f>AB61</f>
        <v/>
      </c>
      <c r="T61" s="82" t="n">
        <v>0</v>
      </c>
      <c r="Y61" s="82" t="n">
        <v>3574</v>
      </c>
    </row>
    <row r="62">
      <c r="A62" s="73">
        <f>$D$44</f>
        <v/>
      </c>
      <c r="B62" s="73">
        <f>B61+1</f>
        <v/>
      </c>
      <c r="C62" s="73">
        <f>IF(K62="Vacant","Vac",IF(K62="Model","Model",IF(K62="Admin","Admin",IF(K62="Down","Down",IF(K62="Super","Super","Occ")))))</f>
        <v/>
      </c>
      <c r="D62" s="73">
        <f>INDEX($C$5:$C$31,MATCH(I62,$D$5:$D$31,0))</f>
        <v/>
      </c>
      <c r="E62" s="73">
        <f>INDEX($E$5:$E$31,MATCH(D62,$C$5:$C$31,0))</f>
        <v/>
      </c>
      <c r="F62" s="73">
        <f>INDEX($F$5:$F$31,MATCH(D62,$C$5:$C$31,0))</f>
        <v/>
      </c>
      <c r="G62" s="73">
        <f>INDEX($G$5:$G$31,MATCH(D62,$C$5:$C$31,0))</f>
        <v/>
      </c>
      <c r="H62" s="73" t="inlineStr">
        <is>
          <t>556-213</t>
        </is>
      </c>
      <c r="I62" s="73" t="inlineStr">
        <is>
          <t>H-2D</t>
        </is>
      </c>
      <c r="J62" s="81" t="n">
        <v>1371</v>
      </c>
      <c r="K62" s="73" t="inlineStr">
        <is>
          <t>Adele Brett</t>
        </is>
      </c>
      <c r="L62" s="82" t="n">
        <v>3982</v>
      </c>
      <c r="M62" s="82">
        <f>Y62</f>
        <v/>
      </c>
      <c r="P62" s="83" t="n">
        <v>46295</v>
      </c>
      <c r="R62" s="82" t="n">
        <v>0</v>
      </c>
      <c r="S62" s="82">
        <f>AB62</f>
        <v/>
      </c>
      <c r="T62" s="82" t="n">
        <v>0</v>
      </c>
      <c r="Y62" s="82" t="n">
        <v>3982</v>
      </c>
    </row>
    <row r="63">
      <c r="A63" s="73">
        <f>$D$44</f>
        <v/>
      </c>
      <c r="B63" s="73">
        <f>B62+1</f>
        <v/>
      </c>
      <c r="C63" s="73">
        <f>IF(K63="Vacant","Vac",IF(K63="Model","Model",IF(K63="Admin","Admin",IF(K63="Down","Down",IF(K63="Super","Super","Occ")))))</f>
        <v/>
      </c>
      <c r="D63" s="73">
        <f>INDEX($C$5:$C$31,MATCH(I63,$D$5:$D$31,0))</f>
        <v/>
      </c>
      <c r="E63" s="73">
        <f>INDEX($E$5:$E$31,MATCH(D63,$C$5:$C$31,0))</f>
        <v/>
      </c>
      <c r="F63" s="73">
        <f>INDEX($F$5:$F$31,MATCH(D63,$C$5:$C$31,0))</f>
        <v/>
      </c>
      <c r="G63" s="73">
        <f>INDEX($G$5:$G$31,MATCH(D63,$C$5:$C$31,0))</f>
        <v/>
      </c>
      <c r="H63" s="73" t="inlineStr">
        <is>
          <t>556-214</t>
        </is>
      </c>
      <c r="I63" s="73" t="inlineStr">
        <is>
          <t>F-2</t>
        </is>
      </c>
      <c r="J63" s="81" t="n">
        <v>1141</v>
      </c>
      <c r="K63" s="73" t="inlineStr">
        <is>
          <t>Michael Rizzotto, Pat Rizzotto</t>
        </is>
      </c>
      <c r="L63" s="82" t="n">
        <v>3500</v>
      </c>
      <c r="M63" s="82">
        <f>Y63</f>
        <v/>
      </c>
      <c r="P63" s="83" t="n">
        <v>46234</v>
      </c>
      <c r="R63" s="82" t="n">
        <v>0</v>
      </c>
      <c r="S63" s="82">
        <f>AB63</f>
        <v/>
      </c>
      <c r="T63" s="82" t="n">
        <v>0</v>
      </c>
      <c r="Y63" s="82" t="n">
        <v>3500</v>
      </c>
    </row>
    <row r="64">
      <c r="A64" s="73">
        <f>$D$44</f>
        <v/>
      </c>
      <c r="B64" s="73">
        <f>B63+1</f>
        <v/>
      </c>
      <c r="C64" s="73">
        <f>IF(K64="Vacant","Vac",IF(K64="Model","Model",IF(K64="Admin","Admin",IF(K64="Down","Down",IF(K64="Super","Super","Occ")))))</f>
        <v/>
      </c>
      <c r="D64" s="73">
        <f>INDEX($C$5:$C$31,MATCH(I64,$D$5:$D$31,0))</f>
        <v/>
      </c>
      <c r="E64" s="73">
        <f>INDEX($E$5:$E$31,MATCH(D64,$C$5:$C$31,0))</f>
        <v/>
      </c>
      <c r="F64" s="73">
        <f>INDEX($F$5:$F$31,MATCH(D64,$C$5:$C$31,0))</f>
        <v/>
      </c>
      <c r="G64" s="73">
        <f>INDEX($G$5:$G$31,MATCH(D64,$C$5:$C$31,0))</f>
        <v/>
      </c>
      <c r="H64" s="73" t="inlineStr">
        <is>
          <t>556-215</t>
        </is>
      </c>
      <c r="I64" s="73" t="inlineStr">
        <is>
          <t>D-1D</t>
        </is>
      </c>
      <c r="J64" s="81" t="n">
        <v>980</v>
      </c>
      <c r="K64" s="73" t="inlineStr">
        <is>
          <t>Barbara Mino</t>
        </is>
      </c>
      <c r="L64" s="82" t="n">
        <v>3082</v>
      </c>
      <c r="M64" s="82">
        <f>Y64</f>
        <v/>
      </c>
      <c r="P64" s="83" t="n">
        <v>46203</v>
      </c>
      <c r="R64" s="82" t="n">
        <v>0</v>
      </c>
      <c r="S64" s="82">
        <f>AB64</f>
        <v/>
      </c>
      <c r="T64" s="82" t="n">
        <v>0</v>
      </c>
      <c r="Y64" s="82" t="n">
        <v>3082</v>
      </c>
    </row>
    <row r="65">
      <c r="A65" s="73">
        <f>$D$44</f>
        <v/>
      </c>
      <c r="B65" s="73">
        <f>B64+1</f>
        <v/>
      </c>
      <c r="C65" s="73">
        <f>IF(K65="Vacant","Vac",IF(K65="Model","Model",IF(K65="Admin","Admin",IF(K65="Down","Down",IF(K65="Super","Super","Occ")))))</f>
        <v/>
      </c>
      <c r="D65" s="73">
        <f>INDEX($C$5:$C$31,MATCH(I65,$D$5:$D$31,0))</f>
        <v/>
      </c>
      <c r="E65" s="73">
        <f>INDEX($E$5:$E$31,MATCH(D65,$C$5:$C$31,0))</f>
        <v/>
      </c>
      <c r="F65" s="73">
        <f>INDEX($F$5:$F$31,MATCH(D65,$C$5:$C$31,0))</f>
        <v/>
      </c>
      <c r="G65" s="73">
        <f>INDEX($G$5:$G$31,MATCH(D65,$C$5:$C$31,0))</f>
        <v/>
      </c>
      <c r="H65" s="73" t="inlineStr">
        <is>
          <t>556-216</t>
        </is>
      </c>
      <c r="I65" s="73" t="inlineStr">
        <is>
          <t>K-2</t>
        </is>
      </c>
      <c r="J65" s="81" t="n">
        <v>1134</v>
      </c>
      <c r="K65" s="73" t="inlineStr">
        <is>
          <t>Richard Ege</t>
        </is>
      </c>
      <c r="L65" s="82" t="n">
        <v>3518</v>
      </c>
      <c r="M65" s="82">
        <f>Y65</f>
        <v/>
      </c>
      <c r="P65" s="83" t="n">
        <v>46418</v>
      </c>
      <c r="R65" s="82" t="n">
        <v>0</v>
      </c>
      <c r="S65" s="82">
        <f>AB65</f>
        <v/>
      </c>
      <c r="T65" s="82" t="n">
        <v>0</v>
      </c>
      <c r="Y65" s="82" t="n">
        <v>3518</v>
      </c>
    </row>
    <row r="66">
      <c r="A66" s="73">
        <f>$D$44</f>
        <v/>
      </c>
      <c r="B66" s="73">
        <f>B65+1</f>
        <v/>
      </c>
      <c r="C66" s="73">
        <f>IF(K66="Vacant","Vac",IF(K66="Model","Model",IF(K66="Admin","Admin",IF(K66="Down","Down",IF(K66="Super","Super","Occ")))))</f>
        <v/>
      </c>
      <c r="D66" s="73">
        <f>INDEX($C$5:$C$31,MATCH(I66,$D$5:$D$31,0))</f>
        <v/>
      </c>
      <c r="E66" s="73">
        <f>INDEX($E$5:$E$31,MATCH(D66,$C$5:$C$31,0))</f>
        <v/>
      </c>
      <c r="F66" s="73">
        <f>INDEX($F$5:$F$31,MATCH(D66,$C$5:$C$31,0))</f>
        <v/>
      </c>
      <c r="G66" s="73">
        <f>INDEX($G$5:$G$31,MATCH(D66,$C$5:$C$31,0))</f>
        <v/>
      </c>
      <c r="H66" s="73" t="inlineStr">
        <is>
          <t>556-217</t>
        </is>
      </c>
      <c r="I66" s="73" t="inlineStr">
        <is>
          <t>K-2</t>
        </is>
      </c>
      <c r="J66" s="81" t="n">
        <v>1134</v>
      </c>
      <c r="K66" s="73" t="inlineStr">
        <is>
          <t>Rozlyne Tessler</t>
        </is>
      </c>
      <c r="L66" s="82" t="n">
        <v>3629</v>
      </c>
      <c r="M66" s="82">
        <f>Y66</f>
        <v/>
      </c>
      <c r="P66" s="83" t="n">
        <v>46234</v>
      </c>
      <c r="R66" s="82" t="n">
        <v>0</v>
      </c>
      <c r="S66" s="82">
        <f>AB66</f>
        <v/>
      </c>
      <c r="T66" s="82" t="n">
        <v>0</v>
      </c>
      <c r="Y66" s="82" t="n">
        <v>3629</v>
      </c>
    </row>
    <row r="67">
      <c r="A67" s="73">
        <f>$D$44</f>
        <v/>
      </c>
      <c r="B67" s="73">
        <f>B66+1</f>
        <v/>
      </c>
      <c r="C67" s="73">
        <f>IF(K67="Vacant","Vac",IF(K67="Model","Model",IF(K67="Admin","Admin",IF(K67="Down","Down",IF(K67="Super","Super","Occ")))))</f>
        <v/>
      </c>
      <c r="D67" s="73">
        <f>INDEX($C$5:$C$31,MATCH(I67,$D$5:$D$31,0))</f>
        <v/>
      </c>
      <c r="E67" s="73">
        <f>INDEX($E$5:$E$31,MATCH(D67,$C$5:$C$31,0))</f>
        <v/>
      </c>
      <c r="F67" s="73">
        <f>INDEX($F$5:$F$31,MATCH(D67,$C$5:$C$31,0))</f>
        <v/>
      </c>
      <c r="G67" s="73">
        <f>INDEX($G$5:$G$31,MATCH(D67,$C$5:$C$31,0))</f>
        <v/>
      </c>
      <c r="H67" s="73" t="inlineStr">
        <is>
          <t>556-218</t>
        </is>
      </c>
      <c r="I67" s="73" t="inlineStr">
        <is>
          <t>E-2</t>
        </is>
      </c>
      <c r="J67" s="81" t="n">
        <v>1146</v>
      </c>
      <c r="K67" s="73" t="inlineStr">
        <is>
          <t>Kersti Kimler</t>
        </is>
      </c>
      <c r="L67" s="82" t="n">
        <v>3582</v>
      </c>
      <c r="M67" s="82">
        <f>Y67</f>
        <v/>
      </c>
      <c r="P67" s="83" t="n">
        <v>46418</v>
      </c>
      <c r="R67" s="82" t="n">
        <v>0</v>
      </c>
      <c r="S67" s="82">
        <f>AB67</f>
        <v/>
      </c>
      <c r="T67" s="82" t="n">
        <v>0</v>
      </c>
      <c r="Y67" s="82" t="n">
        <v>3582</v>
      </c>
    </row>
    <row r="68">
      <c r="A68" s="73">
        <f>$D$44</f>
        <v/>
      </c>
      <c r="B68" s="73">
        <f>B67+1</f>
        <v/>
      </c>
      <c r="C68" s="73">
        <f>IF(K68="Vacant","Vac",IF(K68="Model","Model",IF(K68="Admin","Admin",IF(K68="Down","Down",IF(K68="Super","Super","Occ")))))</f>
        <v/>
      </c>
      <c r="D68" s="73">
        <f>INDEX($C$5:$C$31,MATCH(I68,$D$5:$D$31,0))</f>
        <v/>
      </c>
      <c r="E68" s="73">
        <f>INDEX($E$5:$E$31,MATCH(D68,$C$5:$C$31,0))</f>
        <v/>
      </c>
      <c r="F68" s="73">
        <f>INDEX($F$5:$F$31,MATCH(D68,$C$5:$C$31,0))</f>
        <v/>
      </c>
      <c r="G68" s="73">
        <f>INDEX($G$5:$G$31,MATCH(D68,$C$5:$C$31,0))</f>
        <v/>
      </c>
      <c r="H68" s="73" t="inlineStr">
        <is>
          <t>556-219</t>
        </is>
      </c>
      <c r="I68" s="73" t="inlineStr">
        <is>
          <t>A-1</t>
        </is>
      </c>
      <c r="J68" s="81" t="n">
        <v>845</v>
      </c>
      <c r="K68" s="73" t="inlineStr">
        <is>
          <t>Frederick Schulze</t>
        </is>
      </c>
      <c r="L68" s="82" t="n">
        <v>2850</v>
      </c>
      <c r="M68" s="82">
        <f>Y68</f>
        <v/>
      </c>
      <c r="P68" s="83" t="n">
        <v>46446</v>
      </c>
      <c r="R68" s="82" t="n">
        <v>0</v>
      </c>
      <c r="S68" s="82">
        <f>AB68</f>
        <v/>
      </c>
      <c r="T68" s="82" t="n">
        <v>0</v>
      </c>
      <c r="Y68" s="82" t="n">
        <v>2850</v>
      </c>
    </row>
    <row r="69">
      <c r="A69" s="73">
        <f>$D$44</f>
        <v/>
      </c>
      <c r="B69" s="73">
        <f>B68+1</f>
        <v/>
      </c>
      <c r="C69" s="73">
        <f>IF(K69="Vacant","Vac",IF(K69="Model","Model",IF(K69="Admin","Admin",IF(K69="Down","Down",IF(K69="Super","Super","Occ")))))</f>
        <v/>
      </c>
      <c r="D69" s="73">
        <f>INDEX($C$5:$C$31,MATCH(I69,$D$5:$D$31,0))</f>
        <v/>
      </c>
      <c r="E69" s="73">
        <f>INDEX($E$5:$E$31,MATCH(D69,$C$5:$C$31,0))</f>
        <v/>
      </c>
      <c r="F69" s="73">
        <f>INDEX($F$5:$F$31,MATCH(D69,$C$5:$C$31,0))</f>
        <v/>
      </c>
      <c r="G69" s="73">
        <f>INDEX($G$5:$G$31,MATCH(D69,$C$5:$C$31,0))</f>
        <v/>
      </c>
      <c r="H69" s="73" t="inlineStr">
        <is>
          <t>556-220</t>
        </is>
      </c>
      <c r="I69" s="73" t="inlineStr">
        <is>
          <t>A-1</t>
        </is>
      </c>
      <c r="J69" s="81" t="n">
        <v>845</v>
      </c>
      <c r="K69" s="73" t="inlineStr">
        <is>
          <t>Audrey Roberts</t>
        </is>
      </c>
      <c r="L69" s="82" t="n">
        <v>2822</v>
      </c>
      <c r="M69" s="82">
        <f>Y69</f>
        <v/>
      </c>
      <c r="P69" s="83" t="n">
        <v>46173</v>
      </c>
      <c r="R69" s="82" t="n">
        <v>0</v>
      </c>
      <c r="S69" s="82">
        <f>AB69</f>
        <v/>
      </c>
      <c r="T69" s="82" t="n">
        <v>0</v>
      </c>
      <c r="Y69" s="82" t="n">
        <v>2822</v>
      </c>
    </row>
    <row r="70">
      <c r="A70" s="73">
        <f>$D$44</f>
        <v/>
      </c>
      <c r="B70" s="73">
        <f>B69+1</f>
        <v/>
      </c>
      <c r="C70" s="73">
        <f>IF(K70="Vacant","Vac",IF(K70="Model","Model",IF(K70="Admin","Admin",IF(K70="Down","Down",IF(K70="Super","Super","Occ")))))</f>
        <v/>
      </c>
      <c r="D70" s="73">
        <f>INDEX($C$5:$C$31,MATCH(I70,$D$5:$D$31,0))</f>
        <v/>
      </c>
      <c r="E70" s="73">
        <f>INDEX($E$5:$E$31,MATCH(D70,$C$5:$C$31,0))</f>
        <v/>
      </c>
      <c r="F70" s="73">
        <f>INDEX($F$5:$F$31,MATCH(D70,$C$5:$C$31,0))</f>
        <v/>
      </c>
      <c r="G70" s="73">
        <f>INDEX($G$5:$G$31,MATCH(D70,$C$5:$C$31,0))</f>
        <v/>
      </c>
      <c r="H70" s="73" t="inlineStr">
        <is>
          <t>556-301</t>
        </is>
      </c>
      <c r="I70" s="73" t="inlineStr">
        <is>
          <t>A-1</t>
        </is>
      </c>
      <c r="J70" s="81" t="n">
        <v>845</v>
      </c>
      <c r="K70" s="73" t="inlineStr">
        <is>
          <t>Brianne O' Rourke</t>
        </is>
      </c>
      <c r="L70" s="82" t="n">
        <v>2800</v>
      </c>
      <c r="M70" s="82">
        <f>Y70</f>
        <v/>
      </c>
      <c r="P70" s="83" t="n">
        <v>46203</v>
      </c>
      <c r="R70" s="82" t="n">
        <v>0</v>
      </c>
      <c r="S70" s="82">
        <f>AB70</f>
        <v/>
      </c>
      <c r="T70" s="82" t="n">
        <v>0</v>
      </c>
      <c r="Y70" s="82" t="n">
        <v>2800</v>
      </c>
    </row>
    <row r="71">
      <c r="A71" s="73">
        <f>$D$44</f>
        <v/>
      </c>
      <c r="B71" s="73">
        <f>B70+1</f>
        <v/>
      </c>
      <c r="C71" s="73">
        <f>IF(K71="Vacant","Vac",IF(K71="Model","Model",IF(K71="Admin","Admin",IF(K71="Down","Down",IF(K71="Super","Super","Occ")))))</f>
        <v/>
      </c>
      <c r="D71" s="73">
        <f>INDEX($C$5:$C$31,MATCH(I71,$D$5:$D$31,0))</f>
        <v/>
      </c>
      <c r="E71" s="73">
        <f>INDEX($E$5:$E$31,MATCH(D71,$C$5:$C$31,0))</f>
        <v/>
      </c>
      <c r="F71" s="73">
        <f>INDEX($F$5:$F$31,MATCH(D71,$C$5:$C$31,0))</f>
        <v/>
      </c>
      <c r="G71" s="73">
        <f>INDEX($G$5:$G$31,MATCH(D71,$C$5:$C$31,0))</f>
        <v/>
      </c>
      <c r="H71" s="73" t="inlineStr">
        <is>
          <t>556-302</t>
        </is>
      </c>
      <c r="I71" s="73" t="inlineStr">
        <is>
          <t>J-2</t>
        </is>
      </c>
      <c r="J71" s="81" t="n">
        <v>1209</v>
      </c>
      <c r="K71" s="73" t="inlineStr">
        <is>
          <t>Rita Grogan</t>
        </is>
      </c>
      <c r="L71" s="82" t="n">
        <v>3814</v>
      </c>
      <c r="M71" s="82">
        <f>Y71</f>
        <v/>
      </c>
      <c r="P71" s="83" t="n">
        <v>46142</v>
      </c>
      <c r="R71" s="82" t="n">
        <v>0</v>
      </c>
      <c r="S71" s="82">
        <f>AB71</f>
        <v/>
      </c>
      <c r="T71" s="82" t="n">
        <v>0</v>
      </c>
      <c r="Y71" s="82" t="n">
        <v>3814</v>
      </c>
    </row>
    <row r="72">
      <c r="A72" s="73">
        <f>$D$44</f>
        <v/>
      </c>
      <c r="B72" s="73">
        <f>B71+1</f>
        <v/>
      </c>
      <c r="C72" s="73">
        <f>IF(K72="Vacant","Vac",IF(K72="Model","Model",IF(K72="Admin","Admin",IF(K72="Down","Down",IF(K72="Super","Super","Occ")))))</f>
        <v/>
      </c>
      <c r="D72" s="73">
        <f>INDEX($C$5:$C$31,MATCH(I72,$D$5:$D$31,0))</f>
        <v/>
      </c>
      <c r="E72" s="73">
        <f>INDEX($E$5:$E$31,MATCH(D72,$C$5:$C$31,0))</f>
        <v/>
      </c>
      <c r="F72" s="73">
        <f>INDEX($F$5:$F$31,MATCH(D72,$C$5:$C$31,0))</f>
        <v/>
      </c>
      <c r="G72" s="73">
        <f>INDEX($G$5:$G$31,MATCH(D72,$C$5:$C$31,0))</f>
        <v/>
      </c>
      <c r="H72" s="73" t="inlineStr">
        <is>
          <t>556-303</t>
        </is>
      </c>
      <c r="I72" s="73" t="inlineStr">
        <is>
          <t>E-2</t>
        </is>
      </c>
      <c r="J72" s="81" t="n">
        <v>1146</v>
      </c>
      <c r="K72" s="73" t="inlineStr">
        <is>
          <t>Charles Grenner</t>
        </is>
      </c>
      <c r="L72" s="82" t="n">
        <v>3543</v>
      </c>
      <c r="M72" s="82">
        <f>Y72</f>
        <v/>
      </c>
      <c r="P72" s="83" t="n">
        <v>46326</v>
      </c>
      <c r="R72" s="82" t="n">
        <v>0</v>
      </c>
      <c r="S72" s="82">
        <f>AB72</f>
        <v/>
      </c>
      <c r="T72" s="82" t="n">
        <v>0</v>
      </c>
      <c r="Y72" s="82" t="n">
        <v>3543</v>
      </c>
    </row>
    <row r="73">
      <c r="A73" s="73">
        <f>$D$44</f>
        <v/>
      </c>
      <c r="B73" s="73">
        <f>B72+1</f>
        <v/>
      </c>
      <c r="C73" s="73">
        <f>IF(K73="Vacant","Vac",IF(K73="Model","Model",IF(K73="Admin","Admin",IF(K73="Down","Down",IF(K73="Super","Super","Occ")))))</f>
        <v/>
      </c>
      <c r="D73" s="73">
        <f>INDEX($C$5:$C$31,MATCH(I73,$D$5:$D$31,0))</f>
        <v/>
      </c>
      <c r="E73" s="73">
        <f>INDEX($E$5:$E$31,MATCH(D73,$C$5:$C$31,0))</f>
        <v/>
      </c>
      <c r="F73" s="73">
        <f>INDEX($F$5:$F$31,MATCH(D73,$C$5:$C$31,0))</f>
        <v/>
      </c>
      <c r="G73" s="73">
        <f>INDEX($G$5:$G$31,MATCH(D73,$C$5:$C$31,0))</f>
        <v/>
      </c>
      <c r="H73" s="73" t="inlineStr">
        <is>
          <t>556-304</t>
        </is>
      </c>
      <c r="I73" s="73" t="inlineStr">
        <is>
          <t>E-2</t>
        </is>
      </c>
      <c r="J73" s="81" t="n">
        <v>1146</v>
      </c>
      <c r="K73" s="73" t="inlineStr">
        <is>
          <t>Rhonda Golub, Mark Frohman</t>
        </is>
      </c>
      <c r="L73" s="82" t="n">
        <v>3475</v>
      </c>
      <c r="M73" s="82">
        <f>Y73</f>
        <v/>
      </c>
      <c r="P73" s="83" t="n">
        <v>46234</v>
      </c>
      <c r="R73" s="82" t="n">
        <v>0</v>
      </c>
      <c r="S73" s="82">
        <f>AB73</f>
        <v/>
      </c>
      <c r="T73" s="82" t="n">
        <v>0</v>
      </c>
      <c r="Y73" s="82" t="n">
        <v>3475</v>
      </c>
    </row>
    <row r="74">
      <c r="A74" s="73">
        <f>$D$44</f>
        <v/>
      </c>
      <c r="B74" s="73">
        <f>B73+1</f>
        <v/>
      </c>
      <c r="C74" s="73">
        <f>IF(K74="Vacant","Vac",IF(K74="Model","Model",IF(K74="Admin","Admin",IF(K74="Down","Down",IF(K74="Super","Super","Occ")))))</f>
        <v/>
      </c>
      <c r="D74" s="73">
        <f>INDEX($C$5:$C$31,MATCH(I74,$D$5:$D$31,0))</f>
        <v/>
      </c>
      <c r="E74" s="73">
        <f>INDEX($E$5:$E$31,MATCH(D74,$C$5:$C$31,0))</f>
        <v/>
      </c>
      <c r="F74" s="73">
        <f>INDEX($F$5:$F$31,MATCH(D74,$C$5:$C$31,0))</f>
        <v/>
      </c>
      <c r="G74" s="73">
        <f>INDEX($G$5:$G$31,MATCH(D74,$C$5:$C$31,0))</f>
        <v/>
      </c>
      <c r="H74" s="73" t="inlineStr">
        <is>
          <t>556-305</t>
        </is>
      </c>
      <c r="I74" s="73" t="inlineStr">
        <is>
          <t>F-2</t>
        </is>
      </c>
      <c r="J74" s="81" t="n">
        <v>1141</v>
      </c>
      <c r="K74" s="73" t="inlineStr">
        <is>
          <t>Peter Macaluso, MaryAnn Macaluso</t>
        </is>
      </c>
      <c r="L74" s="82" t="n">
        <v>3441</v>
      </c>
      <c r="M74" s="82">
        <f>Y74</f>
        <v/>
      </c>
      <c r="P74" s="83" t="n">
        <v>46142</v>
      </c>
      <c r="R74" s="82" t="n">
        <v>0</v>
      </c>
      <c r="S74" s="82">
        <f>AB74</f>
        <v/>
      </c>
      <c r="T74" s="82" t="n">
        <v>0</v>
      </c>
      <c r="Y74" s="82" t="n">
        <v>3441</v>
      </c>
    </row>
    <row r="75">
      <c r="A75" s="73">
        <f>$D$44</f>
        <v/>
      </c>
      <c r="B75" s="73">
        <f>B74+1</f>
        <v/>
      </c>
      <c r="C75" s="73">
        <f>IF(K75="Vacant","Vac",IF(K75="Model","Model",IF(K75="Admin","Admin",IF(K75="Down","Down",IF(K75="Super","Super","Occ")))))</f>
        <v/>
      </c>
      <c r="D75" s="73">
        <f>INDEX($C$5:$C$31,MATCH(I75,$D$5:$D$31,0))</f>
        <v/>
      </c>
      <c r="E75" s="73">
        <f>INDEX($E$5:$E$31,MATCH(D75,$C$5:$C$31,0))</f>
        <v/>
      </c>
      <c r="F75" s="73">
        <f>INDEX($F$5:$F$31,MATCH(D75,$C$5:$C$31,0))</f>
        <v/>
      </c>
      <c r="G75" s="73">
        <f>INDEX($G$5:$G$31,MATCH(D75,$C$5:$C$31,0))</f>
        <v/>
      </c>
      <c r="H75" s="73" t="inlineStr">
        <is>
          <t>556-306</t>
        </is>
      </c>
      <c r="I75" s="73" t="inlineStr">
        <is>
          <t>E-2</t>
        </is>
      </c>
      <c r="J75" s="81" t="n">
        <v>1146</v>
      </c>
      <c r="K75" s="73" t="inlineStr">
        <is>
          <t>Christopher Nixon</t>
        </is>
      </c>
      <c r="L75" s="82" t="n">
        <v>3425</v>
      </c>
      <c r="M75" s="82">
        <f>Y75</f>
        <v/>
      </c>
      <c r="P75" s="83" t="n">
        <v>46234</v>
      </c>
      <c r="R75" s="82" t="n">
        <v>0</v>
      </c>
      <c r="S75" s="82">
        <f>AB75</f>
        <v/>
      </c>
      <c r="T75" s="82" t="n">
        <v>0</v>
      </c>
      <c r="Y75" s="82" t="n">
        <v>3425</v>
      </c>
    </row>
    <row r="76">
      <c r="A76" s="73">
        <f>$D$44</f>
        <v/>
      </c>
      <c r="B76" s="73">
        <f>B75+1</f>
        <v/>
      </c>
      <c r="C76" s="73">
        <f>IF(K76="Vacant","Vac",IF(K76="Model","Model",IF(K76="Admin","Admin",IF(K76="Down","Down",IF(K76="Super","Super","Occ")))))</f>
        <v/>
      </c>
      <c r="D76" s="73">
        <f>INDEX($C$5:$C$31,MATCH(I76,$D$5:$D$31,0))</f>
        <v/>
      </c>
      <c r="E76" s="73">
        <f>INDEX($E$5:$E$31,MATCH(D76,$C$5:$C$31,0))</f>
        <v/>
      </c>
      <c r="F76" s="73">
        <f>INDEX($F$5:$F$31,MATCH(D76,$C$5:$C$31,0))</f>
        <v/>
      </c>
      <c r="G76" s="73">
        <f>INDEX($G$5:$G$31,MATCH(D76,$C$5:$C$31,0))</f>
        <v/>
      </c>
      <c r="H76" s="73" t="inlineStr">
        <is>
          <t>556-307</t>
        </is>
      </c>
      <c r="I76" s="73" t="inlineStr">
        <is>
          <t>B-1D</t>
        </is>
      </c>
      <c r="J76" s="81" t="n">
        <v>980</v>
      </c>
      <c r="K76" s="73" t="inlineStr">
        <is>
          <t>Brenda McElkenny</t>
        </is>
      </c>
      <c r="L76" s="82" t="n">
        <v>2939</v>
      </c>
      <c r="M76" s="82">
        <f>Y76</f>
        <v/>
      </c>
      <c r="P76" s="83" t="n">
        <v>46203</v>
      </c>
      <c r="R76" s="82" t="n">
        <v>0</v>
      </c>
      <c r="S76" s="82">
        <f>AB76</f>
        <v/>
      </c>
      <c r="T76" s="82" t="n">
        <v>0</v>
      </c>
      <c r="Y76" s="82" t="n">
        <v>2939</v>
      </c>
    </row>
    <row r="77">
      <c r="A77" s="73">
        <f>$D$44</f>
        <v/>
      </c>
      <c r="B77" s="73">
        <f>B76+1</f>
        <v/>
      </c>
      <c r="C77" s="73">
        <f>IF(K77="Vacant","Vac",IF(K77="Model","Model",IF(K77="Admin","Admin",IF(K77="Down","Down",IF(K77="Super","Super","Occ")))))</f>
        <v/>
      </c>
      <c r="D77" s="73">
        <f>INDEX($C$5:$C$31,MATCH(I77,$D$5:$D$31,0))</f>
        <v/>
      </c>
      <c r="E77" s="73">
        <f>INDEX($E$5:$E$31,MATCH(D77,$C$5:$C$31,0))</f>
        <v/>
      </c>
      <c r="F77" s="73">
        <f>INDEX($F$5:$F$31,MATCH(D77,$C$5:$C$31,0))</f>
        <v/>
      </c>
      <c r="G77" s="73">
        <f>INDEX($G$5:$G$31,MATCH(D77,$C$5:$C$31,0))</f>
        <v/>
      </c>
      <c r="H77" s="73" t="inlineStr">
        <is>
          <t>556-308</t>
        </is>
      </c>
      <c r="I77" s="73" t="inlineStr">
        <is>
          <t>K-2</t>
        </is>
      </c>
      <c r="J77" s="81" t="n">
        <v>1134</v>
      </c>
      <c r="K77" s="73" t="inlineStr">
        <is>
          <t>Adrienne Messina, Nicholas Messina</t>
        </is>
      </c>
      <c r="L77" s="82" t="n">
        <v>3475</v>
      </c>
      <c r="M77" s="82">
        <f>Y77</f>
        <v/>
      </c>
      <c r="P77" s="83" t="n">
        <v>46173</v>
      </c>
      <c r="R77" s="82" t="n">
        <v>0</v>
      </c>
      <c r="S77" s="82">
        <f>AB77</f>
        <v/>
      </c>
      <c r="T77" s="82" t="n">
        <v>0</v>
      </c>
      <c r="Y77" s="82" t="n">
        <v>3475</v>
      </c>
    </row>
    <row r="78">
      <c r="A78" s="73">
        <f>$D$44</f>
        <v/>
      </c>
      <c r="B78" s="73">
        <f>B77+1</f>
        <v/>
      </c>
      <c r="C78" s="73">
        <f>IF(K78="Vacant","Vac",IF(K78="Model","Model",IF(K78="Admin","Admin",IF(K78="Down","Down",IF(K78="Super","Super","Occ")))))</f>
        <v/>
      </c>
      <c r="D78" s="73">
        <f>INDEX($C$5:$C$31,MATCH(I78,$D$5:$D$31,0))</f>
        <v/>
      </c>
      <c r="E78" s="73">
        <f>INDEX($E$5:$E$31,MATCH(D78,$C$5:$C$31,0))</f>
        <v/>
      </c>
      <c r="F78" s="73">
        <f>INDEX($F$5:$F$31,MATCH(D78,$C$5:$C$31,0))</f>
        <v/>
      </c>
      <c r="G78" s="73">
        <f>INDEX($G$5:$G$31,MATCH(D78,$C$5:$C$31,0))</f>
        <v/>
      </c>
      <c r="H78" s="73" t="inlineStr">
        <is>
          <t>556-309</t>
        </is>
      </c>
      <c r="I78" s="73" t="inlineStr">
        <is>
          <t>K-2</t>
        </is>
      </c>
      <c r="J78" s="81" t="n">
        <v>1134</v>
      </c>
      <c r="K78" s="73" t="inlineStr">
        <is>
          <t>Jane Barovick</t>
        </is>
      </c>
      <c r="L78" s="82" t="n">
        <v>3569</v>
      </c>
      <c r="M78" s="82">
        <f>Y78</f>
        <v/>
      </c>
      <c r="P78" s="83" t="n">
        <v>46173</v>
      </c>
      <c r="R78" s="82" t="n">
        <v>0</v>
      </c>
      <c r="S78" s="82">
        <f>AB78</f>
        <v/>
      </c>
      <c r="T78" s="82" t="n">
        <v>0</v>
      </c>
      <c r="Y78" s="82" t="n">
        <v>3569</v>
      </c>
    </row>
    <row r="79">
      <c r="A79" s="73">
        <f>$D$44</f>
        <v/>
      </c>
      <c r="B79" s="73">
        <f>B78+1</f>
        <v/>
      </c>
      <c r="C79" s="73">
        <f>IF(K79="Vacant","Vac",IF(K79="Model","Model",IF(K79="Admin","Admin",IF(K79="Down","Down",IF(K79="Super","Super","Occ")))))</f>
        <v/>
      </c>
      <c r="D79" s="73">
        <f>INDEX($C$5:$C$31,MATCH(I79,$D$5:$D$31,0))</f>
        <v/>
      </c>
      <c r="E79" s="73">
        <f>INDEX($E$5:$E$31,MATCH(D79,$C$5:$C$31,0))</f>
        <v/>
      </c>
      <c r="F79" s="73">
        <f>INDEX($F$5:$F$31,MATCH(D79,$C$5:$C$31,0))</f>
        <v/>
      </c>
      <c r="G79" s="73">
        <f>INDEX($G$5:$G$31,MATCH(D79,$C$5:$C$31,0))</f>
        <v/>
      </c>
      <c r="H79" s="73" t="inlineStr">
        <is>
          <t>556-310</t>
        </is>
      </c>
      <c r="I79" s="73" t="inlineStr">
        <is>
          <t>E-2</t>
        </is>
      </c>
      <c r="J79" s="81" t="n">
        <v>1146</v>
      </c>
      <c r="K79" s="73" t="inlineStr">
        <is>
          <t>John Rosica</t>
        </is>
      </c>
      <c r="L79" s="82" t="n">
        <v>3533</v>
      </c>
      <c r="M79" s="82">
        <f>Y79</f>
        <v/>
      </c>
      <c r="P79" s="83" t="n">
        <v>46418</v>
      </c>
      <c r="R79" s="82" t="n">
        <v>0</v>
      </c>
      <c r="S79" s="82">
        <f>AB79</f>
        <v/>
      </c>
      <c r="T79" s="82" t="n">
        <v>0</v>
      </c>
      <c r="Y79" s="82" t="n">
        <v>3533</v>
      </c>
    </row>
    <row r="80">
      <c r="A80" s="73">
        <f>$D$44</f>
        <v/>
      </c>
      <c r="B80" s="73">
        <f>B79+1</f>
        <v/>
      </c>
      <c r="C80" s="73">
        <f>IF(K80="Vacant","Vac",IF(K80="Model","Model",IF(K80="Admin","Admin",IF(K80="Down","Down",IF(K80="Super","Super","Occ")))))</f>
        <v/>
      </c>
      <c r="D80" s="73">
        <f>INDEX($C$5:$C$31,MATCH(I80,$D$5:$D$31,0))</f>
        <v/>
      </c>
      <c r="E80" s="73">
        <f>INDEX($E$5:$E$31,MATCH(D80,$C$5:$C$31,0))</f>
        <v/>
      </c>
      <c r="F80" s="73">
        <f>INDEX($F$5:$F$31,MATCH(D80,$C$5:$C$31,0))</f>
        <v/>
      </c>
      <c r="G80" s="73">
        <f>INDEX($G$5:$G$31,MATCH(D80,$C$5:$C$31,0))</f>
        <v/>
      </c>
      <c r="H80" s="73" t="inlineStr">
        <is>
          <t>556-311</t>
        </is>
      </c>
      <c r="I80" s="73" t="inlineStr">
        <is>
          <t>F-2</t>
        </is>
      </c>
      <c r="J80" s="81" t="n">
        <v>1141</v>
      </c>
      <c r="K80" s="73" t="inlineStr">
        <is>
          <t>Clarie Regen</t>
        </is>
      </c>
      <c r="L80" s="82" t="n">
        <v>3450</v>
      </c>
      <c r="M80" s="82">
        <f>Y80</f>
        <v/>
      </c>
      <c r="P80" s="83" t="n">
        <v>46234</v>
      </c>
      <c r="R80" s="82" t="n">
        <v>0</v>
      </c>
      <c r="S80" s="82">
        <f>AB80</f>
        <v/>
      </c>
      <c r="T80" s="82" t="n">
        <v>0</v>
      </c>
      <c r="Y80" s="82" t="n">
        <v>3450</v>
      </c>
    </row>
    <row r="81">
      <c r="A81" s="73">
        <f>$D$44</f>
        <v/>
      </c>
      <c r="B81" s="73">
        <f>B80+1</f>
        <v/>
      </c>
      <c r="C81" s="73">
        <f>IF(K81="Vacant","Vac",IF(K81="Model","Model",IF(K81="Admin","Admin",IF(K81="Down","Down",IF(K81="Super","Super","Occ")))))</f>
        <v/>
      </c>
      <c r="D81" s="73">
        <f>INDEX($C$5:$C$31,MATCH(I81,$D$5:$D$31,0))</f>
        <v/>
      </c>
      <c r="E81" s="73">
        <f>INDEX($E$5:$E$31,MATCH(D81,$C$5:$C$31,0))</f>
        <v/>
      </c>
      <c r="F81" s="73">
        <f>INDEX($F$5:$F$31,MATCH(D81,$C$5:$C$31,0))</f>
        <v/>
      </c>
      <c r="G81" s="73">
        <f>INDEX($G$5:$G$31,MATCH(D81,$C$5:$C$31,0))</f>
        <v/>
      </c>
      <c r="H81" s="73" t="inlineStr">
        <is>
          <t>556-312</t>
        </is>
      </c>
      <c r="I81" s="73" t="inlineStr">
        <is>
          <t>E-2</t>
        </is>
      </c>
      <c r="J81" s="81" t="n">
        <v>1146</v>
      </c>
      <c r="K81" s="73" t="inlineStr">
        <is>
          <t>Michael Liszczynsky</t>
        </is>
      </c>
      <c r="L81" s="82" t="n">
        <v>3738</v>
      </c>
      <c r="M81" s="82">
        <f>Y81</f>
        <v/>
      </c>
      <c r="P81" s="83" t="n">
        <v>46660</v>
      </c>
      <c r="R81" s="82" t="n">
        <v>0</v>
      </c>
      <c r="S81" s="82">
        <f>AB81</f>
        <v/>
      </c>
      <c r="T81" s="82" t="n">
        <v>0</v>
      </c>
      <c r="Y81" s="82" t="n">
        <v>3738</v>
      </c>
    </row>
    <row r="82">
      <c r="A82" s="73">
        <f>$D$44</f>
        <v/>
      </c>
      <c r="B82" s="73">
        <f>B81+1</f>
        <v/>
      </c>
      <c r="C82" s="73">
        <f>IF(K82="Vacant","Vac",IF(K82="Model","Model",IF(K82="Admin","Admin",IF(K82="Down","Down",IF(K82="Super","Super","Occ")))))</f>
        <v/>
      </c>
      <c r="D82" s="73">
        <f>INDEX($C$5:$C$31,MATCH(I82,$D$5:$D$31,0))</f>
        <v/>
      </c>
      <c r="E82" s="73">
        <f>INDEX($E$5:$E$31,MATCH(D82,$C$5:$C$31,0))</f>
        <v/>
      </c>
      <c r="F82" s="73">
        <f>INDEX($F$5:$F$31,MATCH(D82,$C$5:$C$31,0))</f>
        <v/>
      </c>
      <c r="G82" s="73">
        <f>INDEX($G$5:$G$31,MATCH(D82,$C$5:$C$31,0))</f>
        <v/>
      </c>
      <c r="H82" s="73" t="inlineStr">
        <is>
          <t>556-313</t>
        </is>
      </c>
      <c r="I82" s="73" t="inlineStr">
        <is>
          <t>H-2D</t>
        </is>
      </c>
      <c r="J82" s="81" t="n">
        <v>1371</v>
      </c>
      <c r="K82" s="73" t="inlineStr">
        <is>
          <t>Michael Rosenberg</t>
        </is>
      </c>
      <c r="L82" s="82" t="n">
        <v>4238</v>
      </c>
      <c r="M82" s="82">
        <f>Y82</f>
        <v/>
      </c>
      <c r="P82" s="83" t="n">
        <v>46387</v>
      </c>
      <c r="R82" s="82" t="n">
        <v>0</v>
      </c>
      <c r="S82" s="82">
        <f>AB82</f>
        <v/>
      </c>
      <c r="T82" s="82" t="n">
        <v>0</v>
      </c>
      <c r="Y82" s="82" t="n">
        <v>4238</v>
      </c>
    </row>
    <row r="83">
      <c r="A83" s="73">
        <f>$D$44</f>
        <v/>
      </c>
      <c r="B83" s="73">
        <f>B82+1</f>
        <v/>
      </c>
      <c r="C83" s="73">
        <f>IF(K83="Vacant","Vac",IF(K83="Model","Model",IF(K83="Admin","Admin",IF(K83="Down","Down",IF(K83="Super","Super","Occ")))))</f>
        <v/>
      </c>
      <c r="D83" s="73">
        <f>INDEX($C$5:$C$31,MATCH(I83,$D$5:$D$31,0))</f>
        <v/>
      </c>
      <c r="E83" s="73">
        <f>INDEX($E$5:$E$31,MATCH(D83,$C$5:$C$31,0))</f>
        <v/>
      </c>
      <c r="F83" s="73">
        <f>INDEX($F$5:$F$31,MATCH(D83,$C$5:$C$31,0))</f>
        <v/>
      </c>
      <c r="G83" s="73">
        <f>INDEX($G$5:$G$31,MATCH(D83,$C$5:$C$31,0))</f>
        <v/>
      </c>
      <c r="H83" s="73" t="inlineStr">
        <is>
          <t>556-314</t>
        </is>
      </c>
      <c r="I83" s="73" t="inlineStr">
        <is>
          <t>G-2D</t>
        </is>
      </c>
      <c r="J83" s="81" t="n">
        <v>1434</v>
      </c>
      <c r="K83" s="73" t="inlineStr">
        <is>
          <t>Leonard Birkhahn, Iris Birkhahn</t>
        </is>
      </c>
      <c r="L83" s="82" t="n">
        <v>3900</v>
      </c>
      <c r="M83" s="82">
        <f>Y83</f>
        <v/>
      </c>
      <c r="P83" s="83" t="n">
        <v>46446</v>
      </c>
      <c r="R83" s="82" t="n">
        <v>0</v>
      </c>
      <c r="S83" s="82">
        <f>AB83</f>
        <v/>
      </c>
      <c r="T83" s="82" t="n">
        <v>0</v>
      </c>
      <c r="Y83" s="82" t="n">
        <v>3900</v>
      </c>
    </row>
    <row r="84">
      <c r="A84" s="73">
        <f>$D$44</f>
        <v/>
      </c>
      <c r="B84" s="73">
        <f>B83+1</f>
        <v/>
      </c>
      <c r="C84" s="73">
        <f>IF(K84="Vacant","Vac",IF(K84="Model","Model",IF(K84="Admin","Admin",IF(K84="Down","Down",IF(K84="Super","Super","Occ")))))</f>
        <v/>
      </c>
      <c r="D84" s="73">
        <f>INDEX($C$5:$C$31,MATCH(I84,$D$5:$D$31,0))</f>
        <v/>
      </c>
      <c r="E84" s="73">
        <f>INDEX($E$5:$E$31,MATCH(D84,$C$5:$C$31,0))</f>
        <v/>
      </c>
      <c r="F84" s="73">
        <f>INDEX($F$5:$F$31,MATCH(D84,$C$5:$C$31,0))</f>
        <v/>
      </c>
      <c r="G84" s="73">
        <f>INDEX($G$5:$G$31,MATCH(D84,$C$5:$C$31,0))</f>
        <v/>
      </c>
      <c r="H84" s="73" t="inlineStr">
        <is>
          <t>556-315</t>
        </is>
      </c>
      <c r="I84" s="73" t="inlineStr">
        <is>
          <t>F-2</t>
        </is>
      </c>
      <c r="J84" s="81" t="n">
        <v>1141</v>
      </c>
      <c r="K84" s="73" t="inlineStr">
        <is>
          <t>Geraldine Caldiero</t>
        </is>
      </c>
      <c r="L84" s="82" t="n">
        <v>3532</v>
      </c>
      <c r="M84" s="82">
        <f>Y84</f>
        <v/>
      </c>
      <c r="P84" s="83" t="n">
        <v>46418</v>
      </c>
      <c r="R84" s="82" t="n">
        <v>0</v>
      </c>
      <c r="S84" s="82">
        <f>AB84</f>
        <v/>
      </c>
      <c r="T84" s="82" t="n">
        <v>0</v>
      </c>
      <c r="Y84" s="82" t="n">
        <v>3532</v>
      </c>
    </row>
    <row r="85">
      <c r="A85" s="73">
        <f>$D$44</f>
        <v/>
      </c>
      <c r="B85" s="73">
        <f>B84+1</f>
        <v/>
      </c>
      <c r="C85" s="73">
        <f>IF(K85="Vacant","Vac",IF(K85="Model","Model",IF(K85="Admin","Admin",IF(K85="Down","Down",IF(K85="Super","Super","Occ")))))</f>
        <v/>
      </c>
      <c r="D85" s="73">
        <f>INDEX($C$5:$C$31,MATCH(I85,$D$5:$D$31,0))</f>
        <v/>
      </c>
      <c r="E85" s="73">
        <f>INDEX($E$5:$E$31,MATCH(D85,$C$5:$C$31,0))</f>
        <v/>
      </c>
      <c r="F85" s="73">
        <f>INDEX($F$5:$F$31,MATCH(D85,$C$5:$C$31,0))</f>
        <v/>
      </c>
      <c r="G85" s="73">
        <f>INDEX($G$5:$G$31,MATCH(D85,$C$5:$C$31,0))</f>
        <v/>
      </c>
      <c r="H85" s="73" t="inlineStr">
        <is>
          <t>556-316</t>
        </is>
      </c>
      <c r="I85" s="73" t="inlineStr">
        <is>
          <t>B-1D</t>
        </is>
      </c>
      <c r="J85" s="81" t="n">
        <v>980</v>
      </c>
      <c r="K85" s="73" t="inlineStr">
        <is>
          <t>Cecilia Turula</t>
        </is>
      </c>
      <c r="L85" s="82" t="n">
        <v>2872</v>
      </c>
      <c r="M85" s="82">
        <f>Y85</f>
        <v/>
      </c>
      <c r="P85" s="83" t="n">
        <v>46356</v>
      </c>
      <c r="R85" s="82" t="n">
        <v>0</v>
      </c>
      <c r="S85" s="82">
        <f>AB85</f>
        <v/>
      </c>
      <c r="T85" s="82" t="n">
        <v>0</v>
      </c>
      <c r="Y85" s="82" t="n">
        <v>2872</v>
      </c>
    </row>
    <row r="86">
      <c r="A86" s="73">
        <f>$D$44</f>
        <v/>
      </c>
      <c r="B86" s="73">
        <f>B85+1</f>
        <v/>
      </c>
      <c r="C86" s="73">
        <f>IF(K86="Vacant","Vac",IF(K86="Model","Model",IF(K86="Admin","Admin",IF(K86="Down","Down",IF(K86="Super","Super","Occ")))))</f>
        <v/>
      </c>
      <c r="D86" s="73">
        <f>INDEX($C$5:$C$31,MATCH(I86,$D$5:$D$31,0))</f>
        <v/>
      </c>
      <c r="E86" s="73">
        <f>INDEX($E$5:$E$31,MATCH(D86,$C$5:$C$31,0))</f>
        <v/>
      </c>
      <c r="F86" s="73">
        <f>INDEX($F$5:$F$31,MATCH(D86,$C$5:$C$31,0))</f>
        <v/>
      </c>
      <c r="G86" s="73">
        <f>INDEX($G$5:$G$31,MATCH(D86,$C$5:$C$31,0))</f>
        <v/>
      </c>
      <c r="H86" s="73" t="inlineStr">
        <is>
          <t>556-317</t>
        </is>
      </c>
      <c r="I86" s="73" t="inlineStr">
        <is>
          <t>K-2</t>
        </is>
      </c>
      <c r="J86" s="81" t="n">
        <v>1134</v>
      </c>
      <c r="K86" s="73" t="inlineStr">
        <is>
          <t>Lois Bodner</t>
        </is>
      </c>
      <c r="L86" s="82" t="n">
        <v>3533</v>
      </c>
      <c r="M86" s="82">
        <f>Y86</f>
        <v/>
      </c>
      <c r="P86" s="83" t="n">
        <v>46660</v>
      </c>
      <c r="R86" s="82" t="n">
        <v>0</v>
      </c>
      <c r="S86" s="82">
        <f>AB86</f>
        <v/>
      </c>
      <c r="T86" s="82" t="n">
        <v>0</v>
      </c>
      <c r="Y86" s="82" t="n">
        <v>3533</v>
      </c>
    </row>
    <row r="87">
      <c r="A87" s="73">
        <f>$D$44</f>
        <v/>
      </c>
      <c r="B87" s="73">
        <f>B86+1</f>
        <v/>
      </c>
      <c r="C87" s="73">
        <f>IF(K87="Vacant","Vac",IF(K87="Model","Model",IF(K87="Admin","Admin",IF(K87="Down","Down",IF(K87="Super","Super","Occ")))))</f>
        <v/>
      </c>
      <c r="D87" s="73">
        <f>INDEX($C$5:$C$31,MATCH(I87,$D$5:$D$31,0))</f>
        <v/>
      </c>
      <c r="E87" s="73">
        <f>INDEX($E$5:$E$31,MATCH(D87,$C$5:$C$31,0))</f>
        <v/>
      </c>
      <c r="F87" s="73">
        <f>INDEX($F$5:$F$31,MATCH(D87,$C$5:$C$31,0))</f>
        <v/>
      </c>
      <c r="G87" s="73">
        <f>INDEX($G$5:$G$31,MATCH(D87,$C$5:$C$31,0))</f>
        <v/>
      </c>
      <c r="H87" s="73" t="inlineStr">
        <is>
          <t>556-318</t>
        </is>
      </c>
      <c r="I87" s="73" t="inlineStr">
        <is>
          <t>K-2</t>
        </is>
      </c>
      <c r="J87" s="81" t="n">
        <v>1134</v>
      </c>
      <c r="K87" s="73" t="inlineStr">
        <is>
          <t>Angelo Ingrassia</t>
        </is>
      </c>
      <c r="L87" s="82" t="n">
        <v>3458</v>
      </c>
      <c r="M87" s="82">
        <f>Y87</f>
        <v/>
      </c>
      <c r="P87" s="83" t="n">
        <v>46356</v>
      </c>
      <c r="R87" s="82" t="n">
        <v>0</v>
      </c>
      <c r="S87" s="82">
        <f>AB87</f>
        <v/>
      </c>
      <c r="T87" s="82" t="n">
        <v>0</v>
      </c>
      <c r="Y87" s="82" t="n">
        <v>3458</v>
      </c>
    </row>
    <row r="88">
      <c r="A88" s="73">
        <f>$D$44</f>
        <v/>
      </c>
      <c r="B88" s="73">
        <f>B87+1</f>
        <v/>
      </c>
      <c r="C88" s="73">
        <f>IF(K88="Vacant","Vac",IF(K88="Model","Model",IF(K88="Admin","Admin",IF(K88="Down","Down",IF(K88="Super","Super","Occ")))))</f>
        <v/>
      </c>
      <c r="D88" s="73">
        <f>INDEX($C$5:$C$31,MATCH(I88,$D$5:$D$31,0))</f>
        <v/>
      </c>
      <c r="E88" s="73">
        <f>INDEX($E$5:$E$31,MATCH(D88,$C$5:$C$31,0))</f>
        <v/>
      </c>
      <c r="F88" s="73">
        <f>INDEX($F$5:$F$31,MATCH(D88,$C$5:$C$31,0))</f>
        <v/>
      </c>
      <c r="G88" s="73">
        <f>INDEX($G$5:$G$31,MATCH(D88,$C$5:$C$31,0))</f>
        <v/>
      </c>
      <c r="H88" s="73" t="inlineStr">
        <is>
          <t>556-319</t>
        </is>
      </c>
      <c r="I88" s="73" t="inlineStr">
        <is>
          <t>E-2</t>
        </is>
      </c>
      <c r="J88" s="81" t="n">
        <v>1146</v>
      </c>
      <c r="K88" s="73" t="inlineStr">
        <is>
          <t>Francis DeBlock</t>
        </is>
      </c>
      <c r="L88" s="82" t="n">
        <v>3482</v>
      </c>
      <c r="M88" s="82">
        <f>Y88</f>
        <v/>
      </c>
      <c r="P88" s="83" t="n">
        <v>46173</v>
      </c>
      <c r="R88" s="82" t="n">
        <v>0</v>
      </c>
      <c r="S88" s="82">
        <f>AB88</f>
        <v/>
      </c>
      <c r="T88" s="82" t="n">
        <v>0</v>
      </c>
      <c r="Y88" s="82" t="n">
        <v>3482</v>
      </c>
    </row>
    <row r="89">
      <c r="A89" s="73">
        <f>$D$44</f>
        <v/>
      </c>
      <c r="B89" s="73">
        <f>B88+1</f>
        <v/>
      </c>
      <c r="C89" s="73">
        <f>IF(K89="Vacant","Vac",IF(K89="Model","Model",IF(K89="Admin","Admin",IF(K89="Down","Down",IF(K89="Super","Super","Occ")))))</f>
        <v/>
      </c>
      <c r="D89" s="73">
        <f>INDEX($C$5:$C$31,MATCH(I89,$D$5:$D$31,0))</f>
        <v/>
      </c>
      <c r="E89" s="73">
        <f>INDEX($E$5:$E$31,MATCH(D89,$C$5:$C$31,0))</f>
        <v/>
      </c>
      <c r="F89" s="73">
        <f>INDEX($F$5:$F$31,MATCH(D89,$C$5:$C$31,0))</f>
        <v/>
      </c>
      <c r="G89" s="73">
        <f>INDEX($G$5:$G$31,MATCH(D89,$C$5:$C$31,0))</f>
        <v/>
      </c>
      <c r="H89" s="73" t="inlineStr">
        <is>
          <t>556-320</t>
        </is>
      </c>
      <c r="I89" s="73" t="inlineStr">
        <is>
          <t>A-1</t>
        </is>
      </c>
      <c r="J89" s="81" t="n">
        <v>845</v>
      </c>
      <c r="K89" s="73" t="inlineStr">
        <is>
          <t>George Schluger</t>
        </is>
      </c>
      <c r="L89" s="82" t="n">
        <v>2914</v>
      </c>
      <c r="M89" s="82">
        <f>Y89</f>
        <v/>
      </c>
      <c r="P89" s="83" t="n">
        <v>46599</v>
      </c>
      <c r="R89" s="82" t="n">
        <v>0</v>
      </c>
      <c r="S89" s="82">
        <f>AB89</f>
        <v/>
      </c>
      <c r="T89" s="82" t="n">
        <v>0</v>
      </c>
      <c r="Y89" s="82" t="n">
        <v>2914</v>
      </c>
    </row>
    <row r="90">
      <c r="A90" s="73">
        <f>$D$44</f>
        <v/>
      </c>
      <c r="B90" s="73">
        <f>B89+1</f>
        <v/>
      </c>
      <c r="C90" s="73">
        <f>IF(K90="Vacant","Vac",IF(K90="Model","Model",IF(K90="Admin","Admin",IF(K90="Down","Down",IF(K90="Super","Super","Occ")))))</f>
        <v/>
      </c>
      <c r="D90" s="73">
        <f>INDEX($C$5:$C$31,MATCH(I90,$D$5:$D$31,0))</f>
        <v/>
      </c>
      <c r="E90" s="73">
        <f>INDEX($E$5:$E$31,MATCH(D90,$C$5:$C$31,0))</f>
        <v/>
      </c>
      <c r="F90" s="73">
        <f>INDEX($F$5:$F$31,MATCH(D90,$C$5:$C$31,0))</f>
        <v/>
      </c>
      <c r="G90" s="73">
        <f>INDEX($G$5:$G$31,MATCH(D90,$C$5:$C$31,0))</f>
        <v/>
      </c>
      <c r="H90" s="73" t="inlineStr">
        <is>
          <t>556-321</t>
        </is>
      </c>
      <c r="I90" s="73" t="inlineStr">
        <is>
          <t>A-1</t>
        </is>
      </c>
      <c r="J90" s="81" t="n">
        <v>845</v>
      </c>
      <c r="K90" s="73" t="inlineStr">
        <is>
          <t>Takuma Oda</t>
        </is>
      </c>
      <c r="L90" s="82" t="n">
        <v>2848</v>
      </c>
      <c r="M90" s="82">
        <f>Y90</f>
        <v/>
      </c>
      <c r="P90" s="83" t="n">
        <v>46477</v>
      </c>
      <c r="R90" s="82" t="n">
        <v>0</v>
      </c>
      <c r="S90" s="82">
        <f>AB90</f>
        <v/>
      </c>
      <c r="T90" s="82" t="n">
        <v>0</v>
      </c>
      <c r="Y90" s="82" t="n">
        <v>2848</v>
      </c>
    </row>
    <row r="91">
      <c r="A91" s="73">
        <f>$D$44</f>
        <v/>
      </c>
      <c r="B91" s="73">
        <f>B90+1</f>
        <v/>
      </c>
      <c r="C91" s="73">
        <f>IF(K91="Vacant","Vac",IF(K91="Model","Model",IF(K91="Admin","Admin",IF(K91="Down","Down",IF(K91="Super","Super","Occ")))))</f>
        <v/>
      </c>
      <c r="D91" s="73">
        <f>INDEX($C$5:$C$31,MATCH(I91,$D$5:$D$31,0))</f>
        <v/>
      </c>
      <c r="E91" s="73">
        <f>INDEX($E$5:$E$31,MATCH(D91,$C$5:$C$31,0))</f>
        <v/>
      </c>
      <c r="F91" s="73">
        <f>INDEX($F$5:$F$31,MATCH(D91,$C$5:$C$31,0))</f>
        <v/>
      </c>
      <c r="G91" s="73">
        <f>INDEX($G$5:$G$31,MATCH(D91,$C$5:$C$31,0))</f>
        <v/>
      </c>
      <c r="H91" s="73" t="inlineStr">
        <is>
          <t>556-322</t>
        </is>
      </c>
      <c r="I91" s="73" t="inlineStr">
        <is>
          <t>A-1</t>
        </is>
      </c>
      <c r="J91" s="81" t="n">
        <v>845</v>
      </c>
      <c r="K91" s="73" t="inlineStr">
        <is>
          <t>Mark Abidargham, Sally Khalil</t>
        </is>
      </c>
      <c r="L91" s="82" t="n">
        <v>2823</v>
      </c>
      <c r="M91" s="82">
        <f>Y91</f>
        <v/>
      </c>
      <c r="P91" s="83" t="n">
        <v>46234</v>
      </c>
      <c r="R91" s="82" t="n">
        <v>0</v>
      </c>
      <c r="S91" s="82">
        <f>AB91</f>
        <v/>
      </c>
      <c r="T91" s="82" t="n">
        <v>0</v>
      </c>
      <c r="Y91" s="82" t="n">
        <v>2823</v>
      </c>
    </row>
    <row r="92">
      <c r="A92" s="73">
        <f>$D$44</f>
        <v/>
      </c>
      <c r="B92" s="73">
        <f>B91+1</f>
        <v/>
      </c>
      <c r="C92" s="73">
        <f>IF(K92="Vacant","Vac",IF(K92="Model","Model",IF(K92="Admin","Admin",IF(K92="Down","Down",IF(K92="Super","Super","Occ")))))</f>
        <v/>
      </c>
      <c r="D92" s="73">
        <f>INDEX($C$5:$C$31,MATCH(I92,$D$5:$D$31,0))</f>
        <v/>
      </c>
      <c r="E92" s="73">
        <f>INDEX($E$5:$E$31,MATCH(D92,$C$5:$C$31,0))</f>
        <v/>
      </c>
      <c r="F92" s="73">
        <f>INDEX($F$5:$F$31,MATCH(D92,$C$5:$C$31,0))</f>
        <v/>
      </c>
      <c r="G92" s="73">
        <f>INDEX($G$5:$G$31,MATCH(D92,$C$5:$C$31,0))</f>
        <v/>
      </c>
      <c r="H92" s="73" t="inlineStr">
        <is>
          <t>556-401</t>
        </is>
      </c>
      <c r="I92" s="73" t="inlineStr">
        <is>
          <t>A-1</t>
        </is>
      </c>
      <c r="J92" s="81" t="n">
        <v>845</v>
      </c>
      <c r="K92" s="73" t="inlineStr">
        <is>
          <t>Dana Stamler</t>
        </is>
      </c>
      <c r="L92" s="82" t="n">
        <v>2800</v>
      </c>
      <c r="M92" s="82">
        <f>Y92</f>
        <v/>
      </c>
      <c r="P92" s="83" t="n">
        <v>46142</v>
      </c>
      <c r="R92" s="82" t="n">
        <v>0</v>
      </c>
      <c r="S92" s="82">
        <f>AB92</f>
        <v/>
      </c>
      <c r="T92" s="82" t="n">
        <v>0</v>
      </c>
      <c r="Y92" s="82" t="n">
        <v>2800</v>
      </c>
    </row>
    <row r="93">
      <c r="A93" s="73">
        <f>$D$44</f>
        <v/>
      </c>
      <c r="B93" s="73">
        <f>B92+1</f>
        <v/>
      </c>
      <c r="C93" s="73">
        <f>IF(K93="Vacant","Vac",IF(K93="Model","Model",IF(K93="Admin","Admin",IF(K93="Down","Down",IF(K93="Super","Super","Occ")))))</f>
        <v/>
      </c>
      <c r="D93" s="73">
        <f>INDEX($C$5:$C$31,MATCH(I93,$D$5:$D$31,0))</f>
        <v/>
      </c>
      <c r="E93" s="73">
        <f>INDEX($E$5:$E$31,MATCH(D93,$C$5:$C$31,0))</f>
        <v/>
      </c>
      <c r="F93" s="73">
        <f>INDEX($F$5:$F$31,MATCH(D93,$C$5:$C$31,0))</f>
        <v/>
      </c>
      <c r="G93" s="73">
        <f>INDEX($G$5:$G$31,MATCH(D93,$C$5:$C$31,0))</f>
        <v/>
      </c>
      <c r="H93" s="73" t="inlineStr">
        <is>
          <t>556-402</t>
        </is>
      </c>
      <c r="I93" s="73" t="inlineStr">
        <is>
          <t>J-2</t>
        </is>
      </c>
      <c r="J93" s="81" t="n">
        <v>1209</v>
      </c>
      <c r="K93" s="73" t="inlineStr">
        <is>
          <t>Dina Messery, Craig Messery</t>
        </is>
      </c>
      <c r="L93" s="82" t="n">
        <v>3634</v>
      </c>
      <c r="M93" s="82">
        <f>Y93</f>
        <v/>
      </c>
      <c r="P93" s="83" t="n">
        <v>46203</v>
      </c>
      <c r="R93" s="82" t="n">
        <v>0</v>
      </c>
      <c r="S93" s="82">
        <f>AB93</f>
        <v/>
      </c>
      <c r="T93" s="82" t="n">
        <v>0</v>
      </c>
      <c r="Y93" s="82" t="n">
        <v>3634</v>
      </c>
    </row>
    <row r="94">
      <c r="A94" s="73">
        <f>$D$44</f>
        <v/>
      </c>
      <c r="B94" s="73">
        <f>B93+1</f>
        <v/>
      </c>
      <c r="C94" s="73">
        <f>IF(K94="Vacant","Vac",IF(K94="Model","Model",IF(K94="Admin","Admin",IF(K94="Down","Down",IF(K94="Super","Super","Occ")))))</f>
        <v/>
      </c>
      <c r="D94" s="73">
        <f>INDEX($C$5:$C$31,MATCH(I94,$D$5:$D$31,0))</f>
        <v/>
      </c>
      <c r="E94" s="73">
        <f>INDEX($E$5:$E$31,MATCH(D94,$C$5:$C$31,0))</f>
        <v/>
      </c>
      <c r="F94" s="73">
        <f>INDEX($F$5:$F$31,MATCH(D94,$C$5:$C$31,0))</f>
        <v/>
      </c>
      <c r="G94" s="73">
        <f>INDEX($G$5:$G$31,MATCH(D94,$C$5:$C$31,0))</f>
        <v/>
      </c>
      <c r="H94" s="73" t="inlineStr">
        <is>
          <t>556-403</t>
        </is>
      </c>
      <c r="I94" s="73" t="inlineStr">
        <is>
          <t>E-2</t>
        </is>
      </c>
      <c r="J94" s="81" t="n">
        <v>1146</v>
      </c>
      <c r="K94" s="73" t="inlineStr">
        <is>
          <t>Matthew Brizzi, Sara Brizzi</t>
        </is>
      </c>
      <c r="L94" s="82" t="n">
        <v>3610</v>
      </c>
      <c r="M94" s="82">
        <f>Y94</f>
        <v/>
      </c>
      <c r="P94" s="83" t="n">
        <v>46326</v>
      </c>
      <c r="R94" s="82" t="n">
        <v>0</v>
      </c>
      <c r="S94" s="82">
        <f>AB94</f>
        <v/>
      </c>
      <c r="T94" s="82" t="n">
        <v>0</v>
      </c>
      <c r="Y94" s="82" t="n">
        <v>3610</v>
      </c>
    </row>
    <row r="95">
      <c r="A95" s="73">
        <f>$D$44</f>
        <v/>
      </c>
      <c r="B95" s="73">
        <f>B94+1</f>
        <v/>
      </c>
      <c r="C95" s="73">
        <f>IF(K95="Vacant","Vac",IF(K95="Model","Model",IF(K95="Admin","Admin",IF(K95="Down","Down",IF(K95="Super","Super","Occ")))))</f>
        <v/>
      </c>
      <c r="D95" s="73">
        <f>INDEX($C$5:$C$31,MATCH(I95,$D$5:$D$31,0))</f>
        <v/>
      </c>
      <c r="E95" s="73">
        <f>INDEX($E$5:$E$31,MATCH(D95,$C$5:$C$31,0))</f>
        <v/>
      </c>
      <c r="F95" s="73">
        <f>INDEX($F$5:$F$31,MATCH(D95,$C$5:$C$31,0))</f>
        <v/>
      </c>
      <c r="G95" s="73">
        <f>INDEX($G$5:$G$31,MATCH(D95,$C$5:$C$31,0))</f>
        <v/>
      </c>
      <c r="H95" s="73" t="inlineStr">
        <is>
          <t>556-404</t>
        </is>
      </c>
      <c r="I95" s="73" t="inlineStr">
        <is>
          <t>E-2</t>
        </is>
      </c>
      <c r="J95" s="81" t="n">
        <v>1146</v>
      </c>
      <c r="K95" s="73" t="inlineStr">
        <is>
          <t>Donna Mancinelli</t>
        </is>
      </c>
      <c r="L95" s="82" t="n">
        <v>3597</v>
      </c>
      <c r="M95" s="82">
        <f>Y95</f>
        <v/>
      </c>
      <c r="P95" s="83" t="n">
        <v>46630</v>
      </c>
      <c r="R95" s="82" t="n">
        <v>0</v>
      </c>
      <c r="S95" s="82">
        <f>AB95</f>
        <v/>
      </c>
      <c r="T95" s="82" t="n">
        <v>0</v>
      </c>
      <c r="Y95" s="82" t="n">
        <v>3597</v>
      </c>
    </row>
    <row r="96">
      <c r="A96" s="73">
        <f>$D$44</f>
        <v/>
      </c>
      <c r="B96" s="73">
        <f>B95+1</f>
        <v/>
      </c>
      <c r="C96" s="73">
        <f>IF(K96="Vacant","Vac",IF(K96="Model","Model",IF(K96="Admin","Admin",IF(K96="Down","Down",IF(K96="Super","Super","Occ")))))</f>
        <v/>
      </c>
      <c r="D96" s="73">
        <f>INDEX($C$5:$C$31,MATCH(I96,$D$5:$D$31,0))</f>
        <v/>
      </c>
      <c r="E96" s="73">
        <f>INDEX($E$5:$E$31,MATCH(D96,$C$5:$C$31,0))</f>
        <v/>
      </c>
      <c r="F96" s="73">
        <f>INDEX($F$5:$F$31,MATCH(D96,$C$5:$C$31,0))</f>
        <v/>
      </c>
      <c r="G96" s="73">
        <f>INDEX($G$5:$G$31,MATCH(D96,$C$5:$C$31,0))</f>
        <v/>
      </c>
      <c r="H96" s="73" t="inlineStr">
        <is>
          <t>556-405</t>
        </is>
      </c>
      <c r="I96" s="73" t="inlineStr">
        <is>
          <t>F-2</t>
        </is>
      </c>
      <c r="J96" s="81" t="n">
        <v>1141</v>
      </c>
      <c r="K96" s="73" t="inlineStr">
        <is>
          <t>Dana Sopel</t>
        </is>
      </c>
      <c r="L96" s="82" t="n">
        <v>3629</v>
      </c>
      <c r="M96" s="82">
        <f>Y96</f>
        <v/>
      </c>
      <c r="P96" s="83" t="n">
        <v>46326</v>
      </c>
      <c r="R96" s="82" t="n">
        <v>0</v>
      </c>
      <c r="S96" s="82">
        <f>AB96</f>
        <v/>
      </c>
      <c r="T96" s="82" t="n">
        <v>0</v>
      </c>
      <c r="Y96" s="82" t="n">
        <v>3629</v>
      </c>
    </row>
    <row r="97">
      <c r="A97" s="73">
        <f>$D$44</f>
        <v/>
      </c>
      <c r="B97" s="73">
        <f>B96+1</f>
        <v/>
      </c>
      <c r="C97" s="73">
        <f>IF(K97="Vacant","Vac",IF(K97="Model","Model",IF(K97="Admin","Admin",IF(K97="Down","Down",IF(K97="Super","Super","Occ")))))</f>
        <v/>
      </c>
      <c r="D97" s="73">
        <f>INDEX($C$5:$C$31,MATCH(I97,$D$5:$D$31,0))</f>
        <v/>
      </c>
      <c r="E97" s="73">
        <f>INDEX($E$5:$E$31,MATCH(D97,$C$5:$C$31,0))</f>
        <v/>
      </c>
      <c r="F97" s="73">
        <f>INDEX($F$5:$F$31,MATCH(D97,$C$5:$C$31,0))</f>
        <v/>
      </c>
      <c r="G97" s="73">
        <f>INDEX($G$5:$G$31,MATCH(D97,$C$5:$C$31,0))</f>
        <v/>
      </c>
      <c r="H97" s="73" t="inlineStr">
        <is>
          <t>556-406</t>
        </is>
      </c>
      <c r="I97" s="73" t="inlineStr">
        <is>
          <t>E-2</t>
        </is>
      </c>
      <c r="J97" s="81" t="n">
        <v>1146</v>
      </c>
      <c r="K97" s="73" t="inlineStr">
        <is>
          <t>Hilda Jorge-Garcia, Fermin Garcia</t>
        </is>
      </c>
      <c r="L97" s="82" t="n">
        <v>3425</v>
      </c>
      <c r="M97" s="82">
        <f>Y97</f>
        <v/>
      </c>
      <c r="P97" s="83" t="n">
        <v>46234</v>
      </c>
      <c r="R97" s="82" t="n">
        <v>0</v>
      </c>
      <c r="S97" s="82">
        <f>AB97</f>
        <v/>
      </c>
      <c r="T97" s="82" t="n">
        <v>0</v>
      </c>
      <c r="Y97" s="82" t="n">
        <v>3425</v>
      </c>
    </row>
    <row r="98">
      <c r="A98" s="73">
        <f>$D$44</f>
        <v/>
      </c>
      <c r="B98" s="73">
        <f>B97+1</f>
        <v/>
      </c>
      <c r="C98" s="73">
        <f>IF(K98="Vacant","Vac",IF(K98="Model","Model",IF(K98="Admin","Admin",IF(K98="Down","Down",IF(K98="Super","Super","Occ")))))</f>
        <v/>
      </c>
      <c r="D98" s="73">
        <f>INDEX($C$5:$C$31,MATCH(I98,$D$5:$D$31,0))</f>
        <v/>
      </c>
      <c r="E98" s="73">
        <f>INDEX($E$5:$E$31,MATCH(D98,$C$5:$C$31,0))</f>
        <v/>
      </c>
      <c r="F98" s="73">
        <f>INDEX($F$5:$F$31,MATCH(D98,$C$5:$C$31,0))</f>
        <v/>
      </c>
      <c r="G98" s="73">
        <f>INDEX($G$5:$G$31,MATCH(D98,$C$5:$C$31,0))</f>
        <v/>
      </c>
      <c r="H98" s="73" t="inlineStr">
        <is>
          <t>556-407</t>
        </is>
      </c>
      <c r="I98" s="73" t="inlineStr">
        <is>
          <t>B-1D</t>
        </is>
      </c>
      <c r="J98" s="81" t="n">
        <v>980</v>
      </c>
      <c r="K98" s="73" t="inlineStr">
        <is>
          <t>Thomas Tashjian</t>
        </is>
      </c>
      <c r="L98" s="82" t="n">
        <v>2925</v>
      </c>
      <c r="M98" s="82">
        <f>Y98</f>
        <v/>
      </c>
      <c r="P98" s="83" t="n">
        <v>46173</v>
      </c>
      <c r="R98" s="82" t="n">
        <v>0</v>
      </c>
      <c r="S98" s="82">
        <f>AB98</f>
        <v/>
      </c>
      <c r="T98" s="82" t="n">
        <v>0</v>
      </c>
      <c r="Y98" s="82" t="n">
        <v>2925</v>
      </c>
    </row>
    <row r="99">
      <c r="A99" s="73">
        <f>$D$44</f>
        <v/>
      </c>
      <c r="B99" s="73">
        <f>B98+1</f>
        <v/>
      </c>
      <c r="C99" s="73">
        <f>IF(K99="Vacant","Vac",IF(K99="Model","Model",IF(K99="Admin","Admin",IF(K99="Down","Down",IF(K99="Super","Super","Occ")))))</f>
        <v/>
      </c>
      <c r="D99" s="73">
        <f>INDEX($C$5:$C$31,MATCH(I99,$D$5:$D$31,0))</f>
        <v/>
      </c>
      <c r="E99" s="73">
        <f>INDEX($E$5:$E$31,MATCH(D99,$C$5:$C$31,0))</f>
        <v/>
      </c>
      <c r="F99" s="73">
        <f>INDEX($F$5:$F$31,MATCH(D99,$C$5:$C$31,0))</f>
        <v/>
      </c>
      <c r="G99" s="73">
        <f>INDEX($G$5:$G$31,MATCH(D99,$C$5:$C$31,0))</f>
        <v/>
      </c>
      <c r="H99" s="73" t="inlineStr">
        <is>
          <t>556-408</t>
        </is>
      </c>
      <c r="I99" s="73" t="inlineStr">
        <is>
          <t>K-2</t>
        </is>
      </c>
      <c r="J99" s="81" t="n">
        <v>1134</v>
      </c>
      <c r="K99" s="73" t="inlineStr">
        <is>
          <t>Camille Samuel, Julyet Samuel, Patricia Samuel</t>
        </is>
      </c>
      <c r="L99" s="82" t="n">
        <v>3533</v>
      </c>
      <c r="M99" s="82">
        <f>Y99</f>
        <v/>
      </c>
      <c r="P99" s="83" t="n">
        <v>46356</v>
      </c>
      <c r="R99" s="82" t="n">
        <v>0</v>
      </c>
      <c r="S99" s="82">
        <f>AB99</f>
        <v/>
      </c>
      <c r="T99" s="82" t="n">
        <v>0</v>
      </c>
      <c r="Y99" s="82" t="n">
        <v>3533</v>
      </c>
    </row>
    <row r="100">
      <c r="A100" s="73">
        <f>$D$44</f>
        <v/>
      </c>
      <c r="B100" s="73">
        <f>B99+1</f>
        <v/>
      </c>
      <c r="C100" s="73">
        <f>IF(K100="Vacant","Vac",IF(K100="Model","Model",IF(K100="Admin","Admin",IF(K100="Down","Down",IF(K100="Super","Super","Occ")))))</f>
        <v/>
      </c>
      <c r="D100" s="73">
        <f>INDEX($C$5:$C$31,MATCH(I100,$D$5:$D$31,0))</f>
        <v/>
      </c>
      <c r="E100" s="73">
        <f>INDEX($E$5:$E$31,MATCH(D100,$C$5:$C$31,0))</f>
        <v/>
      </c>
      <c r="F100" s="73">
        <f>INDEX($F$5:$F$31,MATCH(D100,$C$5:$C$31,0))</f>
        <v/>
      </c>
      <c r="G100" s="73">
        <f>INDEX($G$5:$G$31,MATCH(D100,$C$5:$C$31,0))</f>
        <v/>
      </c>
      <c r="H100" s="73" t="inlineStr">
        <is>
          <t>556-409</t>
        </is>
      </c>
      <c r="I100" s="73" t="inlineStr">
        <is>
          <t>K-2</t>
        </is>
      </c>
      <c r="J100" s="81" t="n">
        <v>1134</v>
      </c>
      <c r="K100" s="73" t="inlineStr">
        <is>
          <t>Marissa Liza</t>
        </is>
      </c>
      <c r="L100" s="82" t="n">
        <v>3577</v>
      </c>
      <c r="M100" s="82">
        <f>Y100</f>
        <v/>
      </c>
      <c r="P100" s="83" t="n">
        <v>46142</v>
      </c>
      <c r="R100" s="82" t="n">
        <v>0</v>
      </c>
      <c r="S100" s="82">
        <f>AB100</f>
        <v/>
      </c>
      <c r="T100" s="82" t="n">
        <v>0</v>
      </c>
      <c r="Y100" s="82" t="n">
        <v>3577</v>
      </c>
    </row>
    <row r="101">
      <c r="A101" s="73">
        <f>$D$44</f>
        <v/>
      </c>
      <c r="B101" s="73">
        <f>B100+1</f>
        <v/>
      </c>
      <c r="C101" s="73">
        <f>IF(K101="Vacant","Vac",IF(K101="Model","Model",IF(K101="Admin","Admin",IF(K101="Down","Down",IF(K101="Super","Super","Occ")))))</f>
        <v/>
      </c>
      <c r="D101" s="73">
        <f>INDEX($C$5:$C$31,MATCH(I101,$D$5:$D$31,0))</f>
        <v/>
      </c>
      <c r="E101" s="73">
        <f>INDEX($E$5:$E$31,MATCH(D101,$C$5:$C$31,0))</f>
        <v/>
      </c>
      <c r="F101" s="73">
        <f>INDEX($F$5:$F$31,MATCH(D101,$C$5:$C$31,0))</f>
        <v/>
      </c>
      <c r="G101" s="73">
        <f>INDEX($G$5:$G$31,MATCH(D101,$C$5:$C$31,0))</f>
        <v/>
      </c>
      <c r="H101" s="73" t="inlineStr">
        <is>
          <t>556-410</t>
        </is>
      </c>
      <c r="I101" s="73" t="inlineStr">
        <is>
          <t>E-2</t>
        </is>
      </c>
      <c r="J101" s="81" t="n">
        <v>1146</v>
      </c>
      <c r="K101" s="73" t="inlineStr">
        <is>
          <t>Sally Kady, John Kady</t>
        </is>
      </c>
      <c r="L101" s="82" t="n">
        <v>3565</v>
      </c>
      <c r="M101" s="82">
        <f>Y101</f>
        <v/>
      </c>
      <c r="P101" s="83" t="n">
        <v>46295</v>
      </c>
      <c r="R101" s="82" t="n">
        <v>0</v>
      </c>
      <c r="S101" s="82">
        <f>AB101</f>
        <v/>
      </c>
      <c r="T101" s="82" t="n">
        <v>0</v>
      </c>
      <c r="Y101" s="82" t="n">
        <v>3565</v>
      </c>
    </row>
    <row r="102">
      <c r="A102" s="73">
        <f>$D$44</f>
        <v/>
      </c>
      <c r="B102" s="73">
        <f>B101+1</f>
        <v/>
      </c>
      <c r="C102" s="73">
        <f>IF(K102="Vacant","Vac",IF(K102="Model","Model",IF(K102="Admin","Admin",IF(K102="Down","Down",IF(K102="Super","Super","Occ")))))</f>
        <v/>
      </c>
      <c r="D102" s="73">
        <f>INDEX($C$5:$C$31,MATCH(I102,$D$5:$D$31,0))</f>
        <v/>
      </c>
      <c r="E102" s="73">
        <f>INDEX($E$5:$E$31,MATCH(D102,$C$5:$C$31,0))</f>
        <v/>
      </c>
      <c r="F102" s="73">
        <f>INDEX($F$5:$F$31,MATCH(D102,$C$5:$C$31,0))</f>
        <v/>
      </c>
      <c r="G102" s="73">
        <f>INDEX($G$5:$G$31,MATCH(D102,$C$5:$C$31,0))</f>
        <v/>
      </c>
      <c r="H102" s="73" t="inlineStr">
        <is>
          <t>556-411</t>
        </is>
      </c>
      <c r="I102" s="73" t="inlineStr">
        <is>
          <t>F-2</t>
        </is>
      </c>
      <c r="J102" s="81" t="n">
        <v>1141</v>
      </c>
      <c r="K102" s="73" t="inlineStr">
        <is>
          <t>Gail Marquard</t>
        </is>
      </c>
      <c r="L102" s="82" t="n">
        <v>3467</v>
      </c>
      <c r="M102" s="82">
        <f>Y102</f>
        <v/>
      </c>
      <c r="P102" s="83" t="n">
        <v>46691</v>
      </c>
      <c r="R102" s="82" t="n">
        <v>0</v>
      </c>
      <c r="S102" s="82">
        <f>AB102</f>
        <v/>
      </c>
      <c r="T102" s="82" t="n">
        <v>0</v>
      </c>
      <c r="Y102" s="82" t="n">
        <v>3467</v>
      </c>
    </row>
    <row r="103">
      <c r="A103" s="73">
        <f>$D$44</f>
        <v/>
      </c>
      <c r="B103" s="73">
        <f>B102+1</f>
        <v/>
      </c>
      <c r="C103" s="73">
        <f>IF(K103="Vacant","Vac",IF(K103="Model","Model",IF(K103="Admin","Admin",IF(K103="Down","Down",IF(K103="Super","Super","Occ")))))</f>
        <v/>
      </c>
      <c r="D103" s="73">
        <f>INDEX($C$5:$C$31,MATCH(I103,$D$5:$D$31,0))</f>
        <v/>
      </c>
      <c r="E103" s="73">
        <f>INDEX($E$5:$E$31,MATCH(D103,$C$5:$C$31,0))</f>
        <v/>
      </c>
      <c r="F103" s="73">
        <f>INDEX($F$5:$F$31,MATCH(D103,$C$5:$C$31,0))</f>
        <v/>
      </c>
      <c r="G103" s="73">
        <f>INDEX($G$5:$G$31,MATCH(D103,$C$5:$C$31,0))</f>
        <v/>
      </c>
      <c r="H103" s="73" t="inlineStr">
        <is>
          <t>556-412</t>
        </is>
      </c>
      <c r="I103" s="73" t="inlineStr">
        <is>
          <t>E-2</t>
        </is>
      </c>
      <c r="J103" s="81" t="n">
        <v>1146</v>
      </c>
      <c r="K103" s="73" t="inlineStr">
        <is>
          <t>Aga Montes, Vin Montes</t>
        </is>
      </c>
      <c r="L103" s="82" t="n">
        <v>3500</v>
      </c>
      <c r="M103" s="82">
        <f>Y103</f>
        <v/>
      </c>
      <c r="P103" s="83" t="n">
        <v>46295</v>
      </c>
      <c r="R103" s="82" t="n">
        <v>0</v>
      </c>
      <c r="S103" s="82">
        <f>AB103</f>
        <v/>
      </c>
      <c r="T103" s="82" t="n">
        <v>0</v>
      </c>
      <c r="Y103" s="82" t="n">
        <v>3500</v>
      </c>
    </row>
    <row r="104">
      <c r="A104" s="73">
        <f>$D$44</f>
        <v/>
      </c>
      <c r="B104" s="73">
        <f>B103+1</f>
        <v/>
      </c>
      <c r="C104" s="73">
        <f>IF(K104="Vacant","Vac",IF(K104="Model","Model",IF(K104="Admin","Admin",IF(K104="Down","Down",IF(K104="Super","Super","Occ")))))</f>
        <v/>
      </c>
      <c r="D104" s="73">
        <f>INDEX($C$5:$C$31,MATCH(I104,$D$5:$D$31,0))</f>
        <v/>
      </c>
      <c r="E104" s="73">
        <f>INDEX($E$5:$E$31,MATCH(D104,$C$5:$C$31,0))</f>
        <v/>
      </c>
      <c r="F104" s="73">
        <f>INDEX($F$5:$F$31,MATCH(D104,$C$5:$C$31,0))</f>
        <v/>
      </c>
      <c r="G104" s="73">
        <f>INDEX($G$5:$G$31,MATCH(D104,$C$5:$C$31,0))</f>
        <v/>
      </c>
      <c r="H104" s="73" t="inlineStr">
        <is>
          <t>556-413</t>
        </is>
      </c>
      <c r="I104" s="73" t="inlineStr">
        <is>
          <t>H1-2D</t>
        </is>
      </c>
      <c r="J104" s="81" t="n">
        <v>1505</v>
      </c>
      <c r="K104" s="73" t="inlineStr">
        <is>
          <t>Anthony Ruggiero</t>
        </is>
      </c>
      <c r="L104" s="82" t="n">
        <v>4065</v>
      </c>
      <c r="M104" s="82">
        <f>Y104</f>
        <v/>
      </c>
      <c r="P104" s="83" t="n">
        <v>46295</v>
      </c>
      <c r="R104" s="82" t="n">
        <v>0</v>
      </c>
      <c r="S104" s="82">
        <f>AB104</f>
        <v/>
      </c>
      <c r="T104" s="82" t="n">
        <v>0</v>
      </c>
      <c r="Y104" s="82" t="n">
        <v>4065</v>
      </c>
    </row>
    <row r="105">
      <c r="A105" s="73">
        <f>$D$44</f>
        <v/>
      </c>
      <c r="B105" s="73">
        <f>B104+1</f>
        <v/>
      </c>
      <c r="C105" s="73">
        <f>IF(K105="Vacant","Vac",IF(K105="Model","Model",IF(K105="Admin","Admin",IF(K105="Down","Down",IF(K105="Super","Super","Occ")))))</f>
        <v/>
      </c>
      <c r="D105" s="73">
        <f>INDEX($C$5:$C$31,MATCH(I105,$D$5:$D$31,0))</f>
        <v/>
      </c>
      <c r="E105" s="73">
        <f>INDEX($E$5:$E$31,MATCH(D105,$C$5:$C$31,0))</f>
        <v/>
      </c>
      <c r="F105" s="73">
        <f>INDEX($F$5:$F$31,MATCH(D105,$C$5:$C$31,0))</f>
        <v/>
      </c>
      <c r="G105" s="73">
        <f>INDEX($G$5:$G$31,MATCH(D105,$C$5:$C$31,0))</f>
        <v/>
      </c>
      <c r="H105" s="73" t="inlineStr">
        <is>
          <t>556-414</t>
        </is>
      </c>
      <c r="I105" s="73" t="inlineStr">
        <is>
          <t>G-2D</t>
        </is>
      </c>
      <c r="J105" s="81" t="n">
        <v>1434</v>
      </c>
      <c r="K105" s="73" t="inlineStr">
        <is>
          <t>Joseph Geronimo, Anna Geronimo</t>
        </is>
      </c>
      <c r="L105" s="82" t="n">
        <v>3964</v>
      </c>
      <c r="M105" s="82">
        <f>Y105</f>
        <v/>
      </c>
      <c r="P105" s="83" t="n">
        <v>46507</v>
      </c>
      <c r="R105" s="82" t="n">
        <v>0</v>
      </c>
      <c r="S105" s="82">
        <f>AB105</f>
        <v/>
      </c>
      <c r="T105" s="82" t="n">
        <v>0</v>
      </c>
      <c r="Y105" s="82" t="n">
        <v>3964</v>
      </c>
    </row>
    <row r="106">
      <c r="A106" s="73">
        <f>$D$44</f>
        <v/>
      </c>
      <c r="B106" s="73">
        <f>B105+1</f>
        <v/>
      </c>
      <c r="C106" s="73">
        <f>IF(K106="Vacant","Vac",IF(K106="Model","Model",IF(K106="Admin","Admin",IF(K106="Down","Down",IF(K106="Super","Super","Occ")))))</f>
        <v/>
      </c>
      <c r="D106" s="73">
        <f>INDEX($C$5:$C$31,MATCH(I106,$D$5:$D$31,0))</f>
        <v/>
      </c>
      <c r="E106" s="73">
        <f>INDEX($E$5:$E$31,MATCH(D106,$C$5:$C$31,0))</f>
        <v/>
      </c>
      <c r="F106" s="73">
        <f>INDEX($F$5:$F$31,MATCH(D106,$C$5:$C$31,0))</f>
        <v/>
      </c>
      <c r="G106" s="73">
        <f>INDEX($G$5:$G$31,MATCH(D106,$C$5:$C$31,0))</f>
        <v/>
      </c>
      <c r="H106" s="73" t="inlineStr">
        <is>
          <t>556-415</t>
        </is>
      </c>
      <c r="I106" s="73" t="inlineStr">
        <is>
          <t>F-2</t>
        </is>
      </c>
      <c r="J106" s="81" t="n">
        <v>1141</v>
      </c>
      <c r="K106" s="73" t="inlineStr">
        <is>
          <t>Janet Koeller</t>
        </is>
      </c>
      <c r="L106" s="82" t="n">
        <v>3443</v>
      </c>
      <c r="M106" s="82">
        <f>Y106</f>
        <v/>
      </c>
      <c r="P106" s="83" t="n">
        <v>46173</v>
      </c>
      <c r="R106" s="82" t="n">
        <v>0</v>
      </c>
      <c r="S106" s="82">
        <f>AB106</f>
        <v/>
      </c>
      <c r="T106" s="82" t="n">
        <v>0</v>
      </c>
      <c r="Y106" s="82" t="n">
        <v>3443</v>
      </c>
    </row>
    <row r="107">
      <c r="A107" s="73">
        <f>$D$44</f>
        <v/>
      </c>
      <c r="B107" s="73">
        <f>B106+1</f>
        <v/>
      </c>
      <c r="C107" s="73">
        <f>IF(K107="Vacant","Vac",IF(K107="Model","Model",IF(K107="Admin","Admin",IF(K107="Down","Down",IF(K107="Super","Super","Occ")))))</f>
        <v/>
      </c>
      <c r="D107" s="73">
        <f>INDEX($C$5:$C$31,MATCH(I107,$D$5:$D$31,0))</f>
        <v/>
      </c>
      <c r="E107" s="73">
        <f>INDEX($E$5:$E$31,MATCH(D107,$C$5:$C$31,0))</f>
        <v/>
      </c>
      <c r="F107" s="73">
        <f>INDEX($F$5:$F$31,MATCH(D107,$C$5:$C$31,0))</f>
        <v/>
      </c>
      <c r="G107" s="73">
        <f>INDEX($G$5:$G$31,MATCH(D107,$C$5:$C$31,0))</f>
        <v/>
      </c>
      <c r="H107" s="73" t="inlineStr">
        <is>
          <t>556-416</t>
        </is>
      </c>
      <c r="I107" s="73" t="inlineStr">
        <is>
          <t>B-1D</t>
        </is>
      </c>
      <c r="J107" s="81" t="n">
        <v>980</v>
      </c>
      <c r="K107" s="73" t="inlineStr">
        <is>
          <t>Sarah Kuldip</t>
        </is>
      </c>
      <c r="L107" s="82" t="n">
        <v>3028</v>
      </c>
      <c r="M107" s="82">
        <f>Y107</f>
        <v/>
      </c>
      <c r="P107" s="83" t="n">
        <v>46446</v>
      </c>
      <c r="R107" s="82" t="n">
        <v>0</v>
      </c>
      <c r="S107" s="82">
        <f>AB107</f>
        <v/>
      </c>
      <c r="T107" s="82" t="n">
        <v>0</v>
      </c>
      <c r="Y107" s="82" t="n">
        <v>3028</v>
      </c>
    </row>
    <row r="108">
      <c r="A108" s="73">
        <f>$D$44</f>
        <v/>
      </c>
      <c r="B108" s="73">
        <f>B107+1</f>
        <v/>
      </c>
      <c r="C108" s="73">
        <f>IF(K108="Vacant","Vac",IF(K108="Model","Model",IF(K108="Admin","Admin",IF(K108="Down","Down",IF(K108="Super","Super","Occ")))))</f>
        <v/>
      </c>
      <c r="D108" s="73">
        <f>INDEX($C$5:$C$31,MATCH(I108,$D$5:$D$31,0))</f>
        <v/>
      </c>
      <c r="E108" s="73">
        <f>INDEX($E$5:$E$31,MATCH(D108,$C$5:$C$31,0))</f>
        <v/>
      </c>
      <c r="F108" s="73">
        <f>INDEX($F$5:$F$31,MATCH(D108,$C$5:$C$31,0))</f>
        <v/>
      </c>
      <c r="G108" s="73">
        <f>INDEX($G$5:$G$31,MATCH(D108,$C$5:$C$31,0))</f>
        <v/>
      </c>
      <c r="H108" s="73" t="inlineStr">
        <is>
          <t>556-417</t>
        </is>
      </c>
      <c r="I108" s="73" t="inlineStr">
        <is>
          <t>K-2</t>
        </is>
      </c>
      <c r="J108" s="81" t="n">
        <v>1134</v>
      </c>
      <c r="K108" s="73" t="inlineStr">
        <is>
          <t>Alicia Marcucilli</t>
        </is>
      </c>
      <c r="L108" s="82" t="n">
        <v>3593</v>
      </c>
      <c r="M108" s="82">
        <f>Y108</f>
        <v/>
      </c>
      <c r="P108" s="83" t="n">
        <v>46446</v>
      </c>
      <c r="R108" s="82" t="n">
        <v>0</v>
      </c>
      <c r="S108" s="82">
        <f>AB108</f>
        <v/>
      </c>
      <c r="T108" s="82" t="n">
        <v>0</v>
      </c>
      <c r="Y108" s="82" t="n">
        <v>3593</v>
      </c>
    </row>
    <row r="109">
      <c r="A109" s="73">
        <f>$D$44</f>
        <v/>
      </c>
      <c r="B109" s="73">
        <f>B108+1</f>
        <v/>
      </c>
      <c r="C109" s="73">
        <f>IF(K109="Vacant","Vac",IF(K109="Model","Model",IF(K109="Admin","Admin",IF(K109="Down","Down",IF(K109="Super","Super","Occ")))))</f>
        <v/>
      </c>
      <c r="D109" s="73">
        <f>INDEX($C$5:$C$31,MATCH(I109,$D$5:$D$31,0))</f>
        <v/>
      </c>
      <c r="E109" s="73">
        <f>INDEX($E$5:$E$31,MATCH(D109,$C$5:$C$31,0))</f>
        <v/>
      </c>
      <c r="F109" s="73">
        <f>INDEX($F$5:$F$31,MATCH(D109,$C$5:$C$31,0))</f>
        <v/>
      </c>
      <c r="G109" s="73">
        <f>INDEX($G$5:$G$31,MATCH(D109,$C$5:$C$31,0))</f>
        <v/>
      </c>
      <c r="H109" s="73" t="inlineStr">
        <is>
          <t>556-418</t>
        </is>
      </c>
      <c r="I109" s="73" t="inlineStr">
        <is>
          <t>K-2</t>
        </is>
      </c>
      <c r="J109" s="81" t="n">
        <v>1134</v>
      </c>
      <c r="K109" s="73" t="inlineStr">
        <is>
          <t>Ani Gabrellian</t>
        </is>
      </c>
      <c r="L109" s="82" t="n">
        <v>3745</v>
      </c>
      <c r="M109" s="82">
        <f>Y109</f>
        <v/>
      </c>
      <c r="P109" s="83" t="n">
        <v>46265</v>
      </c>
      <c r="R109" s="82" t="n">
        <v>0</v>
      </c>
      <c r="S109" s="82">
        <f>AB109</f>
        <v/>
      </c>
      <c r="T109" s="82" t="n">
        <v>0</v>
      </c>
      <c r="Y109" s="82" t="n">
        <v>3745</v>
      </c>
    </row>
    <row r="110">
      <c r="A110" s="73">
        <f>$D$44</f>
        <v/>
      </c>
      <c r="B110" s="73">
        <f>B109+1</f>
        <v/>
      </c>
      <c r="C110" s="73">
        <f>IF(K110="Vacant","Vac",IF(K110="Model","Model",IF(K110="Admin","Admin",IF(K110="Down","Down",IF(K110="Super","Super","Occ")))))</f>
        <v/>
      </c>
      <c r="D110" s="73">
        <f>INDEX($C$5:$C$31,MATCH(I110,$D$5:$D$31,0))</f>
        <v/>
      </c>
      <c r="E110" s="73">
        <f>INDEX($E$5:$E$31,MATCH(D110,$C$5:$C$31,0))</f>
        <v/>
      </c>
      <c r="F110" s="73">
        <f>INDEX($F$5:$F$31,MATCH(D110,$C$5:$C$31,0))</f>
        <v/>
      </c>
      <c r="G110" s="73">
        <f>INDEX($G$5:$G$31,MATCH(D110,$C$5:$C$31,0))</f>
        <v/>
      </c>
      <c r="H110" s="73" t="inlineStr">
        <is>
          <t>556-419</t>
        </is>
      </c>
      <c r="I110" s="73" t="inlineStr">
        <is>
          <t>E-2</t>
        </is>
      </c>
      <c r="J110" s="81" t="n">
        <v>1146</v>
      </c>
      <c r="K110" s="73" t="inlineStr">
        <is>
          <t>David Smiley</t>
        </is>
      </c>
      <c r="L110" s="82" t="n">
        <v>3425</v>
      </c>
      <c r="M110" s="82">
        <f>Y110</f>
        <v/>
      </c>
      <c r="P110" s="83" t="n">
        <v>46173</v>
      </c>
      <c r="R110" s="82" t="n">
        <v>0</v>
      </c>
      <c r="S110" s="82">
        <f>AB110</f>
        <v/>
      </c>
      <c r="T110" s="82" t="n">
        <v>0</v>
      </c>
      <c r="Y110" s="82" t="n">
        <v>3425</v>
      </c>
    </row>
    <row r="111">
      <c r="A111" s="84">
        <f>$D$44</f>
        <v/>
      </c>
      <c r="B111" s="84">
        <f>B110+1</f>
        <v/>
      </c>
      <c r="C111" s="84">
        <f>IF(K111="Vacant","Vac",IF(K111="Model","Model",IF(K111="Admin","Admin",IF(K111="Down","Down",IF(K111="Super","Super","Occ")))))</f>
        <v/>
      </c>
      <c r="D111" s="84">
        <f>INDEX($C$5:$C$31,MATCH(I111,$D$5:$D$31,0))</f>
        <v/>
      </c>
      <c r="E111" s="84">
        <f>INDEX($E$5:$E$31,MATCH(D111,$C$5:$C$31,0))</f>
        <v/>
      </c>
      <c r="F111" s="84">
        <f>INDEX($F$5:$F$31,MATCH(D111,$C$5:$C$31,0))</f>
        <v/>
      </c>
      <c r="G111" s="84">
        <f>INDEX($G$5:$G$31,MATCH(D111,$C$5:$C$31,0))</f>
        <v/>
      </c>
      <c r="H111" s="84" t="inlineStr">
        <is>
          <t>556-420</t>
        </is>
      </c>
      <c r="I111" s="84" t="inlineStr">
        <is>
          <t>A-1</t>
        </is>
      </c>
      <c r="J111" s="85" t="n">
        <v>845</v>
      </c>
      <c r="K111" s="84" t="inlineStr">
        <is>
          <t>Vacant</t>
        </is>
      </c>
      <c r="L111" s="86" t="n">
        <v>3085</v>
      </c>
      <c r="M111" s="86">
        <f>Y111</f>
        <v/>
      </c>
      <c r="N111" s="87" t="n"/>
      <c r="O111" s="87" t="n"/>
      <c r="P111" s="87" t="n"/>
      <c r="Q111" s="87" t="n"/>
      <c r="R111" s="86" t="n">
        <v>0</v>
      </c>
      <c r="S111" s="86">
        <f>AB111</f>
        <v/>
      </c>
      <c r="T111" s="86" t="n">
        <v>0</v>
      </c>
      <c r="U111" s="87" t="n"/>
      <c r="V111" s="87" t="n"/>
      <c r="W111" s="87" t="n"/>
      <c r="X111" s="87" t="n"/>
      <c r="Y111" s="86" t="n">
        <v>0</v>
      </c>
      <c r="Z111" s="87" t="n"/>
      <c r="AA111" s="87" t="n"/>
      <c r="AB111" s="87" t="n"/>
    </row>
    <row r="112">
      <c r="A112" s="73">
        <f>$D$44</f>
        <v/>
      </c>
      <c r="B112" s="73">
        <f>B111+1</f>
        <v/>
      </c>
      <c r="C112" s="73">
        <f>IF(K112="Vacant","Vac",IF(K112="Model","Model",IF(K112="Admin","Admin",IF(K112="Down","Down",IF(K112="Super","Super","Occ")))))</f>
        <v/>
      </c>
      <c r="D112" s="73">
        <f>INDEX($C$5:$C$31,MATCH(I112,$D$5:$D$31,0))</f>
        <v/>
      </c>
      <c r="E112" s="73">
        <f>INDEX($E$5:$E$31,MATCH(D112,$C$5:$C$31,0))</f>
        <v/>
      </c>
      <c r="F112" s="73">
        <f>INDEX($F$5:$F$31,MATCH(D112,$C$5:$C$31,0))</f>
        <v/>
      </c>
      <c r="G112" s="73">
        <f>INDEX($G$5:$G$31,MATCH(D112,$C$5:$C$31,0))</f>
        <v/>
      </c>
      <c r="H112" s="73" t="inlineStr">
        <is>
          <t>556-421</t>
        </is>
      </c>
      <c r="I112" s="73" t="inlineStr">
        <is>
          <t>A-1</t>
        </is>
      </c>
      <c r="J112" s="81" t="n">
        <v>845</v>
      </c>
      <c r="K112" s="73" t="inlineStr">
        <is>
          <t>Carol Lobban</t>
        </is>
      </c>
      <c r="L112" s="82" t="n">
        <v>2848</v>
      </c>
      <c r="M112" s="82">
        <f>Y112</f>
        <v/>
      </c>
      <c r="P112" s="83" t="n">
        <v>46295</v>
      </c>
      <c r="R112" s="82" t="n">
        <v>0</v>
      </c>
      <c r="S112" s="82">
        <f>AB112</f>
        <v/>
      </c>
      <c r="T112" s="82" t="n">
        <v>0</v>
      </c>
      <c r="Y112" s="82" t="n">
        <v>2848</v>
      </c>
    </row>
    <row r="113">
      <c r="A113" s="73">
        <f>$D$44</f>
        <v/>
      </c>
      <c r="B113" s="73">
        <f>B112+1</f>
        <v/>
      </c>
      <c r="C113" s="73">
        <f>IF(K113="Vacant","Vac",IF(K113="Model","Model",IF(K113="Admin","Admin",IF(K113="Down","Down",IF(K113="Super","Super","Occ")))))</f>
        <v/>
      </c>
      <c r="D113" s="73">
        <f>INDEX($C$5:$C$31,MATCH(I113,$D$5:$D$31,0))</f>
        <v/>
      </c>
      <c r="E113" s="73">
        <f>INDEX($E$5:$E$31,MATCH(D113,$C$5:$C$31,0))</f>
        <v/>
      </c>
      <c r="F113" s="73">
        <f>INDEX($F$5:$F$31,MATCH(D113,$C$5:$C$31,0))</f>
        <v/>
      </c>
      <c r="G113" s="73">
        <f>INDEX($G$5:$G$31,MATCH(D113,$C$5:$C$31,0))</f>
        <v/>
      </c>
      <c r="H113" s="73" t="inlineStr">
        <is>
          <t>556-422</t>
        </is>
      </c>
      <c r="I113" s="73" t="inlineStr">
        <is>
          <t>A-1</t>
        </is>
      </c>
      <c r="J113" s="81" t="n">
        <v>845</v>
      </c>
      <c r="K113" s="73" t="inlineStr">
        <is>
          <t>Kristy Rothfritz</t>
        </is>
      </c>
      <c r="L113" s="82" t="n">
        <v>2828</v>
      </c>
      <c r="M113" s="82">
        <f>Y113</f>
        <v/>
      </c>
      <c r="P113" s="83" t="n">
        <v>46387</v>
      </c>
      <c r="R113" s="82" t="n">
        <v>0</v>
      </c>
      <c r="S113" s="82">
        <f>AB113</f>
        <v/>
      </c>
      <c r="T113" s="82" t="n">
        <v>0</v>
      </c>
      <c r="Y113" s="82" t="n">
        <v>2828</v>
      </c>
    </row>
    <row r="114">
      <c r="A114" s="73">
        <f>$D$44</f>
        <v/>
      </c>
      <c r="B114" s="73">
        <f>B113+1</f>
        <v/>
      </c>
      <c r="C114" s="73">
        <f>IF(K114="Vacant","Vac",IF(K114="Model","Model",IF(K114="Admin","Admin",IF(K114="Down","Down",IF(K114="Super","Super","Occ")))))</f>
        <v/>
      </c>
      <c r="D114" s="73">
        <f>INDEX($C$5:$C$31,MATCH(I114,$D$5:$D$31,0))</f>
        <v/>
      </c>
      <c r="E114" s="73">
        <f>INDEX($E$5:$E$31,MATCH(D114,$C$5:$C$31,0))</f>
        <v/>
      </c>
      <c r="F114" s="73">
        <f>INDEX($F$5:$F$31,MATCH(D114,$C$5:$C$31,0))</f>
        <v/>
      </c>
      <c r="G114" s="73">
        <f>INDEX($G$5:$G$31,MATCH(D114,$C$5:$C$31,0))</f>
        <v/>
      </c>
      <c r="H114" s="73" t="inlineStr">
        <is>
          <t>558-101</t>
        </is>
      </c>
      <c r="I114" s="73" t="inlineStr">
        <is>
          <t>P1-1 AFF L</t>
        </is>
      </c>
      <c r="J114" s="81" t="n">
        <v>710</v>
      </c>
      <c r="K114" s="73" t="inlineStr">
        <is>
          <t>Romualdo Turelli</t>
        </is>
      </c>
      <c r="L114" s="82" t="n">
        <v>977</v>
      </c>
      <c r="M114" s="82">
        <f>Y114</f>
        <v/>
      </c>
      <c r="P114" s="83" t="n">
        <v>46477</v>
      </c>
      <c r="R114" s="82" t="n">
        <v>0</v>
      </c>
      <c r="S114" s="82">
        <f>AB114</f>
        <v/>
      </c>
      <c r="T114" s="82" t="n">
        <v>0</v>
      </c>
      <c r="Y114" s="82" t="n">
        <v>977</v>
      </c>
    </row>
    <row r="115">
      <c r="A115" s="73">
        <f>$D$44</f>
        <v/>
      </c>
      <c r="B115" s="73">
        <f>B114+1</f>
        <v/>
      </c>
      <c r="C115" s="73">
        <f>IF(K115="Vacant","Vac",IF(K115="Model","Model",IF(K115="Admin","Admin",IF(K115="Down","Down",IF(K115="Super","Super","Occ")))))</f>
        <v/>
      </c>
      <c r="D115" s="73">
        <f>INDEX($C$5:$C$31,MATCH(I115,$D$5:$D$31,0))</f>
        <v/>
      </c>
      <c r="E115" s="73">
        <f>INDEX($E$5:$E$31,MATCH(D115,$C$5:$C$31,0))</f>
        <v/>
      </c>
      <c r="F115" s="73">
        <f>INDEX($F$5:$F$31,MATCH(D115,$C$5:$C$31,0))</f>
        <v/>
      </c>
      <c r="G115" s="73">
        <f>INDEX($G$5:$G$31,MATCH(D115,$C$5:$C$31,0))</f>
        <v/>
      </c>
      <c r="H115" s="73" t="inlineStr">
        <is>
          <t>558-102</t>
        </is>
      </c>
      <c r="I115" s="73" t="inlineStr">
        <is>
          <t>L-2 AFF VL</t>
        </is>
      </c>
      <c r="J115" s="81" t="n">
        <v>881</v>
      </c>
      <c r="K115" s="73" t="inlineStr">
        <is>
          <t>Lori Clolinger</t>
        </is>
      </c>
      <c r="L115" s="82" t="n">
        <v>625</v>
      </c>
      <c r="M115" s="82">
        <f>Y115</f>
        <v/>
      </c>
      <c r="P115" s="83" t="n">
        <v>46477</v>
      </c>
      <c r="R115" s="82" t="n">
        <v>0</v>
      </c>
      <c r="S115" s="82">
        <f>AB115</f>
        <v/>
      </c>
      <c r="T115" s="82" t="n">
        <v>0</v>
      </c>
      <c r="Y115" s="82" t="n">
        <v>625</v>
      </c>
    </row>
    <row r="116">
      <c r="A116" s="73">
        <f>$D$44</f>
        <v/>
      </c>
      <c r="B116" s="73">
        <f>B115+1</f>
        <v/>
      </c>
      <c r="C116" s="73">
        <f>IF(K116="Vacant","Vac",IF(K116="Model","Model",IF(K116="Admin","Admin",IF(K116="Down","Down",IF(K116="Super","Super","Occ")))))</f>
        <v/>
      </c>
      <c r="D116" s="73">
        <f>INDEX($C$5:$C$31,MATCH(I116,$D$5:$D$31,0))</f>
        <v/>
      </c>
      <c r="E116" s="73">
        <f>INDEX($E$5:$E$31,MATCH(D116,$C$5:$C$31,0))</f>
        <v/>
      </c>
      <c r="F116" s="73">
        <f>INDEX($F$5:$F$31,MATCH(D116,$C$5:$C$31,0))</f>
        <v/>
      </c>
      <c r="G116" s="73">
        <f>INDEX($G$5:$G$31,MATCH(D116,$C$5:$C$31,0))</f>
        <v/>
      </c>
      <c r="H116" s="73" t="inlineStr">
        <is>
          <t>558-103</t>
        </is>
      </c>
      <c r="I116" s="73" t="inlineStr">
        <is>
          <t>L-2 AFF VL</t>
        </is>
      </c>
      <c r="J116" s="81" t="n">
        <v>881</v>
      </c>
      <c r="K116" s="73" t="inlineStr">
        <is>
          <t>Amanda Parisi</t>
        </is>
      </c>
      <c r="L116" s="82" t="n">
        <v>704</v>
      </c>
      <c r="M116" s="82">
        <f>Y116</f>
        <v/>
      </c>
      <c r="P116" s="83" t="n">
        <v>46477</v>
      </c>
      <c r="R116" s="82" t="n">
        <v>0</v>
      </c>
      <c r="S116" s="82">
        <f>AB116</f>
        <v/>
      </c>
      <c r="T116" s="82" t="n">
        <v>0</v>
      </c>
      <c r="Y116" s="82" t="n">
        <v>704</v>
      </c>
    </row>
    <row r="117">
      <c r="A117" s="73">
        <f>$D$44</f>
        <v/>
      </c>
      <c r="B117" s="73">
        <f>B116+1</f>
        <v/>
      </c>
      <c r="C117" s="73">
        <f>IF(K117="Vacant","Vac",IF(K117="Model","Model",IF(K117="Admin","Admin",IF(K117="Down","Down",IF(K117="Super","Super","Occ")))))</f>
        <v/>
      </c>
      <c r="D117" s="73">
        <f>INDEX($C$5:$C$31,MATCH(I117,$D$5:$D$31,0))</f>
        <v/>
      </c>
      <c r="E117" s="73">
        <f>INDEX($E$5:$E$31,MATCH(D117,$C$5:$C$31,0))</f>
        <v/>
      </c>
      <c r="F117" s="73">
        <f>INDEX($F$5:$F$31,MATCH(D117,$C$5:$C$31,0))</f>
        <v/>
      </c>
      <c r="G117" s="73">
        <f>INDEX($G$5:$G$31,MATCH(D117,$C$5:$C$31,0))</f>
        <v/>
      </c>
      <c r="H117" s="73" t="inlineStr">
        <is>
          <t>558-104</t>
        </is>
      </c>
      <c r="I117" s="73" t="inlineStr">
        <is>
          <t>N-2 AFF VL</t>
        </is>
      </c>
      <c r="J117" s="81" t="n">
        <v>960</v>
      </c>
      <c r="K117" s="73" t="inlineStr">
        <is>
          <t>Jacqueline Craven</t>
        </is>
      </c>
      <c r="L117" s="82" t="n">
        <v>623</v>
      </c>
      <c r="M117" s="82">
        <f>Y117</f>
        <v/>
      </c>
      <c r="P117" s="83" t="n">
        <v>46387</v>
      </c>
      <c r="R117" s="82" t="n">
        <v>0</v>
      </c>
      <c r="S117" s="82">
        <f>AB117</f>
        <v/>
      </c>
      <c r="T117" s="82" t="n">
        <v>0</v>
      </c>
      <c r="Y117" s="82" t="n">
        <v>623</v>
      </c>
    </row>
    <row r="118">
      <c r="A118" s="73">
        <f>$D$44</f>
        <v/>
      </c>
      <c r="B118" s="73">
        <f>B117+1</f>
        <v/>
      </c>
      <c r="C118" s="73">
        <f>IF(K118="Vacant","Vac",IF(K118="Model","Model",IF(K118="Admin","Admin",IF(K118="Down","Down",IF(K118="Super","Super","Occ")))))</f>
        <v/>
      </c>
      <c r="D118" s="73">
        <f>INDEX($C$5:$C$31,MATCH(I118,$D$5:$D$31,0))</f>
        <v/>
      </c>
      <c r="E118" s="73">
        <f>INDEX($E$5:$E$31,MATCH(D118,$C$5:$C$31,0))</f>
        <v/>
      </c>
      <c r="F118" s="73">
        <f>INDEX($F$5:$F$31,MATCH(D118,$C$5:$C$31,0))</f>
        <v/>
      </c>
      <c r="G118" s="73">
        <f>INDEX($G$5:$G$31,MATCH(D118,$C$5:$C$31,0))</f>
        <v/>
      </c>
      <c r="H118" s="73" t="inlineStr">
        <is>
          <t>558-105</t>
        </is>
      </c>
      <c r="I118" s="73" t="inlineStr">
        <is>
          <t>N-2 AFF L</t>
        </is>
      </c>
      <c r="J118" s="81" t="n">
        <v>960</v>
      </c>
      <c r="K118" s="73" t="inlineStr">
        <is>
          <t>Amelia DeLaRosa</t>
        </is>
      </c>
      <c r="L118" s="82" t="n">
        <v>1073</v>
      </c>
      <c r="M118" s="82">
        <f>Y118</f>
        <v/>
      </c>
      <c r="P118" s="83" t="n">
        <v>46142</v>
      </c>
      <c r="R118" s="82" t="n">
        <v>0</v>
      </c>
      <c r="S118" s="82">
        <f>AB118</f>
        <v/>
      </c>
      <c r="T118" s="82" t="n">
        <v>0</v>
      </c>
      <c r="Y118" s="82" t="n">
        <v>1073</v>
      </c>
    </row>
    <row r="119">
      <c r="A119" s="73">
        <f>$D$44</f>
        <v/>
      </c>
      <c r="B119" s="73">
        <f>B118+1</f>
        <v/>
      </c>
      <c r="C119" s="73">
        <f>IF(K119="Vacant","Vac",IF(K119="Model","Model",IF(K119="Admin","Admin",IF(K119="Down","Down",IF(K119="Super","Super","Occ")))))</f>
        <v/>
      </c>
      <c r="D119" s="73">
        <f>INDEX($C$5:$C$31,MATCH(I119,$D$5:$D$31,0))</f>
        <v/>
      </c>
      <c r="E119" s="73">
        <f>INDEX($E$5:$E$31,MATCH(D119,$C$5:$C$31,0))</f>
        <v/>
      </c>
      <c r="F119" s="73">
        <f>INDEX($F$5:$F$31,MATCH(D119,$C$5:$C$31,0))</f>
        <v/>
      </c>
      <c r="G119" s="73">
        <f>INDEX($G$5:$G$31,MATCH(D119,$C$5:$C$31,0))</f>
        <v/>
      </c>
      <c r="H119" s="73" t="inlineStr">
        <is>
          <t>558-106</t>
        </is>
      </c>
      <c r="I119" s="73" t="inlineStr">
        <is>
          <t>M-3 AFF VL</t>
        </is>
      </c>
      <c r="J119" s="81" t="n">
        <v>1203</v>
      </c>
      <c r="K119" s="73" t="inlineStr">
        <is>
          <t>Jahnita Merced</t>
        </is>
      </c>
      <c r="L119" s="82" t="n">
        <v>887</v>
      </c>
      <c r="M119" s="82">
        <f>Y119</f>
        <v/>
      </c>
      <c r="P119" s="83" t="n">
        <v>46477</v>
      </c>
      <c r="R119" s="82" t="n">
        <v>0</v>
      </c>
      <c r="S119" s="82">
        <f>AB119</f>
        <v/>
      </c>
      <c r="T119" s="82" t="n">
        <v>0</v>
      </c>
      <c r="Y119" s="82" t="n">
        <v>887</v>
      </c>
    </row>
    <row r="120">
      <c r="A120" s="73">
        <f>$D$44</f>
        <v/>
      </c>
      <c r="B120" s="73">
        <f>B119+1</f>
        <v/>
      </c>
      <c r="C120" s="73">
        <f>IF(K120="Vacant","Vac",IF(K120="Model","Model",IF(K120="Admin","Admin",IF(K120="Down","Down",IF(K120="Super","Super","Occ")))))</f>
        <v/>
      </c>
      <c r="D120" s="73">
        <f>INDEX($C$5:$C$31,MATCH(I120,$D$5:$D$31,0))</f>
        <v/>
      </c>
      <c r="E120" s="73">
        <f>INDEX($E$5:$E$31,MATCH(D120,$C$5:$C$31,0))</f>
        <v/>
      </c>
      <c r="F120" s="73">
        <f>INDEX($F$5:$F$31,MATCH(D120,$C$5:$C$31,0))</f>
        <v/>
      </c>
      <c r="G120" s="73">
        <f>INDEX($G$5:$G$31,MATCH(D120,$C$5:$C$31,0))</f>
        <v/>
      </c>
      <c r="H120" s="73" t="inlineStr">
        <is>
          <t>558-107</t>
        </is>
      </c>
      <c r="I120" s="73" t="inlineStr">
        <is>
          <t>M-2 AFF L</t>
        </is>
      </c>
      <c r="J120" s="81" t="n">
        <v>1047</v>
      </c>
      <c r="K120" s="73" t="inlineStr">
        <is>
          <t>Marilyn Betancourt</t>
        </is>
      </c>
      <c r="L120" s="82" t="n">
        <v>1073</v>
      </c>
      <c r="M120" s="82">
        <f>Y120</f>
        <v/>
      </c>
      <c r="P120" s="83" t="n">
        <v>46142</v>
      </c>
      <c r="R120" s="82" t="n">
        <v>0</v>
      </c>
      <c r="S120" s="82">
        <f>AB120</f>
        <v/>
      </c>
      <c r="T120" s="82" t="n">
        <v>0</v>
      </c>
      <c r="Y120" s="82" t="n">
        <v>1073</v>
      </c>
    </row>
    <row r="121">
      <c r="A121" s="73">
        <f>$D$44</f>
        <v/>
      </c>
      <c r="B121" s="73">
        <f>B120+1</f>
        <v/>
      </c>
      <c r="C121" s="73">
        <f>IF(K121="Vacant","Vac",IF(K121="Model","Model",IF(K121="Admin","Admin",IF(K121="Down","Down",IF(K121="Super","Super","Occ")))))</f>
        <v/>
      </c>
      <c r="D121" s="73">
        <f>INDEX($C$5:$C$31,MATCH(I121,$D$5:$D$31,0))</f>
        <v/>
      </c>
      <c r="E121" s="73">
        <f>INDEX($E$5:$E$31,MATCH(D121,$C$5:$C$31,0))</f>
        <v/>
      </c>
      <c r="F121" s="73">
        <f>INDEX($F$5:$F$31,MATCH(D121,$C$5:$C$31,0))</f>
        <v/>
      </c>
      <c r="G121" s="73">
        <f>INDEX($G$5:$G$31,MATCH(D121,$C$5:$C$31,0))</f>
        <v/>
      </c>
      <c r="H121" s="73" t="inlineStr">
        <is>
          <t>558-201</t>
        </is>
      </c>
      <c r="I121" s="73" t="inlineStr">
        <is>
          <t>P-1 AFF L</t>
        </is>
      </c>
      <c r="J121" s="81" t="n">
        <v>984</v>
      </c>
      <c r="K121" s="73" t="inlineStr">
        <is>
          <t>Demetria Moore</t>
        </is>
      </c>
      <c r="L121" s="82" t="n">
        <v>1133</v>
      </c>
      <c r="M121" s="82">
        <f>Y121</f>
        <v/>
      </c>
      <c r="P121" s="83" t="n">
        <v>46446</v>
      </c>
      <c r="R121" s="82" t="n">
        <v>0</v>
      </c>
      <c r="S121" s="82">
        <f>AB121</f>
        <v/>
      </c>
      <c r="T121" s="82" t="n">
        <v>0</v>
      </c>
      <c r="Y121" s="82" t="n">
        <v>1133</v>
      </c>
    </row>
    <row r="122">
      <c r="A122" s="73">
        <f>$D$44</f>
        <v/>
      </c>
      <c r="B122" s="73">
        <f>B121+1</f>
        <v/>
      </c>
      <c r="C122" s="73">
        <f>IF(K122="Vacant","Vac",IF(K122="Model","Model",IF(K122="Admin","Admin",IF(K122="Down","Down",IF(K122="Super","Super","Occ")))))</f>
        <v/>
      </c>
      <c r="D122" s="73">
        <f>INDEX($C$5:$C$31,MATCH(I122,$D$5:$D$31,0))</f>
        <v/>
      </c>
      <c r="E122" s="73">
        <f>INDEX($E$5:$E$31,MATCH(D122,$C$5:$C$31,0))</f>
        <v/>
      </c>
      <c r="F122" s="73">
        <f>INDEX($F$5:$F$31,MATCH(D122,$C$5:$C$31,0))</f>
        <v/>
      </c>
      <c r="G122" s="73">
        <f>INDEX($G$5:$G$31,MATCH(D122,$C$5:$C$31,0))</f>
        <v/>
      </c>
      <c r="H122" s="73" t="inlineStr">
        <is>
          <t>558-202</t>
        </is>
      </c>
      <c r="I122" s="73" t="inlineStr">
        <is>
          <t>L-2 AFF M</t>
        </is>
      </c>
      <c r="J122" s="81" t="n">
        <v>881</v>
      </c>
      <c r="K122" s="73" t="inlineStr">
        <is>
          <t>Donna Mango, Peter Mango</t>
        </is>
      </c>
      <c r="L122" s="82" t="n">
        <v>1386</v>
      </c>
      <c r="M122" s="82">
        <f>Y122</f>
        <v/>
      </c>
      <c r="P122" s="83" t="n">
        <v>46446</v>
      </c>
      <c r="R122" s="82" t="n">
        <v>0</v>
      </c>
      <c r="S122" s="82">
        <f>AB122</f>
        <v/>
      </c>
      <c r="T122" s="82" t="n">
        <v>0</v>
      </c>
      <c r="Y122" s="82" t="n">
        <v>1386</v>
      </c>
    </row>
    <row r="123">
      <c r="A123" s="73">
        <f>$D$44</f>
        <v/>
      </c>
      <c r="B123" s="73">
        <f>B122+1</f>
        <v/>
      </c>
      <c r="C123" s="73">
        <f>IF(K123="Vacant","Vac",IF(K123="Model","Model",IF(K123="Admin","Admin",IF(K123="Down","Down",IF(K123="Super","Super","Occ")))))</f>
        <v/>
      </c>
      <c r="D123" s="73">
        <f>INDEX($C$5:$C$31,MATCH(I123,$D$5:$D$31,0))</f>
        <v/>
      </c>
      <c r="E123" s="73">
        <f>INDEX($E$5:$E$31,MATCH(D123,$C$5:$C$31,0))</f>
        <v/>
      </c>
      <c r="F123" s="73">
        <f>INDEX($F$5:$F$31,MATCH(D123,$C$5:$C$31,0))</f>
        <v/>
      </c>
      <c r="G123" s="73">
        <f>INDEX($G$5:$G$31,MATCH(D123,$C$5:$C$31,0))</f>
        <v/>
      </c>
      <c r="H123" s="73" t="inlineStr">
        <is>
          <t>558-203</t>
        </is>
      </c>
      <c r="I123" s="73" t="inlineStr">
        <is>
          <t>L-2 AFF M</t>
        </is>
      </c>
      <c r="J123" s="81" t="n">
        <v>881</v>
      </c>
      <c r="K123" s="73" t="inlineStr">
        <is>
          <t>Ingrid Daniels, LaNique Watts</t>
        </is>
      </c>
      <c r="L123" s="82" t="n">
        <v>1465</v>
      </c>
      <c r="M123" s="82">
        <f>Y123</f>
        <v/>
      </c>
      <c r="P123" s="83" t="n">
        <v>46446</v>
      </c>
      <c r="R123" s="82" t="n">
        <v>0</v>
      </c>
      <c r="S123" s="82">
        <f>AB123</f>
        <v/>
      </c>
      <c r="T123" s="82" t="n">
        <v>0</v>
      </c>
      <c r="Y123" s="82" t="n">
        <v>1465</v>
      </c>
    </row>
    <row r="124">
      <c r="A124" s="73">
        <f>$D$44</f>
        <v/>
      </c>
      <c r="B124" s="73">
        <f>B123+1</f>
        <v/>
      </c>
      <c r="C124" s="73">
        <f>IF(K124="Vacant","Vac",IF(K124="Model","Model",IF(K124="Admin","Admin",IF(K124="Down","Down",IF(K124="Super","Super","Occ")))))</f>
        <v/>
      </c>
      <c r="D124" s="73">
        <f>INDEX($C$5:$C$31,MATCH(I124,$D$5:$D$31,0))</f>
        <v/>
      </c>
      <c r="E124" s="73">
        <f>INDEX($E$5:$E$31,MATCH(D124,$C$5:$C$31,0))</f>
        <v/>
      </c>
      <c r="F124" s="73">
        <f>INDEX($F$5:$F$31,MATCH(D124,$C$5:$C$31,0))</f>
        <v/>
      </c>
      <c r="G124" s="73">
        <f>INDEX($G$5:$G$31,MATCH(D124,$C$5:$C$31,0))</f>
        <v/>
      </c>
      <c r="H124" s="73" t="inlineStr">
        <is>
          <t>558-204</t>
        </is>
      </c>
      <c r="I124" s="73" t="inlineStr">
        <is>
          <t>N-2 AFF M</t>
        </is>
      </c>
      <c r="J124" s="81" t="n">
        <v>960</v>
      </c>
      <c r="K124" s="73" t="inlineStr">
        <is>
          <t>Karen Williamson</t>
        </is>
      </c>
      <c r="L124" s="82" t="n">
        <v>1297</v>
      </c>
      <c r="M124" s="82">
        <f>Y124</f>
        <v/>
      </c>
      <c r="P124" s="83" t="n">
        <v>46265</v>
      </c>
      <c r="R124" s="82" t="n">
        <v>0</v>
      </c>
      <c r="S124" s="82">
        <f>AB124</f>
        <v/>
      </c>
      <c r="T124" s="82" t="n">
        <v>0</v>
      </c>
      <c r="Y124" s="82" t="n">
        <v>1297</v>
      </c>
    </row>
    <row r="125">
      <c r="A125" s="73">
        <f>$D$44</f>
        <v/>
      </c>
      <c r="B125" s="73">
        <f>B124+1</f>
        <v/>
      </c>
      <c r="C125" s="73">
        <f>IF(K125="Vacant","Vac",IF(K125="Model","Model",IF(K125="Admin","Admin",IF(K125="Down","Down",IF(K125="Super","Super","Occ")))))</f>
        <v/>
      </c>
      <c r="D125" s="73">
        <f>INDEX($C$5:$C$31,MATCH(I125,$D$5:$D$31,0))</f>
        <v/>
      </c>
      <c r="E125" s="73">
        <f>INDEX($E$5:$E$31,MATCH(D125,$C$5:$C$31,0))</f>
        <v/>
      </c>
      <c r="F125" s="73">
        <f>INDEX($F$5:$F$31,MATCH(D125,$C$5:$C$31,0))</f>
        <v/>
      </c>
      <c r="G125" s="73">
        <f>INDEX($G$5:$G$31,MATCH(D125,$C$5:$C$31,0))</f>
        <v/>
      </c>
      <c r="H125" s="73" t="inlineStr">
        <is>
          <t>558-205</t>
        </is>
      </c>
      <c r="I125" s="73" t="inlineStr">
        <is>
          <t>N-2 AFF M</t>
        </is>
      </c>
      <c r="J125" s="81" t="n">
        <v>960</v>
      </c>
      <c r="K125" s="73" t="inlineStr">
        <is>
          <t>Veronica Candia-Toledo</t>
        </is>
      </c>
      <c r="L125" s="82" t="n">
        <v>1313</v>
      </c>
      <c r="M125" s="82">
        <f>Y125</f>
        <v/>
      </c>
      <c r="R125" s="82" t="n">
        <v>0</v>
      </c>
      <c r="S125" s="82">
        <f>AB125</f>
        <v/>
      </c>
      <c r="T125" s="82" t="n">
        <v>0</v>
      </c>
      <c r="Y125" s="82" t="n">
        <v>1313</v>
      </c>
    </row>
    <row r="126">
      <c r="A126" s="84">
        <f>$D$44</f>
        <v/>
      </c>
      <c r="B126" s="84">
        <f>B125+1</f>
        <v/>
      </c>
      <c r="C126" s="84">
        <f>IF(K126="Vacant","Vac",IF(K126="Model","Model",IF(K126="Admin","Admin",IF(K126="Down","Down",IF(K126="Super","Super","Occ")))))</f>
        <v/>
      </c>
      <c r="D126" s="84">
        <f>INDEX($C$5:$C$31,MATCH(I126,$D$5:$D$31,0))</f>
        <v/>
      </c>
      <c r="E126" s="84">
        <f>INDEX($E$5:$E$31,MATCH(D126,$C$5:$C$31,0))</f>
        <v/>
      </c>
      <c r="F126" s="84">
        <f>INDEX($F$5:$F$31,MATCH(D126,$C$5:$C$31,0))</f>
        <v/>
      </c>
      <c r="G126" s="84">
        <f>INDEX($G$5:$G$31,MATCH(D126,$C$5:$C$31,0))</f>
        <v/>
      </c>
      <c r="H126" s="84" t="inlineStr">
        <is>
          <t>558-206</t>
        </is>
      </c>
      <c r="I126" s="84" t="inlineStr">
        <is>
          <t>M-3 AFF L</t>
        </is>
      </c>
      <c r="J126" s="85" t="n">
        <v>1203</v>
      </c>
      <c r="K126" s="84" t="inlineStr">
        <is>
          <t>Vacant</t>
        </is>
      </c>
      <c r="L126" s="86" t="n">
        <v>1650</v>
      </c>
      <c r="M126" s="86">
        <f>Y126</f>
        <v/>
      </c>
      <c r="N126" s="87" t="n"/>
      <c r="O126" s="87" t="n"/>
      <c r="P126" s="87" t="n"/>
      <c r="Q126" s="87" t="n"/>
      <c r="R126" s="86" t="n">
        <v>0</v>
      </c>
      <c r="S126" s="86">
        <f>AB126</f>
        <v/>
      </c>
      <c r="T126" s="86" t="n">
        <v>0</v>
      </c>
      <c r="U126" s="87" t="n"/>
      <c r="V126" s="87" t="n"/>
      <c r="W126" s="87" t="n"/>
      <c r="X126" s="87" t="n"/>
      <c r="Y126" s="86" t="n">
        <v>0</v>
      </c>
      <c r="Z126" s="87" t="n"/>
      <c r="AA126" s="87" t="n"/>
      <c r="AB126" s="87" t="n"/>
    </row>
    <row r="127">
      <c r="A127" s="73">
        <f>$D$44</f>
        <v/>
      </c>
      <c r="B127" s="73">
        <f>B126+1</f>
        <v/>
      </c>
      <c r="C127" s="73">
        <f>IF(K127="Vacant","Vac",IF(K127="Model","Model",IF(K127="Admin","Admin",IF(K127="Down","Down",IF(K127="Super","Super","Occ")))))</f>
        <v/>
      </c>
      <c r="D127" s="73">
        <f>INDEX($C$5:$C$31,MATCH(I127,$D$5:$D$31,0))</f>
        <v/>
      </c>
      <c r="E127" s="73">
        <f>INDEX($E$5:$E$31,MATCH(D127,$C$5:$C$31,0))</f>
        <v/>
      </c>
      <c r="F127" s="73">
        <f>INDEX($F$5:$F$31,MATCH(D127,$C$5:$C$31,0))</f>
        <v/>
      </c>
      <c r="G127" s="73">
        <f>INDEX($G$5:$G$31,MATCH(D127,$C$5:$C$31,0))</f>
        <v/>
      </c>
      <c r="H127" s="73" t="inlineStr">
        <is>
          <t>558-207</t>
        </is>
      </c>
      <c r="I127" s="73" t="inlineStr">
        <is>
          <t>M-3 AFF M</t>
        </is>
      </c>
      <c r="J127" s="81" t="n">
        <v>1203</v>
      </c>
      <c r="K127" s="73" t="inlineStr">
        <is>
          <t>Wanda DeLeon</t>
        </is>
      </c>
      <c r="L127" s="82" t="n">
        <v>1644</v>
      </c>
      <c r="M127" s="82">
        <f>Y127</f>
        <v/>
      </c>
      <c r="P127" s="83" t="n">
        <v>46387</v>
      </c>
      <c r="R127" s="82" t="n">
        <v>0</v>
      </c>
      <c r="S127" s="82">
        <f>AB127</f>
        <v/>
      </c>
      <c r="T127" s="82" t="n">
        <v>0</v>
      </c>
      <c r="Y127" s="82" t="n">
        <v>1644</v>
      </c>
    </row>
    <row r="128">
      <c r="A128" s="73">
        <f>$D$44</f>
        <v/>
      </c>
      <c r="B128" s="73">
        <f>B127+1</f>
        <v/>
      </c>
      <c r="C128" s="73">
        <f>IF(K128="Vacant","Vac",IF(K128="Model","Model",IF(K128="Admin","Admin",IF(K128="Down","Down",IF(K128="Super","Super","Occ")))))</f>
        <v/>
      </c>
      <c r="D128" s="73">
        <f>INDEX($C$5:$C$31,MATCH(I128,$D$5:$D$31,0))</f>
        <v/>
      </c>
      <c r="E128" s="73">
        <f>INDEX($E$5:$E$31,MATCH(D128,$C$5:$C$31,0))</f>
        <v/>
      </c>
      <c r="F128" s="73">
        <f>INDEX($F$5:$F$31,MATCH(D128,$C$5:$C$31,0))</f>
        <v/>
      </c>
      <c r="G128" s="73">
        <f>INDEX($G$5:$G$31,MATCH(D128,$C$5:$C$31,0))</f>
        <v/>
      </c>
      <c r="H128" s="73" t="inlineStr">
        <is>
          <t>558-208</t>
        </is>
      </c>
      <c r="I128" s="73" t="inlineStr">
        <is>
          <t>Q-1 AFF M</t>
        </is>
      </c>
      <c r="J128" s="81" t="n">
        <v>705</v>
      </c>
      <c r="K128" s="73" t="inlineStr">
        <is>
          <t>Eva Noa</t>
        </is>
      </c>
      <c r="L128" s="82" t="n">
        <v>1123</v>
      </c>
      <c r="M128" s="82">
        <f>Y128</f>
        <v/>
      </c>
      <c r="P128" s="83" t="n">
        <v>46326</v>
      </c>
      <c r="R128" s="82" t="n">
        <v>0</v>
      </c>
      <c r="S128" s="82">
        <f>AB128</f>
        <v/>
      </c>
      <c r="T128" s="82" t="n">
        <v>0</v>
      </c>
      <c r="Y128" s="82" t="n">
        <v>1123</v>
      </c>
    </row>
    <row r="129">
      <c r="A129" s="73">
        <f>$D$44</f>
        <v/>
      </c>
      <c r="B129" s="73">
        <f>B128+1</f>
        <v/>
      </c>
      <c r="C129" s="73">
        <f>IF(K129="Vacant","Vac",IF(K129="Model","Model",IF(K129="Admin","Admin",IF(K129="Down","Down",IF(K129="Super","Super","Occ")))))</f>
        <v/>
      </c>
      <c r="D129" s="73">
        <f>INDEX($C$5:$C$31,MATCH(I129,$D$5:$D$31,0))</f>
        <v/>
      </c>
      <c r="E129" s="73">
        <f>INDEX($E$5:$E$31,MATCH(D129,$C$5:$C$31,0))</f>
        <v/>
      </c>
      <c r="F129" s="73">
        <f>INDEX($F$5:$F$31,MATCH(D129,$C$5:$C$31,0))</f>
        <v/>
      </c>
      <c r="G129" s="73">
        <f>INDEX($G$5:$G$31,MATCH(D129,$C$5:$C$31,0))</f>
        <v/>
      </c>
      <c r="H129" s="73" t="inlineStr">
        <is>
          <t>558-301</t>
        </is>
      </c>
      <c r="I129" s="73" t="inlineStr">
        <is>
          <t>P-1</t>
        </is>
      </c>
      <c r="J129" s="81" t="n">
        <v>984</v>
      </c>
      <c r="K129" s="73" t="inlineStr">
        <is>
          <t>Daniel Mazza</t>
        </is>
      </c>
      <c r="L129" s="82" t="n">
        <v>2710</v>
      </c>
      <c r="M129" s="82">
        <f>Y129</f>
        <v/>
      </c>
      <c r="P129" s="83" t="n">
        <v>46630</v>
      </c>
      <c r="R129" s="82" t="n">
        <v>0</v>
      </c>
      <c r="S129" s="82">
        <f>AB129</f>
        <v/>
      </c>
      <c r="T129" s="82" t="n">
        <v>0</v>
      </c>
      <c r="Y129" s="82" t="n">
        <v>2710</v>
      </c>
    </row>
    <row r="130">
      <c r="A130" s="73">
        <f>$D$44</f>
        <v/>
      </c>
      <c r="B130" s="73">
        <f>B129+1</f>
        <v/>
      </c>
      <c r="C130" s="73">
        <f>IF(K130="Vacant","Vac",IF(K130="Model","Model",IF(K130="Admin","Admin",IF(K130="Down","Down",IF(K130="Super","Super","Occ")))))</f>
        <v/>
      </c>
      <c r="D130" s="73">
        <f>INDEX($C$5:$C$31,MATCH(I130,$D$5:$D$31,0))</f>
        <v/>
      </c>
      <c r="E130" s="73">
        <f>INDEX($E$5:$E$31,MATCH(D130,$C$5:$C$31,0))</f>
        <v/>
      </c>
      <c r="F130" s="73">
        <f>INDEX($F$5:$F$31,MATCH(D130,$C$5:$C$31,0))</f>
        <v/>
      </c>
      <c r="G130" s="73">
        <f>INDEX($G$5:$G$31,MATCH(D130,$C$5:$C$31,0))</f>
        <v/>
      </c>
      <c r="H130" s="73" t="inlineStr">
        <is>
          <t>558-302</t>
        </is>
      </c>
      <c r="I130" s="73" t="inlineStr">
        <is>
          <t>L-2</t>
        </is>
      </c>
      <c r="J130" s="81" t="n">
        <v>881</v>
      </c>
      <c r="K130" s="73" t="inlineStr">
        <is>
          <t>Harold Schultz</t>
        </is>
      </c>
      <c r="L130" s="82" t="n">
        <v>2650</v>
      </c>
      <c r="M130" s="82">
        <f>Y130</f>
        <v/>
      </c>
      <c r="P130" s="83" t="n">
        <v>46203</v>
      </c>
      <c r="R130" s="82" t="n">
        <v>0</v>
      </c>
      <c r="S130" s="82">
        <f>AB130</f>
        <v/>
      </c>
      <c r="T130" s="82" t="n">
        <v>0</v>
      </c>
      <c r="Y130" s="82" t="n">
        <v>2650</v>
      </c>
    </row>
    <row r="131">
      <c r="A131" s="73">
        <f>$D$44</f>
        <v/>
      </c>
      <c r="B131" s="73">
        <f>B130+1</f>
        <v/>
      </c>
      <c r="C131" s="73">
        <f>IF(K131="Vacant","Vac",IF(K131="Model","Model",IF(K131="Admin","Admin",IF(K131="Down","Down",IF(K131="Super","Super","Occ")))))</f>
        <v/>
      </c>
      <c r="D131" s="73">
        <f>INDEX($C$5:$C$31,MATCH(I131,$D$5:$D$31,0))</f>
        <v/>
      </c>
      <c r="E131" s="73">
        <f>INDEX($E$5:$E$31,MATCH(D131,$C$5:$C$31,0))</f>
        <v/>
      </c>
      <c r="F131" s="73">
        <f>INDEX($F$5:$F$31,MATCH(D131,$C$5:$C$31,0))</f>
        <v/>
      </c>
      <c r="G131" s="73">
        <f>INDEX($G$5:$G$31,MATCH(D131,$C$5:$C$31,0))</f>
        <v/>
      </c>
      <c r="H131" s="73" t="inlineStr">
        <is>
          <t>558-303</t>
        </is>
      </c>
      <c r="I131" s="73" t="inlineStr">
        <is>
          <t>L-2</t>
        </is>
      </c>
      <c r="J131" s="81" t="n">
        <v>881</v>
      </c>
      <c r="K131" s="73" t="inlineStr">
        <is>
          <t>Kamelia Rafeh-Saheli</t>
        </is>
      </c>
      <c r="L131" s="82" t="n">
        <v>2631</v>
      </c>
      <c r="M131" s="82">
        <f>Y131</f>
        <v/>
      </c>
      <c r="P131" s="83" t="n">
        <v>46173</v>
      </c>
      <c r="R131" s="82" t="n">
        <v>0</v>
      </c>
      <c r="S131" s="82">
        <f>AB131</f>
        <v/>
      </c>
      <c r="T131" s="82" t="n">
        <v>0</v>
      </c>
      <c r="Y131" s="82" t="n">
        <v>2631</v>
      </c>
    </row>
    <row r="132">
      <c r="A132" s="73">
        <f>$D$44</f>
        <v/>
      </c>
      <c r="B132" s="73">
        <f>B131+1</f>
        <v/>
      </c>
      <c r="C132" s="73">
        <f>IF(K132="Vacant","Vac",IF(K132="Model","Model",IF(K132="Admin","Admin",IF(K132="Down","Down",IF(K132="Super","Super","Occ")))))</f>
        <v/>
      </c>
      <c r="D132" s="73">
        <f>INDEX($C$5:$C$31,MATCH(I132,$D$5:$D$31,0))</f>
        <v/>
      </c>
      <c r="E132" s="73">
        <f>INDEX($E$5:$E$31,MATCH(D132,$C$5:$C$31,0))</f>
        <v/>
      </c>
      <c r="F132" s="73">
        <f>INDEX($F$5:$F$31,MATCH(D132,$C$5:$C$31,0))</f>
        <v/>
      </c>
      <c r="G132" s="73">
        <f>INDEX($G$5:$G$31,MATCH(D132,$C$5:$C$31,0))</f>
        <v/>
      </c>
      <c r="H132" s="73" t="inlineStr">
        <is>
          <t>558-304</t>
        </is>
      </c>
      <c r="I132" s="73" t="inlineStr">
        <is>
          <t>N-2 AFF M</t>
        </is>
      </c>
      <c r="J132" s="81" t="n">
        <v>960</v>
      </c>
      <c r="K132" s="73" t="inlineStr">
        <is>
          <t>Darlene Rivetti, Michael Rivetti</t>
        </is>
      </c>
      <c r="L132" s="82" t="n">
        <v>1385</v>
      </c>
      <c r="M132" s="82">
        <f>Y132</f>
        <v/>
      </c>
      <c r="P132" s="83" t="n">
        <v>46418</v>
      </c>
      <c r="R132" s="82" t="n">
        <v>0</v>
      </c>
      <c r="S132" s="82">
        <f>AB132</f>
        <v/>
      </c>
      <c r="T132" s="82" t="n">
        <v>0</v>
      </c>
      <c r="Y132" s="82" t="n">
        <v>1385</v>
      </c>
    </row>
    <row r="133">
      <c r="A133" s="73">
        <f>$D$44</f>
        <v/>
      </c>
      <c r="B133" s="73">
        <f>B132+1</f>
        <v/>
      </c>
      <c r="C133" s="73">
        <f>IF(K133="Vacant","Vac",IF(K133="Model","Model",IF(K133="Admin","Admin",IF(K133="Down","Down",IF(K133="Super","Super","Occ")))))</f>
        <v/>
      </c>
      <c r="D133" s="73">
        <f>INDEX($C$5:$C$31,MATCH(I133,$D$5:$D$31,0))</f>
        <v/>
      </c>
      <c r="E133" s="73">
        <f>INDEX($E$5:$E$31,MATCH(D133,$C$5:$C$31,0))</f>
        <v/>
      </c>
      <c r="F133" s="73">
        <f>INDEX($F$5:$F$31,MATCH(D133,$C$5:$C$31,0))</f>
        <v/>
      </c>
      <c r="G133" s="73">
        <f>INDEX($G$5:$G$31,MATCH(D133,$C$5:$C$31,0))</f>
        <v/>
      </c>
      <c r="H133" s="73" t="inlineStr">
        <is>
          <t>558-305</t>
        </is>
      </c>
      <c r="I133" s="73" t="inlineStr">
        <is>
          <t>N-2 AFF M</t>
        </is>
      </c>
      <c r="J133" s="81" t="n">
        <v>960</v>
      </c>
      <c r="K133" s="73" t="inlineStr">
        <is>
          <t>Tanya Cintron</t>
        </is>
      </c>
      <c r="L133" s="82" t="n">
        <v>1335</v>
      </c>
      <c r="M133" s="82">
        <f>Y133</f>
        <v/>
      </c>
      <c r="P133" s="83" t="n">
        <v>46173</v>
      </c>
      <c r="R133" s="82" t="n">
        <v>0</v>
      </c>
      <c r="S133" s="82">
        <f>AB133</f>
        <v/>
      </c>
      <c r="T133" s="82" t="n">
        <v>0</v>
      </c>
      <c r="Y133" s="82" t="n">
        <v>1335</v>
      </c>
    </row>
    <row r="134">
      <c r="A134" s="73">
        <f>$D$44</f>
        <v/>
      </c>
      <c r="B134" s="73">
        <f>B133+1</f>
        <v/>
      </c>
      <c r="C134" s="73">
        <f>IF(K134="Vacant","Vac",IF(K134="Model","Model",IF(K134="Admin","Admin",IF(K134="Down","Down",IF(K134="Super","Super","Occ")))))</f>
        <v/>
      </c>
      <c r="D134" s="73">
        <f>INDEX($C$5:$C$31,MATCH(I134,$D$5:$D$31,0))</f>
        <v/>
      </c>
      <c r="E134" s="73">
        <f>INDEX($E$5:$E$31,MATCH(D134,$C$5:$C$31,0))</f>
        <v/>
      </c>
      <c r="F134" s="73">
        <f>INDEX($F$5:$F$31,MATCH(D134,$C$5:$C$31,0))</f>
        <v/>
      </c>
      <c r="G134" s="73">
        <f>INDEX($G$5:$G$31,MATCH(D134,$C$5:$C$31,0))</f>
        <v/>
      </c>
      <c r="H134" s="73" t="inlineStr">
        <is>
          <t>558-306</t>
        </is>
      </c>
      <c r="I134" s="73" t="inlineStr">
        <is>
          <t>M-3 AFF M</t>
        </is>
      </c>
      <c r="J134" s="81" t="n">
        <v>1203</v>
      </c>
      <c r="K134" s="73" t="inlineStr">
        <is>
          <t>Jose Ortiz, Priscilla Rosario</t>
        </is>
      </c>
      <c r="L134" s="82" t="n">
        <v>1514</v>
      </c>
      <c r="M134" s="82">
        <f>Y134</f>
        <v/>
      </c>
      <c r="P134" s="83" t="n">
        <v>46387</v>
      </c>
      <c r="R134" s="82" t="n">
        <v>0</v>
      </c>
      <c r="S134" s="82">
        <f>AB134</f>
        <v/>
      </c>
      <c r="T134" s="82" t="n">
        <v>0</v>
      </c>
      <c r="Y134" s="82" t="n">
        <v>1514</v>
      </c>
    </row>
    <row r="135">
      <c r="A135" s="73">
        <f>$D$44</f>
        <v/>
      </c>
      <c r="B135" s="73">
        <f>B134+1</f>
        <v/>
      </c>
      <c r="C135" s="73">
        <f>IF(K135="Vacant","Vac",IF(K135="Model","Model",IF(K135="Admin","Admin",IF(K135="Down","Down",IF(K135="Super","Super","Occ")))))</f>
        <v/>
      </c>
      <c r="D135" s="73">
        <f>INDEX($C$5:$C$31,MATCH(I135,$D$5:$D$31,0))</f>
        <v/>
      </c>
      <c r="E135" s="73">
        <f>INDEX($E$5:$E$31,MATCH(D135,$C$5:$C$31,0))</f>
        <v/>
      </c>
      <c r="F135" s="73">
        <f>INDEX($F$5:$F$31,MATCH(D135,$C$5:$C$31,0))</f>
        <v/>
      </c>
      <c r="G135" s="73">
        <f>INDEX($G$5:$G$31,MATCH(D135,$C$5:$C$31,0))</f>
        <v/>
      </c>
      <c r="H135" s="73" t="inlineStr">
        <is>
          <t>558-307</t>
        </is>
      </c>
      <c r="I135" s="73" t="inlineStr">
        <is>
          <t>M-3</t>
        </is>
      </c>
      <c r="J135" s="81" t="n">
        <v>1203</v>
      </c>
      <c r="K135" s="73" t="inlineStr">
        <is>
          <t>Admin</t>
        </is>
      </c>
      <c r="L135" s="82" t="n">
        <v>2000</v>
      </c>
      <c r="M135" s="82">
        <f>Y135</f>
        <v/>
      </c>
      <c r="P135" s="83" t="n">
        <v>46477</v>
      </c>
      <c r="R135" s="82" t="n">
        <v>0</v>
      </c>
      <c r="S135" s="82">
        <f>AB135</f>
        <v/>
      </c>
      <c r="T135" s="82" t="n">
        <v>0</v>
      </c>
      <c r="Y135" s="82" t="n">
        <v>2000</v>
      </c>
      <c r="AB135" s="82" t="n">
        <v>-2000</v>
      </c>
    </row>
    <row r="136">
      <c r="A136" s="73">
        <f>$D$44</f>
        <v/>
      </c>
      <c r="B136" s="73">
        <f>B135+1</f>
        <v/>
      </c>
      <c r="C136" s="73">
        <f>IF(K136="Vacant","Vac",IF(K136="Model","Model",IF(K136="Admin","Admin",IF(K136="Down","Down",IF(K136="Super","Super","Occ")))))</f>
        <v/>
      </c>
      <c r="D136" s="73">
        <f>INDEX($C$5:$C$31,MATCH(I136,$D$5:$D$31,0))</f>
        <v/>
      </c>
      <c r="E136" s="73">
        <f>INDEX($E$5:$E$31,MATCH(D136,$C$5:$C$31,0))</f>
        <v/>
      </c>
      <c r="F136" s="73">
        <f>INDEX($F$5:$F$31,MATCH(D136,$C$5:$C$31,0))</f>
        <v/>
      </c>
      <c r="G136" s="73">
        <f>INDEX($G$5:$G$31,MATCH(D136,$C$5:$C$31,0))</f>
        <v/>
      </c>
      <c r="H136" s="73" t="inlineStr">
        <is>
          <t>558-308</t>
        </is>
      </c>
      <c r="I136" s="73" t="inlineStr">
        <is>
          <t>Q-1</t>
        </is>
      </c>
      <c r="J136" s="81" t="n">
        <v>705</v>
      </c>
      <c r="K136" s="73" t="inlineStr">
        <is>
          <t>Jacklyn Marshall</t>
        </is>
      </c>
      <c r="L136" s="82" t="n">
        <v>2300</v>
      </c>
      <c r="M136" s="82">
        <f>Y136</f>
        <v/>
      </c>
      <c r="P136" s="83" t="n">
        <v>46477</v>
      </c>
      <c r="R136" s="82" t="n">
        <v>0</v>
      </c>
      <c r="S136" s="82">
        <f>AB136</f>
        <v/>
      </c>
      <c r="T136" s="82" t="n">
        <v>0</v>
      </c>
      <c r="Y136" s="82" t="n">
        <v>2300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2026-07-01T18:59:49Z</dcterms:created>
  <dcterms:modified xmlns:dcterms="http://purl.org/dc/terms/" xmlns:xsi="http://www.w3.org/2001/XMLSchema-instance" xsi:type="dcterms:W3CDTF">2026-07-01T18:59:50Z</dcterms:modified>
</cp:coreProperties>
</file>