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Mix &amp; RR Summary" sheetId="1" state="visible" r:id="rId1"/>
    <sheet xmlns:r="http://schemas.openxmlformats.org/officeDocument/2006/relationships" name="Recent Leases" sheetId="2" state="visible" r:id="rId2"/>
    <sheet xmlns:r="http://schemas.openxmlformats.org/officeDocument/2006/relationships" name="Unit Mix based on # of Beds" sheetId="3" state="visible" r:id="rId3"/>
    <sheet xmlns:r="http://schemas.openxmlformats.org/officeDocument/2006/relationships" name="Pres. Rent Roll" sheetId="4" state="visible" r:id="rId4"/>
    <sheet xmlns:r="http://schemas.openxmlformats.org/officeDocument/2006/relationships"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20 Grand Ave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20 Grand Ave</t>
        </is>
      </c>
      <c r="E6" s="7" t="inlineStr">
        <is>
          <t>0 BD / 1 BA</t>
        </is>
      </c>
      <c r="F6" s="8" t="n">
        <v>4</v>
      </c>
      <c r="G6" s="9" t="n">
        <v>5</v>
      </c>
      <c r="H6" s="10" t="n">
        <v>2736</v>
      </c>
      <c r="I6" s="10" t="n">
        <v>547.2</v>
      </c>
      <c r="J6" s="11" t="n">
        <v>12825</v>
      </c>
      <c r="K6" s="11" t="n">
        <v>2565</v>
      </c>
      <c r="L6" s="12" t="n">
        <v>4.6875</v>
      </c>
      <c r="M6" s="11" t="n">
        <v>10405</v>
      </c>
      <c r="N6" s="11" t="n">
        <v>2601.25</v>
      </c>
      <c r="O6" s="12" t="n">
        <v>4.718820861678005</v>
      </c>
      <c r="P6" s="11" t="n">
        <v>2795</v>
      </c>
      <c r="Q6" s="11" t="n">
        <v>1454</v>
      </c>
      <c r="S6" s="10" t="n">
        <v>2205</v>
      </c>
    </row>
    <row r="7">
      <c r="D7" s="7" t="inlineStr">
        <is>
          <t>20 Grand Ave</t>
        </is>
      </c>
      <c r="E7" s="7" t="inlineStr">
        <is>
          <t>1 BD / 1 BA</t>
        </is>
      </c>
      <c r="F7" s="8" t="n">
        <v>31</v>
      </c>
      <c r="G7" s="9" t="n">
        <v>33</v>
      </c>
      <c r="H7" s="10" t="n">
        <v>25124</v>
      </c>
      <c r="I7" s="10" t="n">
        <v>761.3333333333334</v>
      </c>
      <c r="J7" s="11" t="n">
        <v>101280</v>
      </c>
      <c r="K7" s="11" t="n">
        <v>3069.090909090909</v>
      </c>
      <c r="L7" s="12" t="n">
        <v>4.031205222098392</v>
      </c>
      <c r="M7" s="11" t="n">
        <v>95396.31</v>
      </c>
      <c r="N7" s="11" t="n">
        <v>3077.300322580645</v>
      </c>
      <c r="O7" s="12" t="n">
        <v>4.054241818954526</v>
      </c>
      <c r="P7" s="11" t="n">
        <v>3600</v>
      </c>
      <c r="Q7" s="11" t="n">
        <v>8843.5</v>
      </c>
      <c r="S7" s="10" t="n">
        <v>23530</v>
      </c>
    </row>
    <row r="8">
      <c r="D8" s="7" t="inlineStr">
        <is>
          <t>20 Grand Ave</t>
        </is>
      </c>
      <c r="E8" s="7" t="inlineStr">
        <is>
          <t>2 BD / 2 BA</t>
        </is>
      </c>
      <c r="F8" s="8" t="n">
        <v>50</v>
      </c>
      <c r="G8" s="9" t="n">
        <v>58</v>
      </c>
      <c r="H8" s="10" t="n">
        <v>66767</v>
      </c>
      <c r="I8" s="10" t="n">
        <v>1151.155172413793</v>
      </c>
      <c r="J8" s="11" t="n">
        <v>236325</v>
      </c>
      <c r="K8" s="11" t="n">
        <v>4074.568965517241</v>
      </c>
      <c r="L8" s="12" t="n">
        <v>3.539547980289664</v>
      </c>
      <c r="M8" s="11" t="n">
        <v>186638.56</v>
      </c>
      <c r="N8" s="11" t="n">
        <v>3732.7712</v>
      </c>
      <c r="O8" s="12" t="n">
        <v>3.242053918843802</v>
      </c>
      <c r="P8" s="11" t="n">
        <v>4733</v>
      </c>
      <c r="Q8" s="11" t="n">
        <v>15605</v>
      </c>
      <c r="S8" s="10" t="n">
        <v>57568</v>
      </c>
    </row>
    <row r="9">
      <c r="C9" s="13" t="inlineStr">
        <is>
          <t>Total/Wtd Average</t>
        </is>
      </c>
      <c r="D9" s="13" t="n"/>
      <c r="E9" s="13" t="n"/>
      <c r="F9" s="14" t="n">
        <v>85</v>
      </c>
      <c r="G9" s="15" t="n">
        <v>96</v>
      </c>
      <c r="H9" s="16" t="n">
        <v>94627</v>
      </c>
      <c r="I9" s="16" t="n">
        <v>985.6979166666666</v>
      </c>
      <c r="J9" s="17" t="n">
        <v>350430</v>
      </c>
      <c r="K9" s="17" t="n">
        <v>3650.3125</v>
      </c>
      <c r="L9" s="18" t="n">
        <v>3.703277077366925</v>
      </c>
      <c r="M9" s="17" t="n">
        <v>292439.87</v>
      </c>
      <c r="N9" s="17" t="n">
        <v>3440.469058823529</v>
      </c>
      <c r="O9" s="18" t="n">
        <v>3.510556282486825</v>
      </c>
      <c r="P9" s="17" t="n">
        <v>4242.59375</v>
      </c>
      <c r="Q9" s="17" t="n">
        <v>25902.5</v>
      </c>
      <c r="S9" s="16" t="n">
        <v>83303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96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85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0.8854166666666666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94627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83303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0.8803301383326112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4205160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3509278.44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310830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96</v>
      </c>
    </row>
    <row r="43">
      <c r="U43" s="26" t="inlineStr">
        <is>
          <t>Occ Units</t>
        </is>
      </c>
      <c r="W43" s="27" t="n">
        <v>85</v>
      </c>
    </row>
    <row r="44">
      <c r="U44" s="26" t="inlineStr">
        <is>
          <t>Unit %Occ</t>
        </is>
      </c>
      <c r="W44" s="28" t="n">
        <v>0.8854166666666666</v>
      </c>
    </row>
    <row r="45">
      <c r="U45" s="26" t="inlineStr">
        <is>
          <t>Net Sq Ft</t>
        </is>
      </c>
      <c r="W45" s="27" t="n">
        <v>94627</v>
      </c>
    </row>
    <row r="46">
      <c r="U46" s="26" t="inlineStr">
        <is>
          <t>SF Occ</t>
        </is>
      </c>
      <c r="W46" s="27" t="n">
        <v>83303</v>
      </c>
    </row>
    <row r="47">
      <c r="U47" s="26" t="inlineStr">
        <is>
          <t>% SF Occ</t>
        </is>
      </c>
      <c r="W47" s="28" t="n">
        <v>0.8803301383326112</v>
      </c>
    </row>
    <row r="48">
      <c r="U48" s="26" t="inlineStr">
        <is>
          <t>Mkt Rent</t>
        </is>
      </c>
      <c r="W48" s="27" t="n">
        <v>350430</v>
      </c>
    </row>
    <row r="49">
      <c r="U49" s="26" t="inlineStr">
        <is>
          <t>Cont Rent</t>
        </is>
      </c>
      <c r="W49" s="27" t="n">
        <v>292439.87</v>
      </c>
    </row>
    <row r="50">
      <c r="U50" s="26" t="inlineStr">
        <is>
          <t>Conc</t>
        </is>
      </c>
      <c r="W50" s="27" t="n">
        <v>-23424.74</v>
      </c>
    </row>
    <row r="51">
      <c r="U51" s="26" t="inlineStr">
        <is>
          <t>Other Inc</t>
        </is>
      </c>
      <c r="W51" s="27" t="n">
        <v>25902.5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20 Grand Ave</t>
        </is>
      </c>
      <c r="Y3" s="30" t="n">
        <v>46233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20 Grand Ave</t>
        </is>
      </c>
      <c r="E7" s="36" t="inlineStr">
        <is>
          <t>0 BD / 1 BA</t>
        </is>
      </c>
      <c r="F7" s="37" t="n">
        <v>4</v>
      </c>
      <c r="G7" s="9" t="n">
        <v>5</v>
      </c>
      <c r="H7" s="10" t="n">
        <v>2736</v>
      </c>
      <c r="I7" s="10" t="n">
        <v>547.2</v>
      </c>
      <c r="J7" s="11" t="n">
        <v>2565</v>
      </c>
      <c r="K7" s="38" t="n">
        <v>2582.5</v>
      </c>
      <c r="L7" s="11" t="n">
        <v>2601.25</v>
      </c>
      <c r="M7" s="39" t="n">
        <v>1.007260406582769</v>
      </c>
      <c r="N7" s="38" t="n">
        <v>2601.25</v>
      </c>
      <c r="O7" s="40" t="n">
        <v>4</v>
      </c>
      <c r="P7" s="11" t="n">
        <v>2636.666666666667</v>
      </c>
      <c r="Q7" s="40" t="n">
        <v>3</v>
      </c>
      <c r="R7" s="11" t="n">
        <v>2636.666666666667</v>
      </c>
      <c r="S7" s="40" t="n">
        <v>3</v>
      </c>
      <c r="T7" s="11" t="n">
        <v>2557.5</v>
      </c>
      <c r="U7" s="40" t="n">
        <v>2</v>
      </c>
      <c r="V7" s="11" t="n">
        <v>2557.5</v>
      </c>
      <c r="W7" s="40" t="n">
        <v>2</v>
      </c>
    </row>
    <row r="8">
      <c r="D8" s="36" t="inlineStr">
        <is>
          <t>20 Grand Ave</t>
        </is>
      </c>
      <c r="E8" s="36" t="inlineStr">
        <is>
          <t>1 BD / 1 BA</t>
        </is>
      </c>
      <c r="F8" s="37" t="n">
        <v>31</v>
      </c>
      <c r="G8" s="9" t="n">
        <v>33</v>
      </c>
      <c r="H8" s="10" t="n">
        <v>25124</v>
      </c>
      <c r="I8" s="10" t="n">
        <v>761.3333333333334</v>
      </c>
      <c r="J8" s="11" t="n">
        <v>3069.090909090909</v>
      </c>
      <c r="K8" s="38" t="n">
        <v>3060.645161290322</v>
      </c>
      <c r="L8" s="11" t="n">
        <v>3077.300322580645</v>
      </c>
      <c r="M8" s="39" t="n">
        <v>1.005441715851602</v>
      </c>
      <c r="N8" s="38" t="n">
        <v>2995.285714285714</v>
      </c>
      <c r="O8" s="40" t="n">
        <v>7</v>
      </c>
      <c r="P8" s="11" t="n">
        <v>3022</v>
      </c>
      <c r="Q8" s="40" t="n">
        <v>5</v>
      </c>
      <c r="R8" s="11" t="n">
        <v>3022</v>
      </c>
      <c r="S8" s="40" t="n">
        <v>5</v>
      </c>
      <c r="T8" s="11" t="n">
        <v>3022</v>
      </c>
      <c r="U8" s="40" t="n">
        <v>5</v>
      </c>
      <c r="V8" s="11" t="n">
        <v>3262.5</v>
      </c>
      <c r="W8" s="40" t="n">
        <v>2</v>
      </c>
    </row>
    <row r="9">
      <c r="D9" s="36" t="inlineStr">
        <is>
          <t>20 Grand Ave</t>
        </is>
      </c>
      <c r="E9" s="36" t="inlineStr">
        <is>
          <t>2 BD / 2 BA</t>
        </is>
      </c>
      <c r="F9" s="37" t="n">
        <v>50</v>
      </c>
      <c r="G9" s="9" t="n">
        <v>58</v>
      </c>
      <c r="H9" s="10" t="n">
        <v>66767</v>
      </c>
      <c r="I9" s="10" t="n">
        <v>1151.155172413793</v>
      </c>
      <c r="J9" s="11" t="n">
        <v>4074.568965517241</v>
      </c>
      <c r="K9" s="38" t="n">
        <v>4123.3</v>
      </c>
      <c r="L9" s="11" t="n">
        <v>3732.7712</v>
      </c>
      <c r="M9" s="39" t="n">
        <v>0.9052873184100114</v>
      </c>
      <c r="N9" s="38" t="n">
        <v>3676.8</v>
      </c>
      <c r="O9" s="40" t="n">
        <v>10</v>
      </c>
      <c r="P9" s="11" t="n">
        <v>3448.833333333333</v>
      </c>
      <c r="Q9" s="40" t="n">
        <v>6</v>
      </c>
      <c r="R9" s="11" t="n">
        <v>3360</v>
      </c>
      <c r="S9" s="40" t="n">
        <v>5</v>
      </c>
      <c r="T9" s="11" t="n">
        <v>2132.5</v>
      </c>
      <c r="U9" s="40" t="n">
        <v>2</v>
      </c>
      <c r="V9" s="11" t="inlineStr">
        <is>
          <t>n/a</t>
        </is>
      </c>
      <c r="W9" s="40" t="n">
        <v>0</v>
      </c>
    </row>
    <row r="10">
      <c r="C10" s="13" t="inlineStr">
        <is>
          <t>Total/Wtd Average</t>
        </is>
      </c>
      <c r="D10" s="41" t="n"/>
      <c r="E10" s="41" t="n"/>
      <c r="F10" s="15" t="n">
        <v>85</v>
      </c>
      <c r="G10" s="15" t="n">
        <v>96</v>
      </c>
      <c r="H10" s="16" t="n">
        <v>94627</v>
      </c>
      <c r="I10" s="16" t="n">
        <v>985.6979166666666</v>
      </c>
      <c r="J10" s="17" t="n">
        <v>3650.3125</v>
      </c>
      <c r="K10" s="42" t="n">
        <v>3663.235294117647</v>
      </c>
      <c r="L10" s="17" t="n">
        <v>3440.469058823529</v>
      </c>
      <c r="M10" s="43" t="n">
        <v>0.939188663187475</v>
      </c>
      <c r="N10" s="42" t="inlineStr">
        <is>
          <t>n/a</t>
        </is>
      </c>
      <c r="O10" s="44" t="n">
        <v>21</v>
      </c>
      <c r="P10" s="17" t="inlineStr">
        <is>
          <t>n/a</t>
        </is>
      </c>
      <c r="Q10" s="44" t="n">
        <v>14</v>
      </c>
      <c r="R10" s="17" t="inlineStr">
        <is>
          <t>n/a</t>
        </is>
      </c>
      <c r="S10" s="44" t="n">
        <v>13</v>
      </c>
      <c r="T10" s="17" t="inlineStr">
        <is>
          <t>n/a</t>
        </is>
      </c>
      <c r="U10" s="44" t="n">
        <v>9</v>
      </c>
      <c r="V10" s="17" t="inlineStr">
        <is>
          <t>n/a</t>
        </is>
      </c>
      <c r="W10" s="45" t="n">
        <v>4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96</v>
      </c>
    </row>
    <row r="60">
      <c r="Z60" s="26" t="inlineStr">
        <is>
          <t>Occ Units</t>
        </is>
      </c>
      <c r="AB60" s="27" t="n">
        <v>85</v>
      </c>
    </row>
    <row r="61">
      <c r="Z61" s="26" t="inlineStr">
        <is>
          <t>Unit %Occ</t>
        </is>
      </c>
      <c r="AB61" s="28" t="n">
        <v>0.8854166666666666</v>
      </c>
    </row>
    <row r="62">
      <c r="Z62" s="26" t="inlineStr">
        <is>
          <t>Net Sq Ft</t>
        </is>
      </c>
      <c r="AB62" s="27" t="n">
        <v>94627</v>
      </c>
    </row>
    <row r="63">
      <c r="Z63" s="26" t="inlineStr">
        <is>
          <t>SF Occ</t>
        </is>
      </c>
      <c r="AB63" s="27" t="n">
        <v>83303</v>
      </c>
    </row>
    <row r="64">
      <c r="Z64" s="26" t="inlineStr">
        <is>
          <t>% SF Occ</t>
        </is>
      </c>
      <c r="AB64" s="28" t="n">
        <v>0.8803301383326112</v>
      </c>
    </row>
    <row r="65">
      <c r="Z65" s="26" t="inlineStr">
        <is>
          <t>Mkt Rent</t>
        </is>
      </c>
      <c r="AB65" s="27" t="n">
        <v>350430</v>
      </c>
    </row>
    <row r="66">
      <c r="Z66" s="26" t="inlineStr">
        <is>
          <t>Cont Rent</t>
        </is>
      </c>
      <c r="AB66" s="27" t="n">
        <v>292439.87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20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20 Grand Ave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20 Grand Ave</t>
        </is>
      </c>
      <c r="E6" s="46" t="n">
        <v>0</v>
      </c>
      <c r="F6" s="8" t="n">
        <v>4</v>
      </c>
      <c r="G6" s="9" t="n">
        <v>5</v>
      </c>
      <c r="H6" s="10" t="n">
        <v>2736</v>
      </c>
      <c r="I6" s="10" t="n">
        <v>547.2</v>
      </c>
      <c r="J6" s="11" t="n">
        <v>12825</v>
      </c>
      <c r="K6" s="11" t="n">
        <v>2565</v>
      </c>
      <c r="L6" s="12" t="n">
        <v>4.6875</v>
      </c>
      <c r="M6" s="11" t="n">
        <v>10405</v>
      </c>
      <c r="N6" s="11" t="n">
        <v>2601.25</v>
      </c>
      <c r="O6" s="12" t="n">
        <v>4.718820861678005</v>
      </c>
      <c r="P6" s="11" t="n">
        <v>2795</v>
      </c>
      <c r="Q6" s="11" t="n">
        <v>1454</v>
      </c>
      <c r="S6" s="10" t="n">
        <v>2205</v>
      </c>
    </row>
    <row r="7">
      <c r="D7" s="7" t="inlineStr">
        <is>
          <t>20 Grand Ave</t>
        </is>
      </c>
      <c r="E7" s="46" t="n">
        <v>1</v>
      </c>
      <c r="F7" s="8" t="n">
        <v>31</v>
      </c>
      <c r="G7" s="9" t="n">
        <v>33</v>
      </c>
      <c r="H7" s="10" t="n">
        <v>25124</v>
      </c>
      <c r="I7" s="10" t="n">
        <v>761.3333333333334</v>
      </c>
      <c r="J7" s="11" t="n">
        <v>101280</v>
      </c>
      <c r="K7" s="11" t="n">
        <v>3069.090909090909</v>
      </c>
      <c r="L7" s="12" t="n">
        <v>4.031205222098392</v>
      </c>
      <c r="M7" s="11" t="n">
        <v>95396.31</v>
      </c>
      <c r="N7" s="11" t="n">
        <v>3077.300322580645</v>
      </c>
      <c r="O7" s="12" t="n">
        <v>4.054241818954526</v>
      </c>
      <c r="P7" s="11" t="n">
        <v>3600</v>
      </c>
      <c r="Q7" s="11" t="n">
        <v>8843.5</v>
      </c>
      <c r="S7" s="10" t="n">
        <v>23530</v>
      </c>
    </row>
    <row r="8">
      <c r="D8" s="7" t="inlineStr">
        <is>
          <t>20 Grand Ave</t>
        </is>
      </c>
      <c r="E8" s="46" t="n">
        <v>2</v>
      </c>
      <c r="F8" s="8" t="n">
        <v>50</v>
      </c>
      <c r="G8" s="9" t="n">
        <v>58</v>
      </c>
      <c r="H8" s="10" t="n">
        <v>66767</v>
      </c>
      <c r="I8" s="10" t="n">
        <v>1151.155172413793</v>
      </c>
      <c r="J8" s="11" t="n">
        <v>236325</v>
      </c>
      <c r="K8" s="11" t="n">
        <v>4074.568965517241</v>
      </c>
      <c r="L8" s="12" t="n">
        <v>3.539547980289664</v>
      </c>
      <c r="M8" s="11" t="n">
        <v>186638.56</v>
      </c>
      <c r="N8" s="11" t="n">
        <v>3732.7712</v>
      </c>
      <c r="O8" s="12" t="n">
        <v>3.242053918843802</v>
      </c>
      <c r="P8" s="11" t="n">
        <v>4733</v>
      </c>
      <c r="Q8" s="11" t="n">
        <v>15605</v>
      </c>
      <c r="S8" s="10" t="n">
        <v>57568</v>
      </c>
    </row>
    <row r="9">
      <c r="C9" s="13" t="inlineStr">
        <is>
          <t>Total/Wtd Average</t>
        </is>
      </c>
      <c r="D9" s="13" t="n"/>
      <c r="E9" s="13" t="n"/>
      <c r="F9" s="14" t="n">
        <v>85</v>
      </c>
      <c r="G9" s="15" t="n">
        <v>96</v>
      </c>
      <c r="H9" s="16" t="n">
        <v>94627</v>
      </c>
      <c r="I9" s="16" t="n">
        <v>985.6979166666666</v>
      </c>
      <c r="J9" s="17" t="n">
        <v>350430</v>
      </c>
      <c r="K9" s="17" t="n">
        <v>3650.3125</v>
      </c>
      <c r="L9" s="18" t="n">
        <v>3.703277077366925</v>
      </c>
      <c r="M9" s="17" t="n">
        <v>292439.87</v>
      </c>
      <c r="N9" s="17" t="n">
        <v>3440.469058823529</v>
      </c>
      <c r="O9" s="18" t="n">
        <v>3.510556282486825</v>
      </c>
      <c r="P9" s="17" t="inlineStr">
        <is>
          <t>N/A</t>
        </is>
      </c>
      <c r="Q9" s="17" t="n">
        <v>25902.5</v>
      </c>
      <c r="S9" s="16" t="n">
        <v>83303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96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85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0.8854166666666666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94627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83303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0.8803301383326112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4205160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3509278.44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310830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10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20 Grand Ave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20 Grand Ave</t>
        </is>
      </c>
      <c r="E8" s="54" t="inlineStr">
        <is>
          <t>201</t>
        </is>
      </c>
      <c r="F8" s="54" t="inlineStr">
        <is>
          <t>15SD1B1B</t>
        </is>
      </c>
      <c r="G8" s="54" t="inlineStr">
        <is>
          <t>1 BD / 1 BA</t>
        </is>
      </c>
      <c r="K8" s="36" t="inlineStr">
        <is>
          <t>EUNYOUNG KIM</t>
        </is>
      </c>
      <c r="L8" s="55" t="n">
        <v>852</v>
      </c>
      <c r="M8" s="56" t="n">
        <v>1</v>
      </c>
      <c r="N8" s="56" t="n">
        <v>1</v>
      </c>
      <c r="Q8" s="57" t="inlineStr">
        <is>
          <t>Occ</t>
        </is>
      </c>
      <c r="U8" s="58" t="n">
        <v>3195</v>
      </c>
      <c r="V8" s="58" t="n">
        <v>3195</v>
      </c>
      <c r="W8" s="58" t="n">
        <v>-340</v>
      </c>
      <c r="X8" s="58" t="n">
        <v>0</v>
      </c>
      <c r="Y8" s="58" t="n">
        <v>236</v>
      </c>
      <c r="Z8" s="59" t="n">
        <v>45985</v>
      </c>
      <c r="AA8" s="59" t="n">
        <v>45985</v>
      </c>
      <c r="AB8" s="59" t="n">
        <v>46714</v>
      </c>
    </row>
    <row r="9">
      <c r="D9" s="36" t="inlineStr">
        <is>
          <t>20 Grand Ave</t>
        </is>
      </c>
      <c r="E9" s="54" t="inlineStr">
        <is>
          <t>202</t>
        </is>
      </c>
      <c r="F9" s="54" t="inlineStr">
        <is>
          <t>15SD1B1B</t>
        </is>
      </c>
      <c r="G9" s="54" t="inlineStr">
        <is>
          <t>1 BD / 1 BA</t>
        </is>
      </c>
      <c r="K9" s="36" t="inlineStr">
        <is>
          <t>JUAN TORRES</t>
        </is>
      </c>
      <c r="L9" s="55" t="n">
        <v>614</v>
      </c>
      <c r="M9" s="56" t="n">
        <v>1</v>
      </c>
      <c r="N9" s="56" t="n">
        <v>1</v>
      </c>
      <c r="Q9" s="57" t="inlineStr">
        <is>
          <t>Occ</t>
        </is>
      </c>
      <c r="U9" s="58" t="n">
        <v>2650</v>
      </c>
      <c r="V9" s="58" t="n">
        <v>2730</v>
      </c>
      <c r="W9" s="58" t="n">
        <v>0</v>
      </c>
      <c r="X9" s="58" t="n">
        <v>0</v>
      </c>
      <c r="Y9" s="58" t="n">
        <v>161</v>
      </c>
      <c r="Z9" s="59" t="n">
        <v>45100</v>
      </c>
      <c r="AA9" s="59" t="n">
        <v>45100</v>
      </c>
      <c r="AB9" s="59" t="n">
        <v>46418</v>
      </c>
    </row>
    <row r="10">
      <c r="D10" s="36" t="inlineStr">
        <is>
          <t>20 Grand Ave</t>
        </is>
      </c>
      <c r="E10" s="54" t="inlineStr">
        <is>
          <t>203</t>
        </is>
      </c>
      <c r="F10" s="54" t="inlineStr">
        <is>
          <t>15SD2B2D</t>
        </is>
      </c>
      <c r="G10" s="54" t="inlineStr">
        <is>
          <t>2 BD / 2 BA</t>
        </is>
      </c>
      <c r="K10" s="36" t="inlineStr">
        <is>
          <t>DANIEL KLEIN</t>
        </is>
      </c>
      <c r="L10" s="55" t="n">
        <v>1381</v>
      </c>
      <c r="M10" s="56" t="n">
        <v>2</v>
      </c>
      <c r="N10" s="56" t="n">
        <v>2</v>
      </c>
      <c r="Q10" s="57" t="inlineStr">
        <is>
          <t>Occ</t>
        </is>
      </c>
      <c r="U10" s="58" t="n">
        <v>4595</v>
      </c>
      <c r="V10" s="58" t="n">
        <v>4595</v>
      </c>
      <c r="W10" s="58" t="n">
        <v>0</v>
      </c>
      <c r="X10" s="58" t="n">
        <v>0</v>
      </c>
      <c r="Y10" s="58" t="n">
        <v>256</v>
      </c>
      <c r="Z10" s="59" t="n">
        <v>46038</v>
      </c>
      <c r="AA10" s="59" t="n">
        <v>46038</v>
      </c>
      <c r="AB10" s="59" t="n">
        <v>46446</v>
      </c>
    </row>
    <row r="11">
      <c r="D11" s="36" t="inlineStr">
        <is>
          <t>20 Grand Ave</t>
        </is>
      </c>
      <c r="E11" s="54" t="inlineStr">
        <is>
          <t>204</t>
        </is>
      </c>
      <c r="F11" s="54" t="inlineStr">
        <is>
          <t>15SDStu</t>
        </is>
      </c>
      <c r="G11" s="54" t="inlineStr">
        <is>
          <t>0 BD / 1 BA</t>
        </is>
      </c>
      <c r="K11" s="36" t="inlineStr">
        <is>
          <t>EDNA BLABER</t>
        </is>
      </c>
      <c r="L11" s="55" t="n">
        <v>531</v>
      </c>
      <c r="M11" s="56" t="n">
        <v>0</v>
      </c>
      <c r="N11" s="56" t="n">
        <v>1</v>
      </c>
      <c r="Q11" s="57" t="inlineStr">
        <is>
          <t>Occ</t>
        </is>
      </c>
      <c r="U11" s="58" t="n">
        <v>2645</v>
      </c>
      <c r="V11" s="58" t="n">
        <v>2795</v>
      </c>
      <c r="W11" s="58" t="n">
        <v>0</v>
      </c>
      <c r="X11" s="58" t="n">
        <v>0</v>
      </c>
      <c r="Y11" s="58" t="n">
        <v>141</v>
      </c>
      <c r="Z11" s="59" t="n">
        <v>46153</v>
      </c>
      <c r="AA11" s="59" t="n">
        <v>46153</v>
      </c>
      <c r="AB11" s="59" t="n">
        <v>46538</v>
      </c>
    </row>
    <row r="12">
      <c r="D12" s="36" t="inlineStr">
        <is>
          <t>20 Grand Ave</t>
        </is>
      </c>
      <c r="E12" s="54" t="inlineStr">
        <is>
          <t>205</t>
        </is>
      </c>
      <c r="F12" s="54" t="inlineStr">
        <is>
          <t>15SD1B1D</t>
        </is>
      </c>
      <c r="G12" s="54" t="inlineStr">
        <is>
          <t>1 BD / 1 BA</t>
        </is>
      </c>
      <c r="K12" s="36" t="inlineStr">
        <is>
          <t>JUSTIN BELL</t>
        </is>
      </c>
      <c r="L12" s="55" t="n">
        <v>793</v>
      </c>
      <c r="M12" s="56" t="n">
        <v>1</v>
      </c>
      <c r="N12" s="56" t="n">
        <v>1</v>
      </c>
      <c r="Q12" s="57" t="inlineStr">
        <is>
          <t>Occ</t>
        </is>
      </c>
      <c r="U12" s="58" t="n">
        <v>3150</v>
      </c>
      <c r="V12" s="58" t="n">
        <v>3200</v>
      </c>
      <c r="W12" s="58" t="n">
        <v>-75</v>
      </c>
      <c r="X12" s="58" t="n">
        <v>0</v>
      </c>
      <c r="Y12" s="58" t="n">
        <v>236</v>
      </c>
      <c r="Z12" s="59" t="n">
        <v>46204</v>
      </c>
      <c r="AA12" s="59" t="n">
        <v>46204</v>
      </c>
      <c r="AB12" s="59" t="n">
        <v>46996</v>
      </c>
    </row>
    <row r="13">
      <c r="D13" s="36" t="inlineStr">
        <is>
          <t>20 Grand Ave</t>
        </is>
      </c>
      <c r="E13" s="54" t="inlineStr">
        <is>
          <t>206</t>
        </is>
      </c>
      <c r="F13" s="54" t="inlineStr">
        <is>
          <t>15SD1B1D</t>
        </is>
      </c>
      <c r="G13" s="54" t="inlineStr">
        <is>
          <t>1 BD / 1 BA</t>
        </is>
      </c>
      <c r="K13" s="36" t="inlineStr">
        <is>
          <t>MICHAEL POKO</t>
        </is>
      </c>
      <c r="L13" s="55" t="n">
        <v>777</v>
      </c>
      <c r="M13" s="56" t="n">
        <v>1</v>
      </c>
      <c r="N13" s="56" t="n">
        <v>1</v>
      </c>
      <c r="Q13" s="57" t="inlineStr">
        <is>
          <t>Occ</t>
        </is>
      </c>
      <c r="U13" s="58" t="n">
        <v>3150</v>
      </c>
      <c r="V13" s="58" t="n">
        <v>3120</v>
      </c>
      <c r="W13" s="58" t="n">
        <v>-75</v>
      </c>
      <c r="X13" s="58" t="n">
        <v>0</v>
      </c>
      <c r="Y13" s="58" t="n">
        <v>141</v>
      </c>
      <c r="Z13" s="59" t="n">
        <v>46179</v>
      </c>
      <c r="AA13" s="59" t="n">
        <v>46179</v>
      </c>
      <c r="AB13" s="59" t="n">
        <v>46568</v>
      </c>
    </row>
    <row r="14">
      <c r="D14" s="36" t="inlineStr">
        <is>
          <t>20 Grand Ave</t>
        </is>
      </c>
      <c r="E14" s="54" t="inlineStr">
        <is>
          <t>207</t>
        </is>
      </c>
      <c r="F14" s="54" t="inlineStr">
        <is>
          <t>15SD1B1D</t>
        </is>
      </c>
      <c r="G14" s="54" t="inlineStr">
        <is>
          <t>1 BD / 1 BA</t>
        </is>
      </c>
      <c r="K14" s="36" t="inlineStr">
        <is>
          <t>ROBIN KEARSE</t>
        </is>
      </c>
      <c r="L14" s="55" t="n">
        <v>775</v>
      </c>
      <c r="M14" s="56" t="n">
        <v>1</v>
      </c>
      <c r="N14" s="56" t="n">
        <v>1</v>
      </c>
      <c r="Q14" s="57" t="inlineStr">
        <is>
          <t>Occ</t>
        </is>
      </c>
      <c r="U14" s="58" t="n">
        <v>3150</v>
      </c>
      <c r="V14" s="58" t="n">
        <v>3245</v>
      </c>
      <c r="W14" s="58" t="n">
        <v>0</v>
      </c>
      <c r="X14" s="58" t="n">
        <v>0</v>
      </c>
      <c r="Y14" s="58" t="n">
        <v>161</v>
      </c>
      <c r="Z14" s="59" t="n">
        <v>45139</v>
      </c>
      <c r="AA14" s="59" t="n">
        <v>45139</v>
      </c>
      <c r="AB14" s="59" t="n">
        <v>46265</v>
      </c>
    </row>
    <row r="15">
      <c r="D15" s="36" t="inlineStr">
        <is>
          <t>20 Grand Ave</t>
        </is>
      </c>
      <c r="E15" s="54" t="inlineStr">
        <is>
          <t>208</t>
        </is>
      </c>
      <c r="F15" s="54" t="inlineStr">
        <is>
          <t>15SD1B1D</t>
        </is>
      </c>
      <c r="G15" s="54" t="inlineStr">
        <is>
          <t>1 BD / 1 BA</t>
        </is>
      </c>
      <c r="K15" s="36" t="inlineStr">
        <is>
          <t>JOSAIAH FERNANDES</t>
        </is>
      </c>
      <c r="L15" s="55" t="n">
        <v>777</v>
      </c>
      <c r="M15" s="56" t="n">
        <v>1</v>
      </c>
      <c r="N15" s="56" t="n">
        <v>1</v>
      </c>
      <c r="Q15" s="57" t="inlineStr">
        <is>
          <t>Occ</t>
        </is>
      </c>
      <c r="U15" s="58" t="n">
        <v>3150</v>
      </c>
      <c r="V15" s="58" t="n">
        <v>3217.55</v>
      </c>
      <c r="W15" s="58" t="n">
        <v>0</v>
      </c>
      <c r="X15" s="58" t="n">
        <v>0</v>
      </c>
      <c r="Y15" s="58" t="n">
        <v>361</v>
      </c>
      <c r="Z15" s="59" t="n">
        <v>45839</v>
      </c>
      <c r="AA15" s="59" t="n">
        <v>45839</v>
      </c>
      <c r="AB15" s="59" t="n">
        <v>46934</v>
      </c>
    </row>
    <row r="16">
      <c r="D16" s="36" t="inlineStr">
        <is>
          <t>20 Grand Ave</t>
        </is>
      </c>
      <c r="E16" s="54" t="inlineStr">
        <is>
          <t>209</t>
        </is>
      </c>
      <c r="F16" s="54" t="inlineStr">
        <is>
          <t>15SD1B1D</t>
        </is>
      </c>
      <c r="G16" s="54" t="inlineStr">
        <is>
          <t>1 BD / 1 BA</t>
        </is>
      </c>
      <c r="K16" s="36" t="inlineStr">
        <is>
          <t>JILL BIER</t>
        </is>
      </c>
      <c r="L16" s="55" t="n">
        <v>776</v>
      </c>
      <c r="M16" s="56" t="n">
        <v>1</v>
      </c>
      <c r="N16" s="56" t="n">
        <v>1</v>
      </c>
      <c r="Q16" s="57" t="inlineStr">
        <is>
          <t>Occ</t>
        </is>
      </c>
      <c r="U16" s="58" t="n">
        <v>3175</v>
      </c>
      <c r="V16" s="58" t="n">
        <v>3175</v>
      </c>
      <c r="W16" s="58" t="n">
        <v>0</v>
      </c>
      <c r="X16" s="58" t="n">
        <v>0</v>
      </c>
      <c r="Y16" s="58" t="n">
        <v>236</v>
      </c>
      <c r="Z16" s="59" t="n">
        <v>46011</v>
      </c>
      <c r="AA16" s="59" t="n">
        <v>46011</v>
      </c>
      <c r="AB16" s="59" t="n">
        <v>46375</v>
      </c>
    </row>
    <row r="17">
      <c r="D17" s="36" t="inlineStr">
        <is>
          <t>20 Grand Ave</t>
        </is>
      </c>
      <c r="E17" s="54" t="inlineStr">
        <is>
          <t>210</t>
        </is>
      </c>
      <c r="F17" s="54" t="inlineStr">
        <is>
          <t>15SD1B1D</t>
        </is>
      </c>
      <c r="G17" s="54" t="inlineStr">
        <is>
          <t>1 BD / 1 BA</t>
        </is>
      </c>
      <c r="K17" s="36" t="inlineStr">
        <is>
          <t>JASMIN ARVELO</t>
        </is>
      </c>
      <c r="L17" s="55" t="n">
        <v>807</v>
      </c>
      <c r="M17" s="56" t="n">
        <v>1</v>
      </c>
      <c r="N17" s="56" t="n">
        <v>1</v>
      </c>
      <c r="Q17" s="57" t="inlineStr">
        <is>
          <t>Occ</t>
        </is>
      </c>
      <c r="U17" s="58" t="n">
        <v>3125</v>
      </c>
      <c r="V17" s="58" t="n">
        <v>3195</v>
      </c>
      <c r="W17" s="58" t="n">
        <v>-133.13</v>
      </c>
      <c r="X17" s="58" t="n">
        <v>0</v>
      </c>
      <c r="Y17" s="58" t="n">
        <v>161</v>
      </c>
      <c r="Z17" s="59" t="n">
        <v>45650</v>
      </c>
      <c r="AA17" s="59" t="n">
        <v>45650</v>
      </c>
      <c r="AB17" s="59" t="n">
        <v>46418</v>
      </c>
    </row>
    <row r="18">
      <c r="D18" s="36" t="inlineStr">
        <is>
          <t>20 Grand Ave</t>
        </is>
      </c>
      <c r="E18" s="54" t="inlineStr">
        <is>
          <t>211</t>
        </is>
      </c>
      <c r="F18" s="54" t="inlineStr">
        <is>
          <t>15SD2B2B</t>
        </is>
      </c>
      <c r="G18" s="54" t="inlineStr">
        <is>
          <t>2 BD / 2 BA</t>
        </is>
      </c>
      <c r="K18" s="36" t="inlineStr">
        <is>
          <t>MICHAEL YENKO</t>
        </is>
      </c>
      <c r="L18" s="55" t="n">
        <v>1061</v>
      </c>
      <c r="M18" s="56" t="n">
        <v>2</v>
      </c>
      <c r="N18" s="56" t="n">
        <v>2</v>
      </c>
      <c r="Q18" s="57" t="inlineStr">
        <is>
          <t>Occ</t>
        </is>
      </c>
      <c r="U18" s="58" t="n">
        <v>3795</v>
      </c>
      <c r="V18" s="58" t="n">
        <v>3395</v>
      </c>
      <c r="W18" s="58" t="n">
        <v>0</v>
      </c>
      <c r="X18" s="58" t="n">
        <v>0</v>
      </c>
      <c r="Y18" s="58" t="n">
        <v>161</v>
      </c>
      <c r="Z18" s="59" t="n">
        <v>45474</v>
      </c>
      <c r="AA18" s="59" t="n">
        <v>45474</v>
      </c>
      <c r="AB18" s="59" t="n">
        <v>46234</v>
      </c>
    </row>
    <row r="19">
      <c r="D19" s="36" t="inlineStr">
        <is>
          <t>20 Grand Ave</t>
        </is>
      </c>
      <c r="E19" s="54" t="inlineStr">
        <is>
          <t>212</t>
        </is>
      </c>
      <c r="F19" s="54" t="inlineStr">
        <is>
          <t>15SD1B1D</t>
        </is>
      </c>
      <c r="G19" s="54" t="inlineStr">
        <is>
          <t>1 BD / 1 BA</t>
        </is>
      </c>
      <c r="K19" s="36" t="inlineStr">
        <is>
          <t>MARISA GORE</t>
        </is>
      </c>
      <c r="L19" s="55" t="n">
        <v>817</v>
      </c>
      <c r="M19" s="56" t="n">
        <v>1</v>
      </c>
      <c r="N19" s="56" t="n">
        <v>1</v>
      </c>
      <c r="Q19" s="57" t="inlineStr">
        <is>
          <t>Occ</t>
        </is>
      </c>
      <c r="U19" s="58" t="n">
        <v>3150</v>
      </c>
      <c r="V19" s="58" t="n">
        <v>2995</v>
      </c>
      <c r="W19" s="58" t="n">
        <v>0</v>
      </c>
      <c r="X19" s="58" t="n">
        <v>0</v>
      </c>
      <c r="Y19" s="58" t="n">
        <v>161</v>
      </c>
      <c r="Z19" s="59" t="n">
        <v>45139</v>
      </c>
      <c r="AA19" s="59" t="n">
        <v>45139</v>
      </c>
      <c r="AB19" s="59" t="n">
        <v>46265</v>
      </c>
    </row>
    <row r="20">
      <c r="D20" s="36" t="inlineStr">
        <is>
          <t>20 Grand Ave</t>
        </is>
      </c>
      <c r="E20" s="54" t="inlineStr">
        <is>
          <t>213</t>
        </is>
      </c>
      <c r="F20" s="54" t="inlineStr">
        <is>
          <t>15SD1B1D</t>
        </is>
      </c>
      <c r="G20" s="54" t="inlineStr">
        <is>
          <t>1 BD / 1 BA</t>
        </is>
      </c>
      <c r="K20" s="36" t="inlineStr">
        <is>
          <t>GEORGE STULTZ</t>
        </is>
      </c>
      <c r="L20" s="55" t="n">
        <v>789</v>
      </c>
      <c r="M20" s="56" t="n">
        <v>1</v>
      </c>
      <c r="N20" s="56" t="n">
        <v>1</v>
      </c>
      <c r="Q20" s="57" t="inlineStr">
        <is>
          <t>Occ</t>
        </is>
      </c>
      <c r="U20" s="58" t="n">
        <v>2995</v>
      </c>
      <c r="V20" s="58" t="n">
        <v>3180</v>
      </c>
      <c r="W20" s="58" t="n">
        <v>0</v>
      </c>
      <c r="X20" s="58" t="n">
        <v>0</v>
      </c>
      <c r="Y20" s="58" t="n">
        <v>236</v>
      </c>
      <c r="Z20" s="59" t="n">
        <v>46096</v>
      </c>
      <c r="AA20" s="59" t="n">
        <v>46096</v>
      </c>
      <c r="AB20" s="59" t="n">
        <v>46904</v>
      </c>
    </row>
    <row r="21">
      <c r="D21" s="36" t="inlineStr">
        <is>
          <t>20 Grand Ave</t>
        </is>
      </c>
      <c r="E21" s="54" t="inlineStr">
        <is>
          <t>214</t>
        </is>
      </c>
      <c r="F21" s="54" t="inlineStr">
        <is>
          <t>15SD1B1D</t>
        </is>
      </c>
      <c r="G21" s="54" t="inlineStr">
        <is>
          <t>1 BD / 1 BA</t>
        </is>
      </c>
      <c r="K21" s="36" t="inlineStr">
        <is>
          <t>Vacant</t>
        </is>
      </c>
      <c r="L21" s="55" t="n">
        <v>777</v>
      </c>
      <c r="M21" s="56" t="n">
        <v>1</v>
      </c>
      <c r="N21" s="56" t="n">
        <v>1</v>
      </c>
      <c r="Q21" s="57" t="inlineStr">
        <is>
          <t>Vac</t>
        </is>
      </c>
      <c r="U21" s="58" t="n">
        <v>3200</v>
      </c>
      <c r="V21" s="58" t="n">
        <v>0</v>
      </c>
      <c r="W21" s="58" t="n">
        <v>0</v>
      </c>
      <c r="X21" s="58" t="n">
        <v>0</v>
      </c>
      <c r="Y21" s="58" t="n">
        <v>0</v>
      </c>
    </row>
    <row r="22">
      <c r="D22" s="36" t="inlineStr">
        <is>
          <t>20 Grand Ave</t>
        </is>
      </c>
      <c r="E22" s="54" t="inlineStr">
        <is>
          <t>215</t>
        </is>
      </c>
      <c r="F22" s="54" t="inlineStr">
        <is>
          <t>15SD1B1D</t>
        </is>
      </c>
      <c r="G22" s="54" t="inlineStr">
        <is>
          <t>1 BD / 1 BA</t>
        </is>
      </c>
      <c r="K22" s="36" t="inlineStr">
        <is>
          <t>MATTHEW KLUFT</t>
        </is>
      </c>
      <c r="L22" s="55" t="n">
        <v>785</v>
      </c>
      <c r="M22" s="56" t="n">
        <v>1</v>
      </c>
      <c r="N22" s="56" t="n">
        <v>1</v>
      </c>
      <c r="Q22" s="57" t="inlineStr">
        <is>
          <t>Occ</t>
        </is>
      </c>
      <c r="U22" s="58" t="n">
        <v>2995</v>
      </c>
      <c r="V22" s="58" t="n">
        <v>3255</v>
      </c>
      <c r="W22" s="58" t="n">
        <v>0</v>
      </c>
      <c r="X22" s="58" t="n">
        <v>0</v>
      </c>
      <c r="Y22" s="58" t="n">
        <v>456</v>
      </c>
      <c r="Z22" s="59" t="n">
        <v>45809</v>
      </c>
      <c r="AA22" s="59" t="n">
        <v>45809</v>
      </c>
      <c r="AB22" s="59" t="n">
        <v>46568</v>
      </c>
    </row>
    <row r="23">
      <c r="D23" s="36" t="inlineStr">
        <is>
          <t>20 Grand Ave</t>
        </is>
      </c>
      <c r="E23" s="54" t="inlineStr">
        <is>
          <t>216</t>
        </is>
      </c>
      <c r="F23" s="54" t="inlineStr">
        <is>
          <t>15SD2B2B</t>
        </is>
      </c>
      <c r="G23" s="54" t="inlineStr">
        <is>
          <t>2 BD / 2 BA</t>
        </is>
      </c>
      <c r="K23" s="36" t="inlineStr">
        <is>
          <t>JESUS RUIZ MATA</t>
        </is>
      </c>
      <c r="L23" s="55" t="n">
        <v>1269</v>
      </c>
      <c r="M23" s="56" t="n">
        <v>2</v>
      </c>
      <c r="N23" s="56" t="n">
        <v>2</v>
      </c>
      <c r="Q23" s="57" t="inlineStr">
        <is>
          <t>Occ</t>
        </is>
      </c>
      <c r="U23" s="58" t="n">
        <v>4195</v>
      </c>
      <c r="V23" s="58" t="n">
        <v>4195</v>
      </c>
      <c r="W23" s="58" t="n">
        <v>-95</v>
      </c>
      <c r="X23" s="58" t="n">
        <v>0</v>
      </c>
      <c r="Y23" s="58" t="n">
        <v>161</v>
      </c>
      <c r="Z23" s="59" t="n">
        <v>46088</v>
      </c>
      <c r="AA23" s="59" t="n">
        <v>46088</v>
      </c>
      <c r="AB23" s="59" t="n">
        <v>46477</v>
      </c>
    </row>
    <row r="24">
      <c r="D24" s="36" t="inlineStr">
        <is>
          <t>20 Grand Ave</t>
        </is>
      </c>
      <c r="E24" s="54" t="inlineStr">
        <is>
          <t>217</t>
        </is>
      </c>
      <c r="F24" s="54" t="inlineStr">
        <is>
          <t>15SD2B2B</t>
        </is>
      </c>
      <c r="G24" s="54" t="inlineStr">
        <is>
          <t>2 BD / 2 BA</t>
        </is>
      </c>
      <c r="K24" s="36" t="inlineStr">
        <is>
          <t>JOSHUA SCHNEIDER</t>
        </is>
      </c>
      <c r="L24" s="55" t="n">
        <v>1058</v>
      </c>
      <c r="M24" s="56" t="n">
        <v>2</v>
      </c>
      <c r="N24" s="56" t="n">
        <v>2</v>
      </c>
      <c r="Q24" s="57" t="inlineStr">
        <is>
          <t>Occ</t>
        </is>
      </c>
      <c r="U24" s="58" t="n">
        <v>3795</v>
      </c>
      <c r="V24" s="58" t="n">
        <v>3270.25</v>
      </c>
      <c r="W24" s="58" t="n">
        <v>0</v>
      </c>
      <c r="X24" s="58" t="n">
        <v>0</v>
      </c>
      <c r="Y24" s="58" t="n">
        <v>306</v>
      </c>
      <c r="Z24" s="59" t="n">
        <v>45000</v>
      </c>
      <c r="AA24" s="59" t="n">
        <v>45000</v>
      </c>
      <c r="AB24" s="59" t="n">
        <v>46234</v>
      </c>
    </row>
    <row r="25">
      <c r="D25" s="36" t="inlineStr">
        <is>
          <t>20 Grand Ave</t>
        </is>
      </c>
      <c r="E25" s="54" t="inlineStr">
        <is>
          <t>218</t>
        </is>
      </c>
      <c r="F25" s="54" t="inlineStr">
        <is>
          <t>15SD2B2B</t>
        </is>
      </c>
      <c r="G25" s="54" t="inlineStr">
        <is>
          <t>2 BD / 2 BA</t>
        </is>
      </c>
      <c r="K25" s="36" t="inlineStr">
        <is>
          <t>DANIEL GOLDBERG</t>
        </is>
      </c>
      <c r="L25" s="55" t="n">
        <v>1189</v>
      </c>
      <c r="M25" s="56" t="n">
        <v>2</v>
      </c>
      <c r="N25" s="56" t="n">
        <v>2</v>
      </c>
      <c r="Q25" s="57" t="inlineStr">
        <is>
          <t>Occ</t>
        </is>
      </c>
      <c r="U25" s="58" t="n">
        <v>4095</v>
      </c>
      <c r="V25" s="58" t="n">
        <v>3995</v>
      </c>
      <c r="W25" s="58" t="n">
        <v>-100</v>
      </c>
      <c r="X25" s="58" t="n">
        <v>0</v>
      </c>
      <c r="Y25" s="58" t="n">
        <v>226</v>
      </c>
      <c r="Z25" s="59" t="n">
        <v>45444</v>
      </c>
      <c r="AA25" s="59" t="n">
        <v>45444</v>
      </c>
      <c r="AB25" s="59" t="n">
        <v>46356</v>
      </c>
    </row>
    <row r="26">
      <c r="D26" s="36" t="inlineStr">
        <is>
          <t>20 Grand Ave</t>
        </is>
      </c>
      <c r="E26" s="54" t="inlineStr">
        <is>
          <t>219</t>
        </is>
      </c>
      <c r="F26" s="54" t="inlineStr">
        <is>
          <t>15SD2B2B</t>
        </is>
      </c>
      <c r="G26" s="54" t="inlineStr">
        <is>
          <t>2 BD / 2 BA</t>
        </is>
      </c>
      <c r="K26" s="36" t="inlineStr">
        <is>
          <t>SHARON BEN DANIEL</t>
        </is>
      </c>
      <c r="L26" s="55" t="n">
        <v>911</v>
      </c>
      <c r="M26" s="56" t="n">
        <v>2</v>
      </c>
      <c r="N26" s="56" t="n">
        <v>2</v>
      </c>
      <c r="Q26" s="57" t="inlineStr">
        <is>
          <t>Occ</t>
        </is>
      </c>
      <c r="U26" s="58" t="n">
        <v>3595</v>
      </c>
      <c r="V26" s="58" t="n">
        <v>3595</v>
      </c>
      <c r="W26" s="58" t="n">
        <v>0</v>
      </c>
      <c r="X26" s="58" t="n">
        <v>0</v>
      </c>
      <c r="Y26" s="58" t="n">
        <v>236</v>
      </c>
      <c r="Z26" s="59" t="n">
        <v>45992</v>
      </c>
      <c r="AA26" s="59" t="n">
        <v>45992</v>
      </c>
      <c r="AB26" s="59" t="n">
        <v>46599</v>
      </c>
    </row>
    <row r="27">
      <c r="D27" s="36" t="inlineStr">
        <is>
          <t>20 Grand Ave</t>
        </is>
      </c>
      <c r="E27" s="54" t="inlineStr">
        <is>
          <t>301</t>
        </is>
      </c>
      <c r="F27" s="54" t="inlineStr">
        <is>
          <t>15SD1B1B</t>
        </is>
      </c>
      <c r="G27" s="54" t="inlineStr">
        <is>
          <t>1 BD / 1 BA</t>
        </is>
      </c>
      <c r="K27" s="36" t="inlineStr">
        <is>
          <t>IRENE ROMAKER</t>
        </is>
      </c>
      <c r="L27" s="55" t="n">
        <v>702</v>
      </c>
      <c r="M27" s="56" t="n">
        <v>1</v>
      </c>
      <c r="N27" s="56" t="n">
        <v>1</v>
      </c>
      <c r="Q27" s="57" t="inlineStr">
        <is>
          <t>Occ</t>
        </is>
      </c>
      <c r="U27" s="58" t="n">
        <v>2900</v>
      </c>
      <c r="V27" s="58" t="n">
        <v>3195</v>
      </c>
      <c r="W27" s="58" t="n">
        <v>0</v>
      </c>
      <c r="X27" s="58" t="n">
        <v>0</v>
      </c>
      <c r="Y27" s="58" t="n">
        <v>211</v>
      </c>
      <c r="Z27" s="59" t="n">
        <v>45488</v>
      </c>
      <c r="AA27" s="59" t="n">
        <v>45488</v>
      </c>
      <c r="AB27" s="59" t="n">
        <v>46295</v>
      </c>
    </row>
    <row r="28">
      <c r="D28" s="36" t="inlineStr">
        <is>
          <t>20 Grand Ave</t>
        </is>
      </c>
      <c r="E28" s="54" t="inlineStr">
        <is>
          <t>302</t>
        </is>
      </c>
      <c r="F28" s="54" t="inlineStr">
        <is>
          <t>15SD1B1B</t>
        </is>
      </c>
      <c r="G28" s="54" t="inlineStr">
        <is>
          <t>1 BD / 1 BA</t>
        </is>
      </c>
      <c r="K28" s="36" t="inlineStr">
        <is>
          <t>JULIANA BERARDINELLI</t>
        </is>
      </c>
      <c r="L28" s="55" t="n">
        <v>615</v>
      </c>
      <c r="M28" s="56" t="n">
        <v>1</v>
      </c>
      <c r="N28" s="56" t="n">
        <v>1</v>
      </c>
      <c r="Q28" s="57" t="inlineStr">
        <is>
          <t>Occ</t>
        </is>
      </c>
      <c r="U28" s="58" t="n">
        <v>2725</v>
      </c>
      <c r="V28" s="58" t="n">
        <v>2695</v>
      </c>
      <c r="W28" s="58" t="n">
        <v>-75</v>
      </c>
      <c r="X28" s="58" t="n">
        <v>0</v>
      </c>
      <c r="Y28" s="58" t="n">
        <v>306</v>
      </c>
      <c r="Z28" s="59" t="n">
        <v>46174</v>
      </c>
      <c r="AA28" s="59" t="n">
        <v>46174</v>
      </c>
      <c r="AB28" s="59" t="n">
        <v>46568</v>
      </c>
    </row>
    <row r="29">
      <c r="D29" s="36" t="inlineStr">
        <is>
          <t>20 Grand Ave</t>
        </is>
      </c>
      <c r="E29" s="54" t="inlineStr">
        <is>
          <t>303</t>
        </is>
      </c>
      <c r="F29" s="54" t="inlineStr">
        <is>
          <t>15SD2B2B</t>
        </is>
      </c>
      <c r="G29" s="54" t="inlineStr">
        <is>
          <t>2 BD / 2 BA</t>
        </is>
      </c>
      <c r="K29" s="36" t="inlineStr">
        <is>
          <t>HOWARD RAYMOND</t>
        </is>
      </c>
      <c r="L29" s="55" t="n">
        <v>1245</v>
      </c>
      <c r="M29" s="56" t="n">
        <v>2</v>
      </c>
      <c r="N29" s="56" t="n">
        <v>2</v>
      </c>
      <c r="Q29" s="57" t="inlineStr">
        <is>
          <t>Occ</t>
        </is>
      </c>
      <c r="U29" s="58" t="n">
        <v>4595</v>
      </c>
      <c r="V29" s="58" t="n">
        <v>4733</v>
      </c>
      <c r="W29" s="58" t="n">
        <v>0</v>
      </c>
      <c r="X29" s="58" t="n">
        <v>0</v>
      </c>
      <c r="Y29" s="58" t="n">
        <v>661</v>
      </c>
      <c r="Z29" s="59" t="n">
        <v>45078</v>
      </c>
      <c r="AA29" s="59" t="n">
        <v>45078</v>
      </c>
      <c r="AB29" s="59" t="n">
        <v>46203</v>
      </c>
    </row>
    <row r="30">
      <c r="D30" s="36" t="inlineStr">
        <is>
          <t>20 Grand Ave</t>
        </is>
      </c>
      <c r="E30" s="54" t="inlineStr">
        <is>
          <t>304</t>
        </is>
      </c>
      <c r="F30" s="54" t="inlineStr">
        <is>
          <t>15SDStu</t>
        </is>
      </c>
      <c r="G30" s="54" t="inlineStr">
        <is>
          <t>0 BD / 1 BA</t>
        </is>
      </c>
      <c r="K30" s="36" t="inlineStr">
        <is>
          <t>Poras Shokeen</t>
        </is>
      </c>
      <c r="L30" s="55" t="n">
        <v>531</v>
      </c>
      <c r="M30" s="56" t="n">
        <v>0</v>
      </c>
      <c r="N30" s="56" t="n">
        <v>1</v>
      </c>
      <c r="Q30" s="57" t="inlineStr">
        <is>
          <t>Occ</t>
        </is>
      </c>
      <c r="U30" s="58" t="n">
        <v>2545</v>
      </c>
      <c r="V30" s="58" t="n">
        <v>2495</v>
      </c>
      <c r="W30" s="58" t="n">
        <v>0</v>
      </c>
      <c r="X30" s="58" t="n">
        <v>0</v>
      </c>
      <c r="Y30" s="58" t="n">
        <v>436</v>
      </c>
      <c r="Z30" s="59" t="n">
        <v>46211</v>
      </c>
      <c r="AA30" s="59" t="n">
        <v>46211</v>
      </c>
      <c r="AB30" s="59" t="n">
        <v>46418</v>
      </c>
    </row>
    <row r="31">
      <c r="D31" s="36" t="inlineStr">
        <is>
          <t>20 Grand Ave</t>
        </is>
      </c>
      <c r="E31" s="54" t="inlineStr">
        <is>
          <t>305</t>
        </is>
      </c>
      <c r="F31" s="54" t="inlineStr">
        <is>
          <t>15SD2B2B</t>
        </is>
      </c>
      <c r="G31" s="54" t="inlineStr">
        <is>
          <t>2 BD / 2 BA</t>
        </is>
      </c>
      <c r="K31" s="36" t="inlineStr">
        <is>
          <t>Vacant</t>
        </is>
      </c>
      <c r="L31" s="55" t="n">
        <v>1189</v>
      </c>
      <c r="M31" s="56" t="n">
        <v>2</v>
      </c>
      <c r="N31" s="56" t="n">
        <v>2</v>
      </c>
      <c r="Q31" s="57" t="inlineStr">
        <is>
          <t>Vac</t>
        </is>
      </c>
      <c r="U31" s="58" t="n">
        <v>3595</v>
      </c>
      <c r="V31" s="58" t="n">
        <v>0</v>
      </c>
      <c r="W31" s="58" t="n">
        <v>0</v>
      </c>
      <c r="X31" s="58" t="n">
        <v>0</v>
      </c>
      <c r="Y31" s="58" t="n">
        <v>0</v>
      </c>
    </row>
    <row r="32">
      <c r="D32" s="36" t="inlineStr">
        <is>
          <t>20 Grand Ave</t>
        </is>
      </c>
      <c r="E32" s="54" t="inlineStr">
        <is>
          <t>306</t>
        </is>
      </c>
      <c r="F32" s="54" t="inlineStr">
        <is>
          <t>15SD2B2D</t>
        </is>
      </c>
      <c r="G32" s="54" t="inlineStr">
        <is>
          <t>2 BD / 2 BA</t>
        </is>
      </c>
      <c r="K32" s="36" t="inlineStr">
        <is>
          <t>BRITTANY MARTINEZ</t>
        </is>
      </c>
      <c r="L32" s="55" t="n">
        <v>1156</v>
      </c>
      <c r="M32" s="56" t="n">
        <v>2</v>
      </c>
      <c r="N32" s="56" t="n">
        <v>2</v>
      </c>
      <c r="Q32" s="57" t="inlineStr">
        <is>
          <t>Occ</t>
        </is>
      </c>
      <c r="U32" s="58" t="n">
        <v>4080</v>
      </c>
      <c r="V32" s="58" t="n">
        <v>4080</v>
      </c>
      <c r="W32" s="58" t="n">
        <v>-578</v>
      </c>
      <c r="X32" s="58" t="n">
        <v>0</v>
      </c>
      <c r="Y32" s="58" t="n">
        <v>236</v>
      </c>
      <c r="Z32" s="59" t="n">
        <v>45936</v>
      </c>
      <c r="AA32" s="59" t="n">
        <v>45936</v>
      </c>
      <c r="AB32" s="59" t="n">
        <v>46544</v>
      </c>
    </row>
    <row r="33">
      <c r="D33" s="36" t="inlineStr">
        <is>
          <t>20 Grand Ave</t>
        </is>
      </c>
      <c r="E33" s="54" t="inlineStr">
        <is>
          <t>307</t>
        </is>
      </c>
      <c r="F33" s="54" t="inlineStr">
        <is>
          <t>15SD2B2D</t>
        </is>
      </c>
      <c r="G33" s="54" t="inlineStr">
        <is>
          <t>2 BD / 2 BA</t>
        </is>
      </c>
      <c r="K33" s="36" t="inlineStr">
        <is>
          <t>RICK DAI</t>
        </is>
      </c>
      <c r="L33" s="55" t="n">
        <v>1169</v>
      </c>
      <c r="M33" s="56" t="n">
        <v>2</v>
      </c>
      <c r="N33" s="56" t="n">
        <v>2</v>
      </c>
      <c r="Q33" s="57" t="inlineStr">
        <is>
          <t>Occ</t>
        </is>
      </c>
      <c r="U33" s="58" t="n">
        <v>4095</v>
      </c>
      <c r="V33" s="58" t="n">
        <v>4095</v>
      </c>
      <c r="W33" s="58" t="n">
        <v>0</v>
      </c>
      <c r="X33" s="58" t="n">
        <v>0</v>
      </c>
      <c r="Y33" s="58" t="n">
        <v>236</v>
      </c>
      <c r="Z33" s="59" t="n">
        <v>46006</v>
      </c>
      <c r="AA33" s="59" t="n">
        <v>46006</v>
      </c>
      <c r="AB33" s="59" t="n">
        <v>46797</v>
      </c>
    </row>
    <row r="34">
      <c r="D34" s="36" t="inlineStr">
        <is>
          <t>20 Grand Ave</t>
        </is>
      </c>
      <c r="E34" s="54" t="inlineStr">
        <is>
          <t>308</t>
        </is>
      </c>
      <c r="F34" s="54" t="inlineStr">
        <is>
          <t>15SD2B2B</t>
        </is>
      </c>
      <c r="G34" s="54" t="inlineStr">
        <is>
          <t>2 BD / 2 BA</t>
        </is>
      </c>
      <c r="K34" s="36" t="inlineStr">
        <is>
          <t>Vacant</t>
        </is>
      </c>
      <c r="L34" s="55" t="n">
        <v>1189</v>
      </c>
      <c r="M34" s="56" t="n">
        <v>2</v>
      </c>
      <c r="N34" s="56" t="n">
        <v>2</v>
      </c>
      <c r="Q34" s="57" t="inlineStr">
        <is>
          <t>Vac</t>
        </is>
      </c>
      <c r="U34" s="58" t="n">
        <v>3595</v>
      </c>
      <c r="V34" s="58" t="n">
        <v>0</v>
      </c>
      <c r="W34" s="58" t="n">
        <v>0</v>
      </c>
      <c r="X34" s="58" t="n">
        <v>0</v>
      </c>
      <c r="Y34" s="58" t="n">
        <v>0</v>
      </c>
    </row>
    <row r="35">
      <c r="D35" s="36" t="inlineStr">
        <is>
          <t>20 Grand Ave</t>
        </is>
      </c>
      <c r="E35" s="54" t="inlineStr">
        <is>
          <t>309</t>
        </is>
      </c>
      <c r="F35" s="54" t="inlineStr">
        <is>
          <t>15SD2B2B</t>
        </is>
      </c>
      <c r="G35" s="54" t="inlineStr">
        <is>
          <t>2 BD / 2 BA</t>
        </is>
      </c>
      <c r="K35" s="36" t="inlineStr">
        <is>
          <t>SANGJIN NA</t>
        </is>
      </c>
      <c r="L35" s="55" t="n">
        <v>1061</v>
      </c>
      <c r="M35" s="56" t="n">
        <v>2</v>
      </c>
      <c r="N35" s="56" t="n">
        <v>2</v>
      </c>
      <c r="Q35" s="57" t="inlineStr">
        <is>
          <t>Occ</t>
        </is>
      </c>
      <c r="U35" s="58" t="n">
        <v>3695</v>
      </c>
      <c r="V35" s="58" t="n">
        <v>3595</v>
      </c>
      <c r="W35" s="58" t="n">
        <v>-3765</v>
      </c>
      <c r="X35" s="58" t="n">
        <v>0</v>
      </c>
      <c r="Y35" s="58" t="n">
        <v>236</v>
      </c>
      <c r="Z35" s="59" t="n">
        <v>46199</v>
      </c>
      <c r="AA35" s="59" t="n">
        <v>46199</v>
      </c>
      <c r="AB35" s="59" t="n">
        <v>46996</v>
      </c>
    </row>
    <row r="36">
      <c r="D36" s="36" t="inlineStr">
        <is>
          <t>20 Grand Ave</t>
        </is>
      </c>
      <c r="E36" s="54" t="inlineStr">
        <is>
          <t>310</t>
        </is>
      </c>
      <c r="F36" s="54" t="inlineStr">
        <is>
          <t>15SD2B2B</t>
        </is>
      </c>
      <c r="G36" s="54" t="inlineStr">
        <is>
          <t>2 BD / 2 BA</t>
        </is>
      </c>
      <c r="K36" s="36" t="inlineStr">
        <is>
          <t>GABRIELLE CHAMOUN</t>
        </is>
      </c>
      <c r="L36" s="55" t="n">
        <v>1057</v>
      </c>
      <c r="M36" s="56" t="n">
        <v>2</v>
      </c>
      <c r="N36" s="56" t="n">
        <v>2</v>
      </c>
      <c r="Q36" s="57" t="inlineStr">
        <is>
          <t>Occ</t>
        </is>
      </c>
      <c r="U36" s="58" t="n">
        <v>3595</v>
      </c>
      <c r="V36" s="58" t="n">
        <v>3640</v>
      </c>
      <c r="W36" s="58" t="n">
        <v>0</v>
      </c>
      <c r="X36" s="58" t="n">
        <v>0</v>
      </c>
      <c r="Y36" s="58" t="n">
        <v>256</v>
      </c>
      <c r="Z36" s="59" t="n">
        <v>45627</v>
      </c>
      <c r="AA36" s="59" t="n">
        <v>45627</v>
      </c>
      <c r="AB36" s="59" t="n">
        <v>46234</v>
      </c>
    </row>
    <row r="37">
      <c r="D37" s="36" t="inlineStr">
        <is>
          <t>20 Grand Ave</t>
        </is>
      </c>
      <c r="E37" s="54" t="inlineStr">
        <is>
          <t>311</t>
        </is>
      </c>
      <c r="F37" s="54" t="inlineStr">
        <is>
          <t>15SD2B2B</t>
        </is>
      </c>
      <c r="G37" s="54" t="inlineStr">
        <is>
          <t>2 BD / 2 BA</t>
        </is>
      </c>
      <c r="K37" s="36" t="inlineStr">
        <is>
          <t>MICHELE BAUMAN</t>
        </is>
      </c>
      <c r="L37" s="55" t="n">
        <v>1188</v>
      </c>
      <c r="M37" s="56" t="n">
        <v>2</v>
      </c>
      <c r="N37" s="56" t="n">
        <v>2</v>
      </c>
      <c r="Q37" s="57" t="inlineStr">
        <is>
          <t>Occ</t>
        </is>
      </c>
      <c r="U37" s="58" t="n">
        <v>3995</v>
      </c>
      <c r="V37" s="58" t="n">
        <v>4115</v>
      </c>
      <c r="W37" s="58" t="n">
        <v>0</v>
      </c>
      <c r="X37" s="58" t="n">
        <v>0</v>
      </c>
      <c r="Y37" s="58" t="n">
        <v>506</v>
      </c>
      <c r="Z37" s="59" t="n">
        <v>45427</v>
      </c>
      <c r="AA37" s="59" t="n">
        <v>45427</v>
      </c>
      <c r="AB37" s="59" t="n">
        <v>46568</v>
      </c>
    </row>
    <row r="38">
      <c r="D38" s="36" t="inlineStr">
        <is>
          <t>20 Grand Ave</t>
        </is>
      </c>
      <c r="E38" s="54" t="inlineStr">
        <is>
          <t>312</t>
        </is>
      </c>
      <c r="F38" s="54" t="inlineStr">
        <is>
          <t>15SD2B2D</t>
        </is>
      </c>
      <c r="G38" s="54" t="inlineStr">
        <is>
          <t>2 BD / 2 BA</t>
        </is>
      </c>
      <c r="K38" s="36" t="inlineStr">
        <is>
          <t>MARQUIS TERRELL</t>
        </is>
      </c>
      <c r="L38" s="55" t="n">
        <v>1164</v>
      </c>
      <c r="M38" s="56" t="n">
        <v>2</v>
      </c>
      <c r="N38" s="56" t="n">
        <v>2</v>
      </c>
      <c r="Q38" s="57" t="inlineStr">
        <is>
          <t>Occ</t>
        </is>
      </c>
      <c r="U38" s="58" t="n">
        <v>4095</v>
      </c>
      <c r="V38" s="58" t="n">
        <v>3695</v>
      </c>
      <c r="W38" s="58" t="n">
        <v>0</v>
      </c>
      <c r="X38" s="58" t="n">
        <v>0</v>
      </c>
      <c r="Y38" s="58" t="n">
        <v>141</v>
      </c>
      <c r="Z38" s="59" t="n">
        <v>45901</v>
      </c>
      <c r="AA38" s="59" t="n">
        <v>45901</v>
      </c>
      <c r="AB38" s="59" t="n">
        <v>46265</v>
      </c>
    </row>
    <row r="39">
      <c r="D39" s="36" t="inlineStr">
        <is>
          <t>20 Grand Ave</t>
        </is>
      </c>
      <c r="E39" s="54" t="inlineStr">
        <is>
          <t>313</t>
        </is>
      </c>
      <c r="F39" s="54" t="inlineStr">
        <is>
          <t>15SD2B2D</t>
        </is>
      </c>
      <c r="G39" s="54" t="inlineStr">
        <is>
          <t>2 BD / 2 BA</t>
        </is>
      </c>
      <c r="K39" s="36" t="inlineStr">
        <is>
          <t>NAOMI NUSSBAUM</t>
        </is>
      </c>
      <c r="L39" s="55" t="n">
        <v>1164</v>
      </c>
      <c r="M39" s="56" t="n">
        <v>2</v>
      </c>
      <c r="N39" s="56" t="n">
        <v>2</v>
      </c>
      <c r="Q39" s="57" t="inlineStr">
        <is>
          <t>Occ</t>
        </is>
      </c>
      <c r="U39" s="58" t="n">
        <v>4295</v>
      </c>
      <c r="V39" s="58" t="n">
        <v>4295</v>
      </c>
      <c r="W39" s="58" t="n">
        <v>0</v>
      </c>
      <c r="X39" s="58" t="n">
        <v>0</v>
      </c>
      <c r="Y39" s="58" t="n">
        <v>726</v>
      </c>
      <c r="Z39" s="59" t="n">
        <v>45170</v>
      </c>
      <c r="AA39" s="59" t="n">
        <v>45170</v>
      </c>
      <c r="AB39" s="59" t="n">
        <v>46112</v>
      </c>
    </row>
    <row r="40">
      <c r="D40" s="36" t="inlineStr">
        <is>
          <t>20 Grand Ave</t>
        </is>
      </c>
      <c r="E40" s="54" t="inlineStr">
        <is>
          <t>314</t>
        </is>
      </c>
      <c r="F40" s="54" t="inlineStr">
        <is>
          <t>15SD2B2B</t>
        </is>
      </c>
      <c r="G40" s="54" t="inlineStr">
        <is>
          <t>2 BD / 2 BA</t>
        </is>
      </c>
      <c r="K40" s="36" t="inlineStr">
        <is>
          <t>NAZ KORKMAZ</t>
        </is>
      </c>
      <c r="L40" s="55" t="n">
        <v>1191</v>
      </c>
      <c r="M40" s="56" t="n">
        <v>2</v>
      </c>
      <c r="N40" s="56" t="n">
        <v>2</v>
      </c>
      <c r="Q40" s="57" t="inlineStr">
        <is>
          <t>Occ</t>
        </is>
      </c>
      <c r="U40" s="58" t="n">
        <v>4195</v>
      </c>
      <c r="V40" s="58" t="n">
        <v>4195</v>
      </c>
      <c r="W40" s="58" t="n">
        <v>0</v>
      </c>
      <c r="X40" s="58" t="n">
        <v>0</v>
      </c>
      <c r="Y40" s="58" t="n">
        <v>306</v>
      </c>
      <c r="Z40" s="59" t="n">
        <v>45166</v>
      </c>
      <c r="AA40" s="59" t="n">
        <v>45166</v>
      </c>
      <c r="AB40" s="59" t="n">
        <v>46477</v>
      </c>
    </row>
    <row r="41">
      <c r="D41" s="36" t="inlineStr">
        <is>
          <t>20 Grand Ave</t>
        </is>
      </c>
      <c r="E41" s="54" t="inlineStr">
        <is>
          <t>315</t>
        </is>
      </c>
      <c r="F41" s="54" t="inlineStr">
        <is>
          <t>15SD2B2B</t>
        </is>
      </c>
      <c r="G41" s="54" t="inlineStr">
        <is>
          <t>2 BD / 2 BA</t>
        </is>
      </c>
      <c r="K41" s="36" t="inlineStr">
        <is>
          <t>BO ZHENG</t>
        </is>
      </c>
      <c r="L41" s="55" t="n">
        <v>1204</v>
      </c>
      <c r="M41" s="56" t="n">
        <v>2</v>
      </c>
      <c r="N41" s="56" t="n">
        <v>2</v>
      </c>
      <c r="Q41" s="57" t="inlineStr">
        <is>
          <t>Occ</t>
        </is>
      </c>
      <c r="U41" s="58" t="n">
        <v>4295</v>
      </c>
      <c r="V41" s="58" t="n">
        <v>4295</v>
      </c>
      <c r="W41" s="58" t="n">
        <v>0</v>
      </c>
      <c r="X41" s="58" t="n">
        <v>0</v>
      </c>
      <c r="Y41" s="58" t="n">
        <v>161</v>
      </c>
      <c r="Z41" s="59" t="n">
        <v>45471</v>
      </c>
      <c r="AA41" s="59" t="n">
        <v>45471</v>
      </c>
      <c r="AB41" s="59" t="n">
        <v>46265</v>
      </c>
    </row>
    <row r="42">
      <c r="D42" s="36" t="inlineStr">
        <is>
          <t>20 Grand Ave</t>
        </is>
      </c>
      <c r="E42" s="54" t="inlineStr">
        <is>
          <t>316</t>
        </is>
      </c>
      <c r="F42" s="54" t="inlineStr">
        <is>
          <t>15SD1B1B</t>
        </is>
      </c>
      <c r="G42" s="54" t="inlineStr">
        <is>
          <t>1 BD / 1 BA</t>
        </is>
      </c>
      <c r="K42" s="36" t="inlineStr">
        <is>
          <t>ELIEZER PAVEL</t>
        </is>
      </c>
      <c r="L42" s="55" t="n">
        <v>731</v>
      </c>
      <c r="M42" s="56" t="n">
        <v>1</v>
      </c>
      <c r="N42" s="56" t="n">
        <v>1</v>
      </c>
      <c r="Q42" s="57" t="inlineStr">
        <is>
          <t>Occ</t>
        </is>
      </c>
      <c r="U42" s="58" t="n">
        <v>2900</v>
      </c>
      <c r="V42" s="58" t="n">
        <v>2795</v>
      </c>
      <c r="W42" s="58" t="n">
        <v>0</v>
      </c>
      <c r="X42" s="58" t="n">
        <v>0</v>
      </c>
      <c r="Y42" s="58" t="n">
        <v>286</v>
      </c>
      <c r="Z42" s="59" t="n">
        <v>45839</v>
      </c>
      <c r="AA42" s="59" t="n">
        <v>45839</v>
      </c>
      <c r="AB42" s="59" t="n">
        <v>46599</v>
      </c>
    </row>
    <row r="43">
      <c r="D43" s="36" t="inlineStr">
        <is>
          <t>20 Grand Ave</t>
        </is>
      </c>
      <c r="E43" s="54" t="inlineStr">
        <is>
          <t>317</t>
        </is>
      </c>
      <c r="F43" s="54" t="inlineStr">
        <is>
          <t>15SD1B1B</t>
        </is>
      </c>
      <c r="G43" s="54" t="inlineStr">
        <is>
          <t>1 BD / 1 BA</t>
        </is>
      </c>
      <c r="K43" s="36" t="inlineStr">
        <is>
          <t>BRANDON KURETSKI</t>
        </is>
      </c>
      <c r="L43" s="55" t="n">
        <v>931</v>
      </c>
      <c r="M43" s="56" t="n">
        <v>1</v>
      </c>
      <c r="N43" s="56" t="n">
        <v>1</v>
      </c>
      <c r="Q43" s="57" t="inlineStr">
        <is>
          <t>Occ</t>
        </is>
      </c>
      <c r="U43" s="58" t="n">
        <v>3350</v>
      </c>
      <c r="V43" s="58" t="n">
        <v>3400</v>
      </c>
      <c r="W43" s="58" t="n">
        <v>0</v>
      </c>
      <c r="X43" s="58" t="n">
        <v>0</v>
      </c>
      <c r="Y43" s="58" t="n">
        <v>141</v>
      </c>
      <c r="Z43" s="59" t="n">
        <v>46218</v>
      </c>
      <c r="AA43" s="59" t="n">
        <v>46218</v>
      </c>
      <c r="AB43" s="59" t="n">
        <v>46948</v>
      </c>
    </row>
    <row r="44">
      <c r="D44" s="36" t="inlineStr">
        <is>
          <t>20 Grand Ave</t>
        </is>
      </c>
      <c r="E44" s="54" t="inlineStr">
        <is>
          <t>318</t>
        </is>
      </c>
      <c r="F44" s="54" t="inlineStr">
        <is>
          <t>15SD1B1B</t>
        </is>
      </c>
      <c r="G44" s="54" t="inlineStr">
        <is>
          <t>1 BD / 1 BA</t>
        </is>
      </c>
      <c r="K44" s="36" t="inlineStr">
        <is>
          <t>ERIKA FERRARO</t>
        </is>
      </c>
      <c r="L44" s="55" t="n">
        <v>756</v>
      </c>
      <c r="M44" s="56" t="n">
        <v>1</v>
      </c>
      <c r="N44" s="56" t="n">
        <v>1</v>
      </c>
      <c r="Q44" s="57" t="inlineStr">
        <is>
          <t>Occ</t>
        </is>
      </c>
      <c r="U44" s="58" t="n">
        <v>3095</v>
      </c>
      <c r="V44" s="58" t="n">
        <v>3188</v>
      </c>
      <c r="W44" s="58" t="n">
        <v>0</v>
      </c>
      <c r="X44" s="58" t="n">
        <v>0</v>
      </c>
      <c r="Y44" s="58" t="n">
        <v>161</v>
      </c>
      <c r="Z44" s="59" t="n">
        <v>45000</v>
      </c>
      <c r="AA44" s="59" t="n">
        <v>45000</v>
      </c>
      <c r="AB44" s="59" t="n">
        <v>46265</v>
      </c>
    </row>
    <row r="45">
      <c r="D45" s="36" t="inlineStr">
        <is>
          <t>20 Grand Ave</t>
        </is>
      </c>
      <c r="E45" s="54" t="inlineStr">
        <is>
          <t>319</t>
        </is>
      </c>
      <c r="F45" s="54" t="inlineStr">
        <is>
          <t>15SD2B2D</t>
        </is>
      </c>
      <c r="G45" s="54" t="inlineStr">
        <is>
          <t>2 BD / 2 BA</t>
        </is>
      </c>
      <c r="K45" s="36" t="inlineStr">
        <is>
          <t>CRYSTABEL POLANCO</t>
        </is>
      </c>
      <c r="L45" s="55" t="n">
        <v>1164</v>
      </c>
      <c r="M45" s="56" t="n">
        <v>2</v>
      </c>
      <c r="N45" s="56" t="n">
        <v>2</v>
      </c>
      <c r="Q45" s="57" t="inlineStr">
        <is>
          <t>Occ</t>
        </is>
      </c>
      <c r="U45" s="58" t="n">
        <v>4450</v>
      </c>
      <c r="V45" s="58" t="n">
        <v>4595</v>
      </c>
      <c r="W45" s="58" t="n">
        <v>0</v>
      </c>
      <c r="X45" s="58" t="n">
        <v>0</v>
      </c>
      <c r="Y45" s="58" t="n">
        <v>256</v>
      </c>
      <c r="Z45" s="59" t="n">
        <v>45566</v>
      </c>
      <c r="AA45" s="59" t="n">
        <v>45566</v>
      </c>
      <c r="AB45" s="59" t="n">
        <v>46326</v>
      </c>
    </row>
    <row r="46">
      <c r="D46" s="36" t="inlineStr">
        <is>
          <t>20 Grand Ave</t>
        </is>
      </c>
      <c r="E46" s="54" t="inlineStr">
        <is>
          <t>320</t>
        </is>
      </c>
      <c r="F46" s="54" t="inlineStr">
        <is>
          <t>15SD2B2B</t>
        </is>
      </c>
      <c r="G46" s="54" t="inlineStr">
        <is>
          <t>2 BD / 2 BA</t>
        </is>
      </c>
      <c r="K46" s="36" t="inlineStr">
        <is>
          <t>RACHEL KOHLHAGEN</t>
        </is>
      </c>
      <c r="L46" s="55" t="n">
        <v>1189</v>
      </c>
      <c r="M46" s="56" t="n">
        <v>2</v>
      </c>
      <c r="N46" s="56" t="n">
        <v>2</v>
      </c>
      <c r="Q46" s="57" t="inlineStr">
        <is>
          <t>Occ</t>
        </is>
      </c>
      <c r="U46" s="58" t="n">
        <v>4350</v>
      </c>
      <c r="V46" s="58" t="n">
        <v>4395</v>
      </c>
      <c r="W46" s="58" t="n">
        <v>-75</v>
      </c>
      <c r="X46" s="58" t="n">
        <v>0</v>
      </c>
      <c r="Y46" s="58" t="n">
        <v>236</v>
      </c>
      <c r="Z46" s="59" t="n">
        <v>45989</v>
      </c>
      <c r="AA46" s="59" t="n">
        <v>45989</v>
      </c>
      <c r="AB46" s="59" t="n">
        <v>46383</v>
      </c>
    </row>
    <row r="47">
      <c r="D47" s="36" t="inlineStr">
        <is>
          <t>20 Grand Ave</t>
        </is>
      </c>
      <c r="E47" s="54" t="inlineStr">
        <is>
          <t>321</t>
        </is>
      </c>
      <c r="F47" s="54" t="inlineStr">
        <is>
          <t>15SD1B1D</t>
        </is>
      </c>
      <c r="G47" s="54" t="inlineStr">
        <is>
          <t>1 BD / 1 BA</t>
        </is>
      </c>
      <c r="K47" s="36" t="inlineStr">
        <is>
          <t>SUYON OH</t>
        </is>
      </c>
      <c r="L47" s="55" t="n">
        <v>768</v>
      </c>
      <c r="M47" s="56" t="n">
        <v>1</v>
      </c>
      <c r="N47" s="56" t="n">
        <v>1</v>
      </c>
      <c r="Q47" s="57" t="inlineStr">
        <is>
          <t>Occ</t>
        </is>
      </c>
      <c r="U47" s="58" t="n">
        <v>3170</v>
      </c>
      <c r="V47" s="58" t="n">
        <v>3295</v>
      </c>
      <c r="W47" s="58" t="n">
        <v>0</v>
      </c>
      <c r="X47" s="58" t="n">
        <v>0</v>
      </c>
      <c r="Y47" s="58" t="n">
        <v>226</v>
      </c>
      <c r="Z47" s="59" t="n">
        <v>45488</v>
      </c>
      <c r="AA47" s="59" t="n">
        <v>45488</v>
      </c>
      <c r="AB47" s="59" t="n">
        <v>46265</v>
      </c>
    </row>
    <row r="48">
      <c r="D48" s="36" t="inlineStr">
        <is>
          <t>20 Grand Ave</t>
        </is>
      </c>
      <c r="E48" s="54" t="inlineStr">
        <is>
          <t>322</t>
        </is>
      </c>
      <c r="F48" s="54" t="inlineStr">
        <is>
          <t>15SDStu</t>
        </is>
      </c>
      <c r="G48" s="54" t="inlineStr">
        <is>
          <t>0 BD / 1 BA</t>
        </is>
      </c>
      <c r="K48" s="36" t="inlineStr">
        <is>
          <t>ERIKA LENAR</t>
        </is>
      </c>
      <c r="L48" s="55" t="n">
        <v>612</v>
      </c>
      <c r="M48" s="56" t="n">
        <v>0</v>
      </c>
      <c r="N48" s="56" t="n">
        <v>1</v>
      </c>
      <c r="Q48" s="57" t="inlineStr">
        <is>
          <t>Occ</t>
        </is>
      </c>
      <c r="U48" s="58" t="n">
        <v>2595</v>
      </c>
      <c r="V48" s="58" t="n">
        <v>2495</v>
      </c>
      <c r="W48" s="58" t="n">
        <v>0</v>
      </c>
      <c r="X48" s="58" t="n">
        <v>0</v>
      </c>
      <c r="Y48" s="58" t="n">
        <v>641</v>
      </c>
      <c r="Z48" s="59" t="n">
        <v>46076</v>
      </c>
      <c r="AA48" s="59" t="n">
        <v>46076</v>
      </c>
      <c r="AB48" s="59" t="n">
        <v>46173</v>
      </c>
    </row>
    <row r="49">
      <c r="D49" s="36" t="inlineStr">
        <is>
          <t>20 Grand Ave</t>
        </is>
      </c>
      <c r="E49" s="54" t="inlineStr">
        <is>
          <t>323</t>
        </is>
      </c>
      <c r="F49" s="54" t="inlineStr">
        <is>
          <t>15SD2B2D</t>
        </is>
      </c>
      <c r="G49" s="54" t="inlineStr">
        <is>
          <t>2 BD / 2 BA</t>
        </is>
      </c>
      <c r="K49" s="36" t="inlineStr">
        <is>
          <t>JOSE CAMPUSANO</t>
        </is>
      </c>
      <c r="L49" s="55" t="n">
        <v>1162</v>
      </c>
      <c r="M49" s="56" t="n">
        <v>2</v>
      </c>
      <c r="N49" s="56" t="n">
        <v>2</v>
      </c>
      <c r="Q49" s="57" t="inlineStr">
        <is>
          <t>Occ</t>
        </is>
      </c>
      <c r="U49" s="58" t="n">
        <v>4125</v>
      </c>
      <c r="V49" s="58" t="n">
        <v>4295</v>
      </c>
      <c r="W49" s="58" t="n">
        <v>-3516</v>
      </c>
      <c r="X49" s="58" t="n">
        <v>0</v>
      </c>
      <c r="Y49" s="58" t="n">
        <v>116</v>
      </c>
      <c r="Z49" s="59" t="n">
        <v>45507</v>
      </c>
      <c r="AA49" s="59" t="n">
        <v>45507</v>
      </c>
      <c r="AB49" s="59" t="n">
        <v>45900</v>
      </c>
    </row>
    <row r="50">
      <c r="D50" s="36" t="inlineStr">
        <is>
          <t>20 Grand Ave</t>
        </is>
      </c>
      <c r="E50" s="54" t="inlineStr">
        <is>
          <t>324</t>
        </is>
      </c>
      <c r="F50" s="54" t="inlineStr">
        <is>
          <t>15SD2B2B</t>
        </is>
      </c>
      <c r="G50" s="54" t="inlineStr">
        <is>
          <t>2 BD / 2 BA</t>
        </is>
      </c>
      <c r="K50" s="36" t="inlineStr">
        <is>
          <t>ADIR HAKAKIAN</t>
        </is>
      </c>
      <c r="L50" s="55" t="n">
        <v>1187</v>
      </c>
      <c r="M50" s="56" t="n">
        <v>2</v>
      </c>
      <c r="N50" s="56" t="n">
        <v>2</v>
      </c>
      <c r="Q50" s="57" t="inlineStr">
        <is>
          <t>Occ</t>
        </is>
      </c>
      <c r="U50" s="58" t="n">
        <v>4095</v>
      </c>
      <c r="V50" s="58" t="n">
        <v>4095</v>
      </c>
      <c r="W50" s="58" t="n">
        <v>-170</v>
      </c>
      <c r="X50" s="58" t="n">
        <v>0</v>
      </c>
      <c r="Y50" s="58" t="n">
        <v>236</v>
      </c>
      <c r="Z50" s="59" t="n">
        <v>46023</v>
      </c>
      <c r="AA50" s="59" t="n">
        <v>46023</v>
      </c>
      <c r="AB50" s="59" t="n">
        <v>46387</v>
      </c>
    </row>
    <row r="51">
      <c r="D51" s="36" t="inlineStr">
        <is>
          <t>20 Grand Ave</t>
        </is>
      </c>
      <c r="E51" s="54" t="inlineStr">
        <is>
          <t>325</t>
        </is>
      </c>
      <c r="F51" s="54" t="inlineStr">
        <is>
          <t>15SD1B1D</t>
        </is>
      </c>
      <c r="G51" s="54" t="inlineStr">
        <is>
          <t>1 BD / 1 BA</t>
        </is>
      </c>
      <c r="K51" s="36" t="inlineStr">
        <is>
          <t>PRISCILLA RUKAJ</t>
        </is>
      </c>
      <c r="L51" s="55" t="n">
        <v>817</v>
      </c>
      <c r="M51" s="56" t="n">
        <v>1</v>
      </c>
      <c r="N51" s="56" t="n">
        <v>1</v>
      </c>
      <c r="Q51" s="57" t="inlineStr">
        <is>
          <t>Occ</t>
        </is>
      </c>
      <c r="U51" s="58" t="n">
        <v>3095</v>
      </c>
      <c r="V51" s="58" t="n">
        <v>3095</v>
      </c>
      <c r="W51" s="58" t="n">
        <v>0</v>
      </c>
      <c r="X51" s="58" t="n">
        <v>0</v>
      </c>
      <c r="Y51" s="58" t="n">
        <v>161</v>
      </c>
      <c r="Z51" s="59" t="n">
        <v>45142</v>
      </c>
      <c r="AA51" s="59" t="n">
        <v>45142</v>
      </c>
      <c r="AB51" s="59" t="n">
        <v>46234</v>
      </c>
    </row>
    <row r="52">
      <c r="D52" s="36" t="inlineStr">
        <is>
          <t>20 Grand Ave</t>
        </is>
      </c>
      <c r="E52" s="54" t="inlineStr">
        <is>
          <t>401</t>
        </is>
      </c>
      <c r="F52" s="54" t="inlineStr">
        <is>
          <t>15SD1B1B</t>
        </is>
      </c>
      <c r="G52" s="54" t="inlineStr">
        <is>
          <t>1 BD / 1 BA</t>
        </is>
      </c>
      <c r="K52" s="36" t="inlineStr">
        <is>
          <t>CAROLYN LUGUYA</t>
        </is>
      </c>
      <c r="L52" s="55" t="n">
        <v>702</v>
      </c>
      <c r="M52" s="56" t="n">
        <v>1</v>
      </c>
      <c r="N52" s="56" t="n">
        <v>1</v>
      </c>
      <c r="Q52" s="57" t="inlineStr">
        <is>
          <t>Occ</t>
        </is>
      </c>
      <c r="U52" s="58" t="n">
        <v>2900</v>
      </c>
      <c r="V52" s="58" t="n">
        <v>2995</v>
      </c>
      <c r="W52" s="58" t="n">
        <v>0</v>
      </c>
      <c r="X52" s="58" t="n">
        <v>0</v>
      </c>
      <c r="Y52" s="58" t="n">
        <v>161</v>
      </c>
      <c r="Z52" s="59" t="n">
        <v>45488</v>
      </c>
      <c r="AA52" s="59" t="n">
        <v>45488</v>
      </c>
      <c r="AB52" s="59" t="n">
        <v>46265</v>
      </c>
    </row>
    <row r="53">
      <c r="D53" s="36" t="inlineStr">
        <is>
          <t>20 Grand Ave</t>
        </is>
      </c>
      <c r="E53" s="54" t="inlineStr">
        <is>
          <t>402</t>
        </is>
      </c>
      <c r="F53" s="54" t="inlineStr">
        <is>
          <t>15SD1B1B</t>
        </is>
      </c>
      <c r="G53" s="54" t="inlineStr">
        <is>
          <t>1 BD / 1 BA</t>
        </is>
      </c>
      <c r="K53" s="36" t="inlineStr">
        <is>
          <t>MALKA HALPERIN</t>
        </is>
      </c>
      <c r="L53" s="55" t="n">
        <v>603</v>
      </c>
      <c r="M53" s="56" t="n">
        <v>1</v>
      </c>
      <c r="N53" s="56" t="n">
        <v>1</v>
      </c>
      <c r="Q53" s="57" t="inlineStr">
        <is>
          <t>Occ</t>
        </is>
      </c>
      <c r="U53" s="58" t="n">
        <v>2900</v>
      </c>
      <c r="V53" s="58" t="n">
        <v>2900</v>
      </c>
      <c r="W53" s="58" t="n">
        <v>-223</v>
      </c>
      <c r="X53" s="58" t="n">
        <v>0</v>
      </c>
      <c r="Y53" s="58" t="n">
        <v>236</v>
      </c>
      <c r="Z53" s="59" t="n">
        <v>46104</v>
      </c>
      <c r="AA53" s="59" t="n">
        <v>46104</v>
      </c>
      <c r="AB53" s="59" t="n">
        <v>46300</v>
      </c>
    </row>
    <row r="54">
      <c r="D54" s="36" t="inlineStr">
        <is>
          <t>20 Grand Ave</t>
        </is>
      </c>
      <c r="E54" s="54" t="inlineStr">
        <is>
          <t>403</t>
        </is>
      </c>
      <c r="F54" s="54" t="inlineStr">
        <is>
          <t>15SD2B2B</t>
        </is>
      </c>
      <c r="G54" s="54" t="inlineStr">
        <is>
          <t>2 BD / 2 BA</t>
        </is>
      </c>
      <c r="K54" s="36" t="inlineStr">
        <is>
          <t>MEITAL MARCIANO</t>
        </is>
      </c>
      <c r="L54" s="55" t="n">
        <v>1245</v>
      </c>
      <c r="M54" s="56" t="n">
        <v>2</v>
      </c>
      <c r="N54" s="56" t="n">
        <v>2</v>
      </c>
      <c r="Q54" s="57" t="inlineStr">
        <is>
          <t>Occ</t>
        </is>
      </c>
      <c r="U54" s="58" t="n">
        <v>4510</v>
      </c>
      <c r="V54" s="58" t="n">
        <v>4510</v>
      </c>
      <c r="W54" s="58" t="n">
        <v>-75</v>
      </c>
      <c r="X54" s="58" t="n">
        <v>0</v>
      </c>
      <c r="Y54" s="58" t="n">
        <v>236</v>
      </c>
      <c r="Z54" s="59" t="n">
        <v>46188</v>
      </c>
      <c r="AA54" s="59" t="n">
        <v>46188</v>
      </c>
      <c r="AB54" s="59" t="n">
        <v>46582</v>
      </c>
    </row>
    <row r="55">
      <c r="D55" s="36" t="inlineStr">
        <is>
          <t>20 Grand Ave</t>
        </is>
      </c>
      <c r="E55" s="54" t="inlineStr">
        <is>
          <t>404</t>
        </is>
      </c>
      <c r="F55" s="54" t="inlineStr">
        <is>
          <t>15SDStu</t>
        </is>
      </c>
      <c r="G55" s="54" t="inlineStr">
        <is>
          <t>0 BD / 1 BA</t>
        </is>
      </c>
      <c r="K55" s="36" t="inlineStr">
        <is>
          <t>Vacant</t>
        </is>
      </c>
      <c r="L55" s="55" t="n">
        <v>531</v>
      </c>
      <c r="M55" s="56" t="n">
        <v>0</v>
      </c>
      <c r="N55" s="56" t="n">
        <v>1</v>
      </c>
      <c r="Q55" s="57" t="inlineStr">
        <is>
          <t>Vac</t>
        </is>
      </c>
      <c r="U55" s="58" t="n">
        <v>2495</v>
      </c>
      <c r="V55" s="58" t="n">
        <v>0</v>
      </c>
      <c r="W55" s="58" t="n">
        <v>0</v>
      </c>
      <c r="X55" s="58" t="n">
        <v>0</v>
      </c>
      <c r="Y55" s="58" t="n">
        <v>0</v>
      </c>
    </row>
    <row r="56">
      <c r="D56" s="36" t="inlineStr">
        <is>
          <t>20 Grand Ave</t>
        </is>
      </c>
      <c r="E56" s="54" t="inlineStr">
        <is>
          <t>405</t>
        </is>
      </c>
      <c r="F56" s="54" t="inlineStr">
        <is>
          <t>15SD2B2B</t>
        </is>
      </c>
      <c r="G56" s="54" t="inlineStr">
        <is>
          <t>2 BD / 2 BA</t>
        </is>
      </c>
      <c r="K56" s="36" t="inlineStr">
        <is>
          <t>PAUL HOROWITZ</t>
        </is>
      </c>
      <c r="L56" s="55" t="n">
        <v>1190</v>
      </c>
      <c r="M56" s="56" t="n">
        <v>2</v>
      </c>
      <c r="N56" s="56" t="n">
        <v>2</v>
      </c>
      <c r="Q56" s="57" t="inlineStr">
        <is>
          <t>Occ</t>
        </is>
      </c>
      <c r="U56" s="58" t="n">
        <v>4195</v>
      </c>
      <c r="V56" s="58" t="n">
        <v>4195</v>
      </c>
      <c r="W56" s="58" t="n">
        <v>0</v>
      </c>
      <c r="X56" s="58" t="n">
        <v>0</v>
      </c>
      <c r="Y56" s="58" t="n">
        <v>236</v>
      </c>
      <c r="Z56" s="59" t="n">
        <v>46142</v>
      </c>
      <c r="AA56" s="59" t="n">
        <v>46142</v>
      </c>
      <c r="AB56" s="59" t="n">
        <v>46295</v>
      </c>
    </row>
    <row r="57">
      <c r="D57" s="36" t="inlineStr">
        <is>
          <t>20 Grand Ave</t>
        </is>
      </c>
      <c r="E57" s="54" t="inlineStr">
        <is>
          <t>406</t>
        </is>
      </c>
      <c r="F57" s="54" t="inlineStr">
        <is>
          <t>15SD2B2D</t>
        </is>
      </c>
      <c r="G57" s="54" t="inlineStr">
        <is>
          <t>2 BD / 2 BA</t>
        </is>
      </c>
      <c r="K57" s="36" t="inlineStr">
        <is>
          <t>DALIA SCHWALB</t>
        </is>
      </c>
      <c r="L57" s="55" t="n">
        <v>1158</v>
      </c>
      <c r="M57" s="56" t="n">
        <v>2</v>
      </c>
      <c r="N57" s="56" t="n">
        <v>2</v>
      </c>
      <c r="Q57" s="57" t="inlineStr">
        <is>
          <t>Occ</t>
        </is>
      </c>
      <c r="U57" s="58" t="n">
        <v>4150</v>
      </c>
      <c r="V57" s="58" t="n">
        <v>4245</v>
      </c>
      <c r="W57" s="58" t="n">
        <v>0</v>
      </c>
      <c r="X57" s="58" t="n">
        <v>0</v>
      </c>
      <c r="Y57" s="58" t="n">
        <v>566</v>
      </c>
      <c r="Z57" s="59" t="n">
        <v>45611</v>
      </c>
      <c r="AA57" s="59" t="n">
        <v>45611</v>
      </c>
      <c r="AB57" s="59" t="n">
        <v>46173</v>
      </c>
    </row>
    <row r="58">
      <c r="D58" s="36" t="inlineStr">
        <is>
          <t>20 Grand Ave</t>
        </is>
      </c>
      <c r="E58" s="54" t="inlineStr">
        <is>
          <t>407</t>
        </is>
      </c>
      <c r="F58" s="54" t="inlineStr">
        <is>
          <t>15SD2B2D</t>
        </is>
      </c>
      <c r="G58" s="54" t="inlineStr">
        <is>
          <t>2 BD / 2 BA</t>
        </is>
      </c>
      <c r="K58" s="36" t="inlineStr">
        <is>
          <t>SHERYL MALEK</t>
        </is>
      </c>
      <c r="L58" s="55" t="n">
        <v>1172</v>
      </c>
      <c r="M58" s="56" t="n">
        <v>2</v>
      </c>
      <c r="N58" s="56" t="n">
        <v>2</v>
      </c>
      <c r="Q58" s="57" t="inlineStr">
        <is>
          <t>Occ</t>
        </is>
      </c>
      <c r="U58" s="58" t="n">
        <v>4150</v>
      </c>
      <c r="V58" s="58" t="n">
        <v>4321</v>
      </c>
      <c r="W58" s="58" t="n">
        <v>0</v>
      </c>
      <c r="X58" s="58" t="n">
        <v>0</v>
      </c>
      <c r="Y58" s="58" t="n">
        <v>66</v>
      </c>
      <c r="Z58" s="59" t="n">
        <v>45170</v>
      </c>
      <c r="AA58" s="59" t="n">
        <v>45170</v>
      </c>
      <c r="AB58" s="59" t="n">
        <v>46295</v>
      </c>
    </row>
    <row r="59">
      <c r="D59" s="36" t="inlineStr">
        <is>
          <t>20 Grand Ave</t>
        </is>
      </c>
      <c r="E59" s="54" t="inlineStr">
        <is>
          <t>408</t>
        </is>
      </c>
      <c r="F59" s="54" t="inlineStr">
        <is>
          <t>15SD2B2B</t>
        </is>
      </c>
      <c r="G59" s="54" t="inlineStr">
        <is>
          <t>2 BD / 2 BA</t>
        </is>
      </c>
      <c r="K59" s="36" t="inlineStr">
        <is>
          <t>Vacant</t>
        </is>
      </c>
      <c r="L59" s="55" t="n">
        <v>1190</v>
      </c>
      <c r="M59" s="56" t="n">
        <v>2</v>
      </c>
      <c r="N59" s="56" t="n">
        <v>2</v>
      </c>
      <c r="Q59" s="57" t="inlineStr">
        <is>
          <t>Vac</t>
        </is>
      </c>
      <c r="U59" s="58" t="n">
        <v>3595</v>
      </c>
      <c r="V59" s="58" t="n">
        <v>0</v>
      </c>
      <c r="W59" s="58" t="n">
        <v>0</v>
      </c>
      <c r="X59" s="58" t="n">
        <v>0</v>
      </c>
      <c r="Y59" s="58" t="n">
        <v>0</v>
      </c>
    </row>
    <row r="60">
      <c r="D60" s="36" t="inlineStr">
        <is>
          <t>20 Grand Ave</t>
        </is>
      </c>
      <c r="E60" s="54" t="inlineStr">
        <is>
          <t>409</t>
        </is>
      </c>
      <c r="F60" s="54" t="inlineStr">
        <is>
          <t>15SD2B2B</t>
        </is>
      </c>
      <c r="G60" s="54" t="inlineStr">
        <is>
          <t>2 BD / 2 BA</t>
        </is>
      </c>
      <c r="K60" s="36" t="inlineStr">
        <is>
          <t>Vacant</t>
        </is>
      </c>
      <c r="L60" s="55" t="n">
        <v>1061</v>
      </c>
      <c r="M60" s="56" t="n">
        <v>2</v>
      </c>
      <c r="N60" s="56" t="n">
        <v>2</v>
      </c>
      <c r="Q60" s="57" t="inlineStr">
        <is>
          <t>Vac</t>
        </is>
      </c>
      <c r="U60" s="58" t="n">
        <v>3595</v>
      </c>
      <c r="V60" s="58" t="n">
        <v>0</v>
      </c>
      <c r="W60" s="58" t="n">
        <v>0</v>
      </c>
      <c r="X60" s="58" t="n">
        <v>0</v>
      </c>
      <c r="Y60" s="58" t="n">
        <v>0</v>
      </c>
    </row>
    <row r="61">
      <c r="D61" s="36" t="inlineStr">
        <is>
          <t>20 Grand Ave</t>
        </is>
      </c>
      <c r="E61" s="54" t="inlineStr">
        <is>
          <t>410</t>
        </is>
      </c>
      <c r="F61" s="54" t="inlineStr">
        <is>
          <t>15SD2B2B</t>
        </is>
      </c>
      <c r="G61" s="54" t="inlineStr">
        <is>
          <t>2 BD / 2 BA</t>
        </is>
      </c>
      <c r="K61" s="36" t="inlineStr">
        <is>
          <t>ARTUR DEDJA</t>
        </is>
      </c>
      <c r="L61" s="55" t="n">
        <v>1057</v>
      </c>
      <c r="M61" s="56" t="n">
        <v>2</v>
      </c>
      <c r="N61" s="56" t="n">
        <v>2</v>
      </c>
      <c r="Q61" s="57" t="inlineStr">
        <is>
          <t>Occ</t>
        </is>
      </c>
      <c r="U61" s="58" t="n">
        <v>3650</v>
      </c>
      <c r="V61" s="58" t="n">
        <v>3760</v>
      </c>
      <c r="W61" s="58" t="n">
        <v>0</v>
      </c>
      <c r="X61" s="58" t="n">
        <v>0</v>
      </c>
      <c r="Y61" s="58" t="n">
        <v>236</v>
      </c>
      <c r="Z61" s="59" t="n">
        <v>45884</v>
      </c>
      <c r="AA61" s="59" t="n">
        <v>45884</v>
      </c>
      <c r="AB61" s="59" t="n">
        <v>46248</v>
      </c>
    </row>
    <row r="62">
      <c r="D62" s="36" t="inlineStr">
        <is>
          <t>20 Grand Ave</t>
        </is>
      </c>
      <c r="E62" s="54" t="inlineStr">
        <is>
          <t>411</t>
        </is>
      </c>
      <c r="F62" s="54" t="inlineStr">
        <is>
          <t>15SD2B2B</t>
        </is>
      </c>
      <c r="G62" s="54" t="inlineStr">
        <is>
          <t>2 BD / 2 BA</t>
        </is>
      </c>
      <c r="K62" s="36" t="inlineStr">
        <is>
          <t>BENJAMIN SCHLESINGER</t>
        </is>
      </c>
      <c r="L62" s="55" t="n">
        <v>1188</v>
      </c>
      <c r="M62" s="56" t="n">
        <v>2</v>
      </c>
      <c r="N62" s="56" t="n">
        <v>2</v>
      </c>
      <c r="Q62" s="57" t="inlineStr">
        <is>
          <t>Occ</t>
        </is>
      </c>
      <c r="U62" s="58" t="n">
        <v>4050</v>
      </c>
      <c r="V62" s="58" t="n">
        <v>4195</v>
      </c>
      <c r="W62" s="58" t="n">
        <v>-2392.5</v>
      </c>
      <c r="X62" s="58" t="n">
        <v>0</v>
      </c>
      <c r="Y62" s="58" t="n">
        <v>456</v>
      </c>
      <c r="Z62" s="59" t="n">
        <v>45261</v>
      </c>
      <c r="AA62" s="59" t="n">
        <v>45261</v>
      </c>
      <c r="AB62" s="59" t="n">
        <v>46568</v>
      </c>
    </row>
    <row r="63">
      <c r="D63" s="36" t="inlineStr">
        <is>
          <t>20 Grand Ave</t>
        </is>
      </c>
      <c r="E63" s="54" t="inlineStr">
        <is>
          <t>412</t>
        </is>
      </c>
      <c r="F63" s="54" t="inlineStr">
        <is>
          <t>15SD2B2D</t>
        </is>
      </c>
      <c r="G63" s="54" t="inlineStr">
        <is>
          <t>2 BD / 2 BA</t>
        </is>
      </c>
      <c r="K63" s="36" t="inlineStr">
        <is>
          <t>PAOLA AMADOR</t>
        </is>
      </c>
      <c r="L63" s="55" t="n">
        <v>1164</v>
      </c>
      <c r="M63" s="56" t="n">
        <v>2</v>
      </c>
      <c r="N63" s="56" t="n">
        <v>2</v>
      </c>
      <c r="Q63" s="57" t="inlineStr">
        <is>
          <t>Occ</t>
        </is>
      </c>
      <c r="U63" s="58" t="n">
        <v>4150</v>
      </c>
      <c r="V63" s="58" t="n">
        <v>3940</v>
      </c>
      <c r="W63" s="58" t="n">
        <v>0</v>
      </c>
      <c r="X63" s="58" t="n">
        <v>0</v>
      </c>
      <c r="Y63" s="58" t="n">
        <v>236</v>
      </c>
      <c r="Z63" s="59" t="n">
        <v>45884</v>
      </c>
      <c r="AA63" s="59" t="n">
        <v>45884</v>
      </c>
      <c r="AB63" s="59" t="n">
        <v>46265</v>
      </c>
    </row>
    <row r="64">
      <c r="D64" s="36" t="inlineStr">
        <is>
          <t>20 Grand Ave</t>
        </is>
      </c>
      <c r="E64" s="54" t="inlineStr">
        <is>
          <t>413</t>
        </is>
      </c>
      <c r="F64" s="54" t="inlineStr">
        <is>
          <t>15SD2B2D</t>
        </is>
      </c>
      <c r="G64" s="54" t="inlineStr">
        <is>
          <t>2 BD / 2 BA</t>
        </is>
      </c>
      <c r="K64" s="36" t="inlineStr">
        <is>
          <t>PRAKASH RAVINDRAN</t>
        </is>
      </c>
      <c r="L64" s="55" t="n">
        <v>1164</v>
      </c>
      <c r="M64" s="56" t="n">
        <v>2</v>
      </c>
      <c r="N64" s="56" t="n">
        <v>2</v>
      </c>
      <c r="Q64" s="57" t="inlineStr">
        <is>
          <t>Occ</t>
        </is>
      </c>
      <c r="U64" s="58" t="n">
        <v>4150</v>
      </c>
      <c r="V64" s="58" t="n">
        <v>4200</v>
      </c>
      <c r="W64" s="58" t="n">
        <v>-170</v>
      </c>
      <c r="X64" s="58" t="n">
        <v>0</v>
      </c>
      <c r="Y64" s="58" t="n">
        <v>236</v>
      </c>
      <c r="Z64" s="59" t="n">
        <v>46060</v>
      </c>
      <c r="AA64" s="59" t="n">
        <v>46060</v>
      </c>
      <c r="AB64" s="59" t="n">
        <v>46477</v>
      </c>
    </row>
    <row r="65">
      <c r="D65" s="36" t="inlineStr">
        <is>
          <t>20 Grand Ave</t>
        </is>
      </c>
      <c r="E65" s="54" t="inlineStr">
        <is>
          <t>414</t>
        </is>
      </c>
      <c r="F65" s="54" t="inlineStr">
        <is>
          <t>15SD2B2B</t>
        </is>
      </c>
      <c r="G65" s="54" t="inlineStr">
        <is>
          <t>2 BD / 2 BA</t>
        </is>
      </c>
      <c r="K65" s="36" t="inlineStr">
        <is>
          <t>YOSEF ANGSTER</t>
        </is>
      </c>
      <c r="L65" s="55" t="n">
        <v>1192</v>
      </c>
      <c r="M65" s="56" t="n">
        <v>2</v>
      </c>
      <c r="N65" s="56" t="n">
        <v>2</v>
      </c>
      <c r="Q65" s="57" t="inlineStr">
        <is>
          <t>Occ</t>
        </is>
      </c>
      <c r="U65" s="58" t="n">
        <v>4150</v>
      </c>
      <c r="V65" s="58" t="n">
        <v>3895</v>
      </c>
      <c r="W65" s="58" t="n">
        <v>0</v>
      </c>
      <c r="X65" s="58" t="n">
        <v>0</v>
      </c>
      <c r="Y65" s="58" t="n">
        <v>281</v>
      </c>
      <c r="Z65" s="59" t="n">
        <v>46082</v>
      </c>
      <c r="AA65" s="59" t="n">
        <v>46082</v>
      </c>
      <c r="AB65" s="59" t="n">
        <v>46356</v>
      </c>
    </row>
    <row r="66">
      <c r="D66" s="36" t="inlineStr">
        <is>
          <t>20 Grand Ave</t>
        </is>
      </c>
      <c r="E66" s="54" t="inlineStr">
        <is>
          <t>415</t>
        </is>
      </c>
      <c r="F66" s="54" t="inlineStr">
        <is>
          <t>15SD2B2B</t>
        </is>
      </c>
      <c r="G66" s="54" t="inlineStr">
        <is>
          <t>2 BD / 2 BA</t>
        </is>
      </c>
      <c r="K66" s="36" t="inlineStr">
        <is>
          <t>SHMUEL CINER</t>
        </is>
      </c>
      <c r="L66" s="55" t="n">
        <v>1114</v>
      </c>
      <c r="M66" s="56" t="n">
        <v>2</v>
      </c>
      <c r="N66" s="56" t="n">
        <v>2</v>
      </c>
      <c r="Q66" s="57" t="inlineStr">
        <is>
          <t>Occ</t>
        </is>
      </c>
      <c r="U66" s="58" t="n">
        <v>4250</v>
      </c>
      <c r="V66" s="58" t="n">
        <v>4295</v>
      </c>
      <c r="W66" s="58" t="n">
        <v>0</v>
      </c>
      <c r="X66" s="58" t="n">
        <v>0</v>
      </c>
      <c r="Y66" s="58" t="n">
        <v>161</v>
      </c>
      <c r="Z66" s="59" t="n">
        <v>45444</v>
      </c>
      <c r="AA66" s="59" t="n">
        <v>45444</v>
      </c>
      <c r="AB66" s="59" t="n">
        <v>46234</v>
      </c>
    </row>
    <row r="67">
      <c r="D67" s="36" t="inlineStr">
        <is>
          <t>20 Grand Ave</t>
        </is>
      </c>
      <c r="E67" s="54" t="inlineStr">
        <is>
          <t>416</t>
        </is>
      </c>
      <c r="F67" s="54" t="inlineStr">
        <is>
          <t>15SD1B1B</t>
        </is>
      </c>
      <c r="G67" s="54" t="inlineStr">
        <is>
          <t>1 BD / 1 BA</t>
        </is>
      </c>
      <c r="K67" s="36" t="inlineStr">
        <is>
          <t>BRIAN MERO</t>
        </is>
      </c>
      <c r="L67" s="55" t="n">
        <v>732</v>
      </c>
      <c r="M67" s="56" t="n">
        <v>1</v>
      </c>
      <c r="N67" s="56" t="n">
        <v>1</v>
      </c>
      <c r="Q67" s="57" t="inlineStr">
        <is>
          <t>Occ</t>
        </is>
      </c>
      <c r="U67" s="58" t="n">
        <v>2975</v>
      </c>
      <c r="V67" s="58" t="n">
        <v>3064</v>
      </c>
      <c r="W67" s="58" t="n">
        <v>0</v>
      </c>
      <c r="X67" s="58" t="n">
        <v>0</v>
      </c>
      <c r="Y67" s="58" t="n">
        <v>161</v>
      </c>
      <c r="Z67" s="59" t="n">
        <v>45134</v>
      </c>
      <c r="AA67" s="59" t="n">
        <v>45134</v>
      </c>
      <c r="AB67" s="59" t="n">
        <v>46265</v>
      </c>
    </row>
    <row r="68">
      <c r="D68" s="36" t="inlineStr">
        <is>
          <t>20 Grand Ave</t>
        </is>
      </c>
      <c r="E68" s="54" t="inlineStr">
        <is>
          <t>417</t>
        </is>
      </c>
      <c r="F68" s="54" t="inlineStr">
        <is>
          <t>15SD1B1B</t>
        </is>
      </c>
      <c r="G68" s="54" t="inlineStr">
        <is>
          <t>1 BD / 1 BA</t>
        </is>
      </c>
      <c r="K68" s="36" t="inlineStr">
        <is>
          <t>DAVID PAUL</t>
        </is>
      </c>
      <c r="L68" s="55" t="n">
        <v>853</v>
      </c>
      <c r="M68" s="56" t="n">
        <v>1</v>
      </c>
      <c r="N68" s="56" t="n">
        <v>1</v>
      </c>
      <c r="Q68" s="57" t="inlineStr">
        <is>
          <t>Occ</t>
        </is>
      </c>
      <c r="U68" s="58" t="n">
        <v>3295</v>
      </c>
      <c r="V68" s="58" t="n">
        <v>3600</v>
      </c>
      <c r="W68" s="58" t="n">
        <v>0</v>
      </c>
      <c r="X68" s="58" t="n">
        <v>0</v>
      </c>
      <c r="Y68" s="58" t="n">
        <v>226</v>
      </c>
      <c r="Z68" s="59" t="n">
        <v>45108</v>
      </c>
      <c r="AA68" s="59" t="n">
        <v>45108</v>
      </c>
      <c r="AB68" s="59" t="n">
        <v>46234</v>
      </c>
    </row>
    <row r="69">
      <c r="D69" s="36" t="inlineStr">
        <is>
          <t>20 Grand Ave</t>
        </is>
      </c>
      <c r="E69" s="54" t="inlineStr">
        <is>
          <t>418</t>
        </is>
      </c>
      <c r="F69" s="54" t="inlineStr">
        <is>
          <t>15SD1B1B</t>
        </is>
      </c>
      <c r="G69" s="54" t="inlineStr">
        <is>
          <t>1 BD / 1 BA</t>
        </is>
      </c>
      <c r="K69" s="36" t="inlineStr">
        <is>
          <t>MARIAM VARDANYAN</t>
        </is>
      </c>
      <c r="L69" s="55" t="n">
        <v>756</v>
      </c>
      <c r="M69" s="56" t="n">
        <v>1</v>
      </c>
      <c r="N69" s="56" t="n">
        <v>1</v>
      </c>
      <c r="Q69" s="57" t="inlineStr">
        <is>
          <t>Occ</t>
        </is>
      </c>
      <c r="U69" s="58" t="n">
        <v>2725</v>
      </c>
      <c r="V69" s="58" t="n">
        <v>3085</v>
      </c>
      <c r="W69" s="58" t="n">
        <v>-155</v>
      </c>
      <c r="X69" s="58" t="n">
        <v>0</v>
      </c>
      <c r="Y69" s="58" t="n">
        <v>301</v>
      </c>
      <c r="Z69" s="59" t="n">
        <v>46023</v>
      </c>
      <c r="AA69" s="59" t="n">
        <v>46023</v>
      </c>
      <c r="AB69" s="59" t="n">
        <v>46418</v>
      </c>
    </row>
    <row r="70">
      <c r="D70" s="36" t="inlineStr">
        <is>
          <t>20 Grand Ave</t>
        </is>
      </c>
      <c r="E70" s="54" t="inlineStr">
        <is>
          <t>419</t>
        </is>
      </c>
      <c r="F70" s="54" t="inlineStr">
        <is>
          <t>15SD2B2D</t>
        </is>
      </c>
      <c r="G70" s="54" t="inlineStr">
        <is>
          <t>2 BD / 2 BA</t>
        </is>
      </c>
      <c r="K70" s="36" t="inlineStr">
        <is>
          <t>MICHELLE STERN</t>
        </is>
      </c>
      <c r="L70" s="55" t="n">
        <v>1164</v>
      </c>
      <c r="M70" s="56" t="n">
        <v>2</v>
      </c>
      <c r="N70" s="56" t="n">
        <v>2</v>
      </c>
      <c r="Q70" s="57" t="inlineStr">
        <is>
          <t>Occ</t>
        </is>
      </c>
      <c r="U70" s="58" t="n">
        <v>4195</v>
      </c>
      <c r="V70" s="58" t="n">
        <v>4295</v>
      </c>
      <c r="W70" s="58" t="n">
        <v>0</v>
      </c>
      <c r="X70" s="58" t="n">
        <v>0</v>
      </c>
      <c r="Y70" s="58" t="n">
        <v>161</v>
      </c>
      <c r="Z70" s="59" t="n">
        <v>45444</v>
      </c>
      <c r="AA70" s="59" t="n">
        <v>45444</v>
      </c>
      <c r="AB70" s="59" t="n">
        <v>46265</v>
      </c>
    </row>
    <row r="71">
      <c r="D71" s="36" t="inlineStr">
        <is>
          <t>20 Grand Ave</t>
        </is>
      </c>
      <c r="E71" s="54" t="inlineStr">
        <is>
          <t>420</t>
        </is>
      </c>
      <c r="F71" s="54" t="inlineStr">
        <is>
          <t>15SD2B2B</t>
        </is>
      </c>
      <c r="G71" s="54" t="inlineStr">
        <is>
          <t>2 BD / 2 BA</t>
        </is>
      </c>
      <c r="K71" s="36" t="inlineStr">
        <is>
          <t>DAKOTA KING</t>
        </is>
      </c>
      <c r="L71" s="55" t="n">
        <v>1187</v>
      </c>
      <c r="M71" s="56" t="n">
        <v>2</v>
      </c>
      <c r="N71" s="56" t="n">
        <v>2</v>
      </c>
      <c r="Q71" s="57" t="inlineStr">
        <is>
          <t>Occ</t>
        </is>
      </c>
      <c r="U71" s="58" t="n">
        <v>4195</v>
      </c>
      <c r="V71" s="58" t="n">
        <v>4195</v>
      </c>
      <c r="W71" s="58" t="n">
        <v>-75</v>
      </c>
      <c r="X71" s="58" t="n">
        <v>0</v>
      </c>
      <c r="Y71" s="58" t="n">
        <v>381</v>
      </c>
      <c r="Z71" s="59" t="n">
        <v>46160</v>
      </c>
      <c r="AA71" s="59" t="n">
        <v>46160</v>
      </c>
      <c r="AB71" s="59" t="n">
        <v>46538</v>
      </c>
    </row>
    <row r="72">
      <c r="D72" s="36" t="inlineStr">
        <is>
          <t>20 Grand Ave</t>
        </is>
      </c>
      <c r="E72" s="54" t="inlineStr">
        <is>
          <t>421</t>
        </is>
      </c>
      <c r="F72" s="54" t="inlineStr">
        <is>
          <t>15SD1B1D</t>
        </is>
      </c>
      <c r="G72" s="54" t="inlineStr">
        <is>
          <t>1 BD / 1 BA</t>
        </is>
      </c>
      <c r="K72" s="36" t="inlineStr">
        <is>
          <t>SEAN CLAGGETT</t>
        </is>
      </c>
      <c r="L72" s="55" t="n">
        <v>768</v>
      </c>
      <c r="M72" s="56" t="n">
        <v>1</v>
      </c>
      <c r="N72" s="56" t="n">
        <v>1</v>
      </c>
      <c r="Q72" s="57" t="inlineStr">
        <is>
          <t>Occ</t>
        </is>
      </c>
      <c r="U72" s="58" t="n">
        <v>3025</v>
      </c>
      <c r="V72" s="58" t="n">
        <v>3095</v>
      </c>
      <c r="W72" s="58" t="n">
        <v>0</v>
      </c>
      <c r="X72" s="58" t="n">
        <v>0</v>
      </c>
      <c r="Y72" s="58" t="n">
        <v>373.5</v>
      </c>
      <c r="Z72" s="59" t="n">
        <v>45631</v>
      </c>
      <c r="AA72" s="59" t="n">
        <v>45631</v>
      </c>
      <c r="AB72" s="59" t="n">
        <v>46387</v>
      </c>
    </row>
    <row r="73">
      <c r="D73" s="36" t="inlineStr">
        <is>
          <t>20 Grand Ave</t>
        </is>
      </c>
      <c r="E73" s="54" t="inlineStr">
        <is>
          <t>422</t>
        </is>
      </c>
      <c r="F73" s="54" t="inlineStr">
        <is>
          <t>15SD2B2B</t>
        </is>
      </c>
      <c r="G73" s="54" t="inlineStr">
        <is>
          <t>2 BD / 2 BA</t>
        </is>
      </c>
      <c r="K73" s="36" t="inlineStr">
        <is>
          <t>SAUL SPITZ</t>
        </is>
      </c>
      <c r="L73" s="55" t="n">
        <v>1016</v>
      </c>
      <c r="M73" s="56" t="n">
        <v>2</v>
      </c>
      <c r="N73" s="56" t="n">
        <v>2</v>
      </c>
      <c r="Q73" s="57" t="inlineStr">
        <is>
          <t>Occ</t>
        </is>
      </c>
      <c r="U73" s="58" t="n">
        <v>3895</v>
      </c>
      <c r="V73" s="58" t="n">
        <v>3895</v>
      </c>
      <c r="W73" s="58" t="n">
        <v>-295</v>
      </c>
      <c r="X73" s="58" t="n">
        <v>0</v>
      </c>
      <c r="Y73" s="58" t="n">
        <v>956</v>
      </c>
      <c r="Z73" s="59" t="n">
        <v>45061</v>
      </c>
      <c r="AA73" s="59" t="n">
        <v>45061</v>
      </c>
      <c r="AB73" s="59" t="n">
        <v>46568</v>
      </c>
    </row>
    <row r="74">
      <c r="D74" s="36" t="inlineStr">
        <is>
          <t>20 Grand Ave</t>
        </is>
      </c>
      <c r="E74" s="54" t="inlineStr">
        <is>
          <t>423</t>
        </is>
      </c>
      <c r="F74" s="54" t="inlineStr">
        <is>
          <t>15SD2B2B</t>
        </is>
      </c>
      <c r="G74" s="54" t="inlineStr">
        <is>
          <t>2 BD / 2 BA</t>
        </is>
      </c>
      <c r="K74" s="36" t="inlineStr">
        <is>
          <t>SALVATORE MANFREDONIA</t>
        </is>
      </c>
      <c r="L74" s="55" t="n">
        <v>1008</v>
      </c>
      <c r="M74" s="56" t="n">
        <v>2</v>
      </c>
      <c r="N74" s="56" t="n">
        <v>2</v>
      </c>
      <c r="Q74" s="57" t="inlineStr">
        <is>
          <t>Occ</t>
        </is>
      </c>
      <c r="U74" s="58" t="n">
        <v>3650</v>
      </c>
      <c r="V74" s="58" t="n">
        <v>4733</v>
      </c>
      <c r="W74" s="58" t="n">
        <v>0</v>
      </c>
      <c r="X74" s="58" t="n">
        <v>0</v>
      </c>
      <c r="Y74" s="58" t="n">
        <v>551</v>
      </c>
      <c r="Z74" s="59" t="n">
        <v>45108</v>
      </c>
      <c r="AA74" s="59" t="n">
        <v>45108</v>
      </c>
      <c r="AB74" s="59" t="n">
        <v>46265</v>
      </c>
    </row>
    <row r="75">
      <c r="D75" s="36" t="inlineStr">
        <is>
          <t>20 Grand Ave</t>
        </is>
      </c>
      <c r="E75" s="54" t="inlineStr">
        <is>
          <t>424</t>
        </is>
      </c>
      <c r="F75" s="54" t="inlineStr">
        <is>
          <t>15SD2B2D</t>
        </is>
      </c>
      <c r="G75" s="54" t="inlineStr">
        <is>
          <t>2 BD / 2 BA</t>
        </is>
      </c>
      <c r="K75" s="36" t="inlineStr">
        <is>
          <t>SEI EUN KIM</t>
        </is>
      </c>
      <c r="L75" s="55" t="n">
        <v>1163</v>
      </c>
      <c r="M75" s="56" t="n">
        <v>2</v>
      </c>
      <c r="N75" s="56" t="n">
        <v>2</v>
      </c>
      <c r="Q75" s="57" t="inlineStr">
        <is>
          <t>Occ</t>
        </is>
      </c>
      <c r="U75" s="58" t="n">
        <v>4195</v>
      </c>
      <c r="V75" s="58" t="n">
        <v>4295</v>
      </c>
      <c r="W75" s="58" t="n">
        <v>-75</v>
      </c>
      <c r="X75" s="58" t="n">
        <v>0</v>
      </c>
      <c r="Y75" s="58" t="n">
        <v>236</v>
      </c>
      <c r="Z75" s="59" t="n">
        <v>46157</v>
      </c>
      <c r="AA75" s="59" t="n">
        <v>46157</v>
      </c>
      <c r="AB75" s="59" t="n">
        <v>46568</v>
      </c>
    </row>
    <row r="76">
      <c r="D76" s="36" t="inlineStr">
        <is>
          <t>20 Grand Ave</t>
        </is>
      </c>
      <c r="E76" s="54" t="inlineStr">
        <is>
          <t>425</t>
        </is>
      </c>
      <c r="F76" s="54" t="inlineStr">
        <is>
          <t>15SD2B2B</t>
        </is>
      </c>
      <c r="G76" s="54" t="inlineStr">
        <is>
          <t>2 BD / 2 BA</t>
        </is>
      </c>
      <c r="K76" s="36" t="inlineStr">
        <is>
          <t>PETER SHERRY</t>
        </is>
      </c>
      <c r="L76" s="55" t="n">
        <v>1187</v>
      </c>
      <c r="M76" s="56" t="n">
        <v>2</v>
      </c>
      <c r="N76" s="56" t="n">
        <v>2</v>
      </c>
      <c r="Q76" s="57" t="inlineStr">
        <is>
          <t>Occ</t>
        </is>
      </c>
      <c r="U76" s="58" t="n">
        <v>4220</v>
      </c>
      <c r="V76" s="58" t="n">
        <v>4220</v>
      </c>
      <c r="W76" s="58" t="n">
        <v>-170</v>
      </c>
      <c r="X76" s="58" t="n">
        <v>0</v>
      </c>
      <c r="Y76" s="58" t="n">
        <v>306</v>
      </c>
      <c r="Z76" s="59" t="n">
        <v>46082</v>
      </c>
      <c r="AA76" s="59" t="n">
        <v>46082</v>
      </c>
      <c r="AB76" s="59" t="n">
        <v>46477</v>
      </c>
    </row>
    <row r="77">
      <c r="D77" s="36" t="inlineStr">
        <is>
          <t>20 Grand Ave</t>
        </is>
      </c>
      <c r="E77" s="54" t="inlineStr">
        <is>
          <t>426</t>
        </is>
      </c>
      <c r="F77" s="54" t="inlineStr">
        <is>
          <t>15SD1B1D</t>
        </is>
      </c>
      <c r="G77" s="54" t="inlineStr">
        <is>
          <t>1 BD / 1 BA</t>
        </is>
      </c>
      <c r="K77" s="36" t="inlineStr">
        <is>
          <t>ALEXANDRA PANTALEONE</t>
        </is>
      </c>
      <c r="L77" s="55" t="n">
        <v>817</v>
      </c>
      <c r="M77" s="56" t="n">
        <v>1</v>
      </c>
      <c r="N77" s="56" t="n">
        <v>1</v>
      </c>
      <c r="Q77" s="57" t="inlineStr">
        <is>
          <t>Occ</t>
        </is>
      </c>
      <c r="U77" s="58" t="n">
        <v>3150</v>
      </c>
      <c r="V77" s="58" t="n">
        <v>3195</v>
      </c>
      <c r="W77" s="58" t="n">
        <v>-165</v>
      </c>
      <c r="X77" s="58" t="n">
        <v>0</v>
      </c>
      <c r="Y77" s="58" t="n">
        <v>621</v>
      </c>
      <c r="Z77" s="59" t="n">
        <v>45650</v>
      </c>
      <c r="AA77" s="59" t="n">
        <v>45650</v>
      </c>
      <c r="AB77" s="59" t="n">
        <v>46752</v>
      </c>
    </row>
    <row r="78">
      <c r="D78" s="36" t="inlineStr">
        <is>
          <t>20 Grand Ave</t>
        </is>
      </c>
      <c r="E78" s="54" t="inlineStr">
        <is>
          <t>501</t>
        </is>
      </c>
      <c r="F78" s="54" t="inlineStr">
        <is>
          <t>15SD1B1B</t>
        </is>
      </c>
      <c r="G78" s="54" t="inlineStr">
        <is>
          <t>1 BD / 1 BA</t>
        </is>
      </c>
      <c r="K78" s="36" t="inlineStr">
        <is>
          <t>THOMAS-ANTHONY JIMENEZ</t>
        </is>
      </c>
      <c r="L78" s="55" t="n">
        <v>702</v>
      </c>
      <c r="M78" s="56" t="n">
        <v>1</v>
      </c>
      <c r="N78" s="56" t="n">
        <v>1</v>
      </c>
      <c r="Q78" s="57" t="inlineStr">
        <is>
          <t>Occ</t>
        </is>
      </c>
      <c r="U78" s="58" t="n">
        <v>3275</v>
      </c>
      <c r="V78" s="58" t="n">
        <v>3195</v>
      </c>
      <c r="W78" s="58" t="n">
        <v>0</v>
      </c>
      <c r="X78" s="58" t="n">
        <v>0</v>
      </c>
      <c r="Y78" s="58" t="n">
        <v>1021</v>
      </c>
      <c r="Z78" s="59" t="n">
        <v>45444</v>
      </c>
      <c r="AA78" s="59" t="n">
        <v>45444</v>
      </c>
      <c r="AB78" s="59" t="n">
        <v>46568</v>
      </c>
    </row>
    <row r="79">
      <c r="D79" s="36" t="inlineStr">
        <is>
          <t>20 Grand Ave</t>
        </is>
      </c>
      <c r="E79" s="54" t="inlineStr">
        <is>
          <t>502</t>
        </is>
      </c>
      <c r="F79" s="54" t="inlineStr">
        <is>
          <t>15SD1B1B</t>
        </is>
      </c>
      <c r="G79" s="54" t="inlineStr">
        <is>
          <t>1 BD / 1 BA</t>
        </is>
      </c>
      <c r="K79" s="36" t="inlineStr">
        <is>
          <t>MELVIN TEPLER</t>
        </is>
      </c>
      <c r="L79" s="55" t="n">
        <v>603</v>
      </c>
      <c r="M79" s="56" t="n">
        <v>1</v>
      </c>
      <c r="N79" s="56" t="n">
        <v>1</v>
      </c>
      <c r="Q79" s="57" t="inlineStr">
        <is>
          <t>Occ</t>
        </is>
      </c>
      <c r="U79" s="58" t="n">
        <v>2995</v>
      </c>
      <c r="V79" s="58" t="n">
        <v>3010</v>
      </c>
      <c r="W79" s="58" t="n">
        <v>0</v>
      </c>
      <c r="X79" s="58" t="n">
        <v>0</v>
      </c>
      <c r="Y79" s="58" t="n">
        <v>641</v>
      </c>
      <c r="Z79" s="59" t="n">
        <v>45839</v>
      </c>
      <c r="AA79" s="59" t="n">
        <v>45839</v>
      </c>
      <c r="AB79" s="59" t="n">
        <v>46203</v>
      </c>
    </row>
    <row r="80">
      <c r="D80" s="36" t="inlineStr">
        <is>
          <t>20 Grand Ave</t>
        </is>
      </c>
      <c r="E80" s="54" t="inlineStr">
        <is>
          <t>503</t>
        </is>
      </c>
      <c r="F80" s="54" t="inlineStr">
        <is>
          <t>15SD2B2B</t>
        </is>
      </c>
      <c r="G80" s="54" t="inlineStr">
        <is>
          <t>2 BD / 2 BA</t>
        </is>
      </c>
      <c r="K80" s="36" t="inlineStr">
        <is>
          <t>CASSIE STEINBERG</t>
        </is>
      </c>
      <c r="L80" s="55" t="n">
        <v>1244</v>
      </c>
      <c r="M80" s="56" t="n">
        <v>2</v>
      </c>
      <c r="N80" s="56" t="n">
        <v>2</v>
      </c>
      <c r="Q80" s="57" t="inlineStr">
        <is>
          <t>Occ</t>
        </is>
      </c>
      <c r="U80" s="58" t="n">
        <v>4595</v>
      </c>
      <c r="V80" s="58" t="n">
        <v>4965</v>
      </c>
      <c r="W80" s="58" t="n">
        <v>-4965</v>
      </c>
      <c r="X80" s="58" t="n">
        <v>0</v>
      </c>
      <c r="Y80" s="58" t="n">
        <v>381</v>
      </c>
      <c r="Z80" s="59" t="n">
        <v>45839</v>
      </c>
      <c r="AA80" s="59" t="n">
        <v>45839</v>
      </c>
      <c r="AB80" s="59" t="n">
        <v>46568</v>
      </c>
    </row>
    <row r="81">
      <c r="D81" s="36" t="inlineStr">
        <is>
          <t>20 Grand Ave</t>
        </is>
      </c>
      <c r="E81" s="54" t="inlineStr">
        <is>
          <t>504</t>
        </is>
      </c>
      <c r="F81" s="54" t="inlineStr">
        <is>
          <t>15SDStu</t>
        </is>
      </c>
      <c r="G81" s="54" t="inlineStr">
        <is>
          <t>0 BD / 1 BA</t>
        </is>
      </c>
      <c r="K81" s="36" t="inlineStr">
        <is>
          <t>EDMUND NAAMI</t>
        </is>
      </c>
      <c r="L81" s="55" t="n">
        <v>531</v>
      </c>
      <c r="M81" s="56" t="n">
        <v>0</v>
      </c>
      <c r="N81" s="56" t="n">
        <v>1</v>
      </c>
      <c r="Q81" s="57" t="inlineStr">
        <is>
          <t>Occ</t>
        </is>
      </c>
      <c r="U81" s="58" t="n">
        <v>2545</v>
      </c>
      <c r="V81" s="58" t="n">
        <v>2695</v>
      </c>
      <c r="W81" s="58" t="n">
        <v>-75</v>
      </c>
      <c r="X81" s="58" t="n">
        <v>0</v>
      </c>
      <c r="Y81" s="58" t="n">
        <v>236</v>
      </c>
      <c r="Z81" s="59" t="n">
        <v>46204</v>
      </c>
      <c r="AA81" s="59" t="n">
        <v>46204</v>
      </c>
      <c r="AB81" s="59" t="n">
        <v>46599</v>
      </c>
    </row>
    <row r="82">
      <c r="D82" s="36" t="inlineStr">
        <is>
          <t>20 Grand Ave</t>
        </is>
      </c>
      <c r="E82" s="54" t="inlineStr">
        <is>
          <t>505</t>
        </is>
      </c>
      <c r="F82" s="54" t="inlineStr">
        <is>
          <t>15SD2B2B</t>
        </is>
      </c>
      <c r="G82" s="54" t="inlineStr">
        <is>
          <t>2 BD / 2 BA</t>
        </is>
      </c>
      <c r="K82" s="36" t="inlineStr">
        <is>
          <t>PAVEL NIKULIN</t>
        </is>
      </c>
      <c r="L82" s="55" t="n">
        <v>1189</v>
      </c>
      <c r="M82" s="56" t="n">
        <v>2</v>
      </c>
      <c r="N82" s="56" t="n">
        <v>2</v>
      </c>
      <c r="Q82" s="57" t="inlineStr">
        <is>
          <t>Occ</t>
        </is>
      </c>
      <c r="U82" s="58" t="n">
        <v>4195</v>
      </c>
      <c r="V82" s="58" t="n">
        <v>4662.81</v>
      </c>
      <c r="W82" s="58" t="n">
        <v>0</v>
      </c>
      <c r="X82" s="58" t="n">
        <v>0</v>
      </c>
      <c r="Y82" s="58" t="n">
        <v>361</v>
      </c>
      <c r="Z82" s="59" t="n">
        <v>45383</v>
      </c>
      <c r="AA82" s="59" t="n">
        <v>45383</v>
      </c>
      <c r="AB82" s="59" t="n">
        <v>46234</v>
      </c>
    </row>
    <row r="83">
      <c r="D83" s="36" t="inlineStr">
        <is>
          <t>20 Grand Ave</t>
        </is>
      </c>
      <c r="E83" s="54" t="inlineStr">
        <is>
          <t>506</t>
        </is>
      </c>
      <c r="F83" s="54" t="inlineStr">
        <is>
          <t>15SD2B2D</t>
        </is>
      </c>
      <c r="G83" s="54" t="inlineStr">
        <is>
          <t>2 BD / 2 BA</t>
        </is>
      </c>
      <c r="K83" s="36" t="inlineStr">
        <is>
          <t>STEVEN USDAN</t>
        </is>
      </c>
      <c r="L83" s="55" t="n">
        <v>1156</v>
      </c>
      <c r="M83" s="56" t="n">
        <v>2</v>
      </c>
      <c r="N83" s="56" t="n">
        <v>2</v>
      </c>
      <c r="Q83" s="57" t="inlineStr">
        <is>
          <t>Occ</t>
        </is>
      </c>
      <c r="U83" s="58" t="n">
        <v>4350</v>
      </c>
      <c r="V83" s="58" t="n">
        <v>4350</v>
      </c>
      <c r="W83" s="58" t="n">
        <v>0</v>
      </c>
      <c r="X83" s="58" t="n">
        <v>0</v>
      </c>
      <c r="Y83" s="58" t="n">
        <v>236</v>
      </c>
      <c r="Z83" s="59" t="n">
        <v>46029</v>
      </c>
      <c r="AA83" s="59" t="n">
        <v>46029</v>
      </c>
      <c r="AB83" s="59" t="n">
        <v>46446</v>
      </c>
    </row>
    <row r="84">
      <c r="D84" s="36" t="inlineStr">
        <is>
          <t>20 Grand Ave</t>
        </is>
      </c>
      <c r="E84" s="54" t="inlineStr">
        <is>
          <t>507</t>
        </is>
      </c>
      <c r="F84" s="54" t="inlineStr">
        <is>
          <t>15SD2B2D</t>
        </is>
      </c>
      <c r="G84" s="54" t="inlineStr">
        <is>
          <t>2 BD / 2 BA</t>
        </is>
      </c>
      <c r="K84" s="36" t="inlineStr">
        <is>
          <t>MORDECHAI COHEN</t>
        </is>
      </c>
      <c r="L84" s="55" t="n">
        <v>1168</v>
      </c>
      <c r="M84" s="56" t="n">
        <v>2</v>
      </c>
      <c r="N84" s="56" t="n">
        <v>2</v>
      </c>
      <c r="Q84" s="57" t="inlineStr">
        <is>
          <t>Occ</t>
        </is>
      </c>
      <c r="U84" s="58" t="n">
        <v>4195</v>
      </c>
      <c r="V84" s="58" t="n">
        <v>3940</v>
      </c>
      <c r="W84" s="58" t="n">
        <v>0</v>
      </c>
      <c r="X84" s="58" t="n">
        <v>0</v>
      </c>
      <c r="Y84" s="58" t="n">
        <v>711</v>
      </c>
      <c r="Z84" s="59" t="n">
        <v>45219</v>
      </c>
      <c r="AA84" s="59" t="n">
        <v>45219</v>
      </c>
      <c r="AB84" s="59" t="n">
        <v>46173</v>
      </c>
    </row>
    <row r="85">
      <c r="D85" s="36" t="inlineStr">
        <is>
          <t>20 Grand Ave</t>
        </is>
      </c>
      <c r="E85" s="54" t="inlineStr">
        <is>
          <t>508</t>
        </is>
      </c>
      <c r="F85" s="54" t="inlineStr">
        <is>
          <t>15SD2B2B</t>
        </is>
      </c>
      <c r="G85" s="54" t="inlineStr">
        <is>
          <t>2 BD / 2 BA</t>
        </is>
      </c>
      <c r="K85" s="36" t="inlineStr">
        <is>
          <t>Vacant</t>
        </is>
      </c>
      <c r="L85" s="55" t="n">
        <v>1189</v>
      </c>
      <c r="M85" s="56" t="n">
        <v>2</v>
      </c>
      <c r="N85" s="56" t="n">
        <v>2</v>
      </c>
      <c r="Q85" s="57" t="inlineStr">
        <is>
          <t>Vac</t>
        </is>
      </c>
      <c r="U85" s="58" t="n">
        <v>3595</v>
      </c>
      <c r="V85" s="58" t="n">
        <v>0</v>
      </c>
      <c r="W85" s="58" t="n">
        <v>0</v>
      </c>
      <c r="X85" s="58" t="n">
        <v>0</v>
      </c>
      <c r="Y85" s="58" t="n">
        <v>0</v>
      </c>
    </row>
    <row r="86">
      <c r="D86" s="36" t="inlineStr">
        <is>
          <t>20 Grand Ave</t>
        </is>
      </c>
      <c r="E86" s="54" t="inlineStr">
        <is>
          <t>509</t>
        </is>
      </c>
      <c r="F86" s="54" t="inlineStr">
        <is>
          <t>15SD2B2B</t>
        </is>
      </c>
      <c r="G86" s="54" t="inlineStr">
        <is>
          <t>2 BD / 2 BA</t>
        </is>
      </c>
      <c r="K86" s="36" t="inlineStr">
        <is>
          <t>Vacant</t>
        </is>
      </c>
      <c r="L86" s="55" t="n">
        <v>1054</v>
      </c>
      <c r="M86" s="56" t="n">
        <v>2</v>
      </c>
      <c r="N86" s="56" t="n">
        <v>2</v>
      </c>
      <c r="Q86" s="57" t="inlineStr">
        <is>
          <t>Vac</t>
        </is>
      </c>
      <c r="U86" s="58" t="n">
        <v>3595</v>
      </c>
      <c r="V86" s="58" t="n">
        <v>0</v>
      </c>
      <c r="W86" s="58" t="n">
        <v>0</v>
      </c>
      <c r="X86" s="58" t="n">
        <v>0</v>
      </c>
      <c r="Y86" s="58" t="n">
        <v>0</v>
      </c>
    </row>
    <row r="87">
      <c r="D87" s="36" t="inlineStr">
        <is>
          <t>20 Grand Ave</t>
        </is>
      </c>
      <c r="E87" s="54" t="inlineStr">
        <is>
          <t>510</t>
        </is>
      </c>
      <c r="F87" s="54" t="inlineStr">
        <is>
          <t>15SD2B2B</t>
        </is>
      </c>
      <c r="G87" s="54" t="inlineStr">
        <is>
          <t>2 BD / 2 BA</t>
        </is>
      </c>
      <c r="K87" s="36" t="inlineStr">
        <is>
          <t>ERIC SHU HSIEN LIAO</t>
        </is>
      </c>
      <c r="L87" s="55" t="n">
        <v>1049</v>
      </c>
      <c r="M87" s="56" t="n">
        <v>2</v>
      </c>
      <c r="N87" s="56" t="n">
        <v>2</v>
      </c>
      <c r="Q87" s="57" t="inlineStr">
        <is>
          <t>Occ</t>
        </is>
      </c>
      <c r="U87" s="58" t="n">
        <v>3695</v>
      </c>
      <c r="V87" s="58" t="n">
        <v>3909</v>
      </c>
      <c r="W87" s="58" t="n">
        <v>0</v>
      </c>
      <c r="X87" s="58" t="n">
        <v>0</v>
      </c>
      <c r="Y87" s="58" t="n">
        <v>506</v>
      </c>
      <c r="Z87" s="59" t="n">
        <v>45444</v>
      </c>
      <c r="AA87" s="59" t="n">
        <v>45444</v>
      </c>
      <c r="AB87" s="59" t="n">
        <v>46568</v>
      </c>
    </row>
    <row r="88">
      <c r="D88" s="36" t="inlineStr">
        <is>
          <t>20 Grand Ave</t>
        </is>
      </c>
      <c r="E88" s="54" t="inlineStr">
        <is>
          <t>511</t>
        </is>
      </c>
      <c r="F88" s="54" t="inlineStr">
        <is>
          <t>15SD2B2B</t>
        </is>
      </c>
      <c r="G88" s="54" t="inlineStr">
        <is>
          <t>2 BD / 2 BA</t>
        </is>
      </c>
      <c r="K88" s="36" t="inlineStr">
        <is>
          <t>NARINE GABRIELYAN</t>
        </is>
      </c>
      <c r="L88" s="55" t="n">
        <v>1188</v>
      </c>
      <c r="M88" s="56" t="n">
        <v>2</v>
      </c>
      <c r="N88" s="56" t="n">
        <v>2</v>
      </c>
      <c r="Q88" s="57" t="inlineStr">
        <is>
          <t>Occ</t>
        </is>
      </c>
      <c r="U88" s="58" t="n">
        <v>4100</v>
      </c>
      <c r="V88" s="58" t="n">
        <v>4350</v>
      </c>
      <c r="W88" s="58" t="n">
        <v>-4350</v>
      </c>
      <c r="X88" s="58" t="n">
        <v>0</v>
      </c>
      <c r="Y88" s="58" t="n">
        <v>236</v>
      </c>
      <c r="Z88" s="59" t="n">
        <v>45839</v>
      </c>
      <c r="AA88" s="59" t="n">
        <v>45839</v>
      </c>
      <c r="AB88" s="59" t="n">
        <v>46568</v>
      </c>
    </row>
    <row r="89">
      <c r="D89" s="36" t="inlineStr">
        <is>
          <t>20 Grand Ave</t>
        </is>
      </c>
      <c r="E89" s="54" t="inlineStr">
        <is>
          <t>512</t>
        </is>
      </c>
      <c r="F89" s="54" t="inlineStr">
        <is>
          <t>15SD2B2D</t>
        </is>
      </c>
      <c r="G89" s="54" t="inlineStr">
        <is>
          <t>2 BD / 2 BA</t>
        </is>
      </c>
      <c r="K89" s="36" t="inlineStr">
        <is>
          <t>NOHA GIBARA</t>
        </is>
      </c>
      <c r="L89" s="55" t="n">
        <v>1164</v>
      </c>
      <c r="M89" s="56" t="n">
        <v>2</v>
      </c>
      <c r="N89" s="56" t="n">
        <v>2</v>
      </c>
      <c r="Q89" s="57" t="inlineStr">
        <is>
          <t>Occ</t>
        </is>
      </c>
      <c r="U89" s="58" t="n">
        <v>4195</v>
      </c>
      <c r="V89" s="58" t="n">
        <v>4295</v>
      </c>
      <c r="W89" s="58" t="n">
        <v>0</v>
      </c>
      <c r="X89" s="58" t="n">
        <v>0</v>
      </c>
      <c r="Y89" s="58" t="n">
        <v>566</v>
      </c>
      <c r="Z89" s="59" t="n">
        <v>45427</v>
      </c>
      <c r="AA89" s="59" t="n">
        <v>45427</v>
      </c>
      <c r="AB89" s="59" t="n">
        <v>46173</v>
      </c>
    </row>
    <row r="90">
      <c r="D90" s="36" t="inlineStr">
        <is>
          <t>20 Grand Ave</t>
        </is>
      </c>
      <c r="E90" s="54" t="inlineStr">
        <is>
          <t>513</t>
        </is>
      </c>
      <c r="F90" s="54" t="inlineStr">
        <is>
          <t>15SD2B2D</t>
        </is>
      </c>
      <c r="G90" s="54" t="inlineStr">
        <is>
          <t>2 BD / 2 BA</t>
        </is>
      </c>
      <c r="K90" s="36" t="inlineStr">
        <is>
          <t>Vacant</t>
        </is>
      </c>
      <c r="L90" s="55" t="n">
        <v>1164</v>
      </c>
      <c r="M90" s="56" t="n">
        <v>2</v>
      </c>
      <c r="N90" s="56" t="n">
        <v>2</v>
      </c>
      <c r="Q90" s="57" t="inlineStr">
        <is>
          <t>Vac</t>
        </is>
      </c>
      <c r="U90" s="58" t="n">
        <v>4295</v>
      </c>
      <c r="V90" s="58" t="n">
        <v>0</v>
      </c>
      <c r="W90" s="58" t="n">
        <v>0</v>
      </c>
      <c r="X90" s="58" t="n">
        <v>0</v>
      </c>
      <c r="Y90" s="58" t="n">
        <v>0</v>
      </c>
    </row>
    <row r="91">
      <c r="D91" s="36" t="inlineStr">
        <is>
          <t>20 Grand Ave</t>
        </is>
      </c>
      <c r="E91" s="54" t="inlineStr">
        <is>
          <t>514</t>
        </is>
      </c>
      <c r="F91" s="54" t="inlineStr">
        <is>
          <t>15SD2B2B</t>
        </is>
      </c>
      <c r="G91" s="54" t="inlineStr">
        <is>
          <t>2 BD / 2 BA</t>
        </is>
      </c>
      <c r="K91" s="36" t="inlineStr">
        <is>
          <t>MARCUS LEE</t>
        </is>
      </c>
      <c r="L91" s="55" t="n">
        <v>1192</v>
      </c>
      <c r="M91" s="56" t="n">
        <v>2</v>
      </c>
      <c r="N91" s="56" t="n">
        <v>2</v>
      </c>
      <c r="Q91" s="57" t="inlineStr">
        <is>
          <t>Occ</t>
        </is>
      </c>
      <c r="U91" s="58" t="n">
        <v>4225</v>
      </c>
      <c r="V91" s="58" t="n">
        <v>4295</v>
      </c>
      <c r="W91" s="58" t="n">
        <v>-95</v>
      </c>
      <c r="X91" s="58" t="n">
        <v>0</v>
      </c>
      <c r="Y91" s="58" t="n">
        <v>161</v>
      </c>
      <c r="Z91" s="59" t="n">
        <v>45626</v>
      </c>
      <c r="AA91" s="59" t="n">
        <v>45626</v>
      </c>
      <c r="AB91" s="59" t="n">
        <v>46721</v>
      </c>
    </row>
    <row r="92">
      <c r="D92" s="36" t="inlineStr">
        <is>
          <t>20 Grand Ave</t>
        </is>
      </c>
      <c r="E92" s="54" t="inlineStr">
        <is>
          <t>515</t>
        </is>
      </c>
      <c r="F92" s="54" t="inlineStr">
        <is>
          <t>15SD2B2B</t>
        </is>
      </c>
      <c r="G92" s="54" t="inlineStr">
        <is>
          <t>2 BD / 2 BA</t>
        </is>
      </c>
      <c r="K92" s="36" t="inlineStr">
        <is>
          <t>BENJAMIN WOLFER</t>
        </is>
      </c>
      <c r="L92" s="55" t="n">
        <v>1108</v>
      </c>
      <c r="M92" s="56" t="n">
        <v>2</v>
      </c>
      <c r="N92" s="56" t="n">
        <v>2</v>
      </c>
      <c r="Q92" s="57" t="inlineStr">
        <is>
          <t>Occ</t>
        </is>
      </c>
      <c r="U92" s="58" t="n">
        <v>4695</v>
      </c>
      <c r="V92" s="58" t="n">
        <v>4595</v>
      </c>
      <c r="W92" s="58" t="n">
        <v>-706</v>
      </c>
      <c r="X92" s="58" t="n">
        <v>0</v>
      </c>
      <c r="Y92" s="58" t="n">
        <v>256</v>
      </c>
      <c r="Z92" s="59" t="n">
        <v>45901</v>
      </c>
      <c r="AA92" s="59" t="n">
        <v>45901</v>
      </c>
      <c r="AB92" s="59" t="n">
        <v>46295</v>
      </c>
    </row>
    <row r="93">
      <c r="D93" s="36" t="inlineStr">
        <is>
          <t>20 Grand Ave</t>
        </is>
      </c>
      <c r="E93" s="54" t="inlineStr">
        <is>
          <t>516</t>
        </is>
      </c>
      <c r="F93" s="54" t="inlineStr">
        <is>
          <t>15SD1B1B</t>
        </is>
      </c>
      <c r="G93" s="54" t="inlineStr">
        <is>
          <t>1 BD / 1 BA</t>
        </is>
      </c>
      <c r="K93" s="36" t="inlineStr">
        <is>
          <t>ARTI PANCHAL</t>
        </is>
      </c>
      <c r="L93" s="55" t="n">
        <v>732</v>
      </c>
      <c r="M93" s="56" t="n">
        <v>1</v>
      </c>
      <c r="N93" s="56" t="n">
        <v>1</v>
      </c>
      <c r="Q93" s="57" t="inlineStr">
        <is>
          <t>Occ</t>
        </is>
      </c>
      <c r="U93" s="58" t="n">
        <v>3050</v>
      </c>
      <c r="V93" s="58" t="n">
        <v>2995</v>
      </c>
      <c r="W93" s="58" t="n">
        <v>-75</v>
      </c>
      <c r="X93" s="58" t="n">
        <v>0</v>
      </c>
      <c r="Y93" s="58" t="n">
        <v>141</v>
      </c>
      <c r="Z93" s="59" t="n">
        <v>46174</v>
      </c>
      <c r="AA93" s="59" t="n">
        <v>46174</v>
      </c>
      <c r="AB93" s="59" t="n">
        <v>46568</v>
      </c>
    </row>
    <row r="94">
      <c r="D94" s="36" t="inlineStr">
        <is>
          <t>20 Grand Ave</t>
        </is>
      </c>
      <c r="E94" s="54" t="inlineStr">
        <is>
          <t>517</t>
        </is>
      </c>
      <c r="F94" s="54" t="inlineStr">
        <is>
          <t>15SD1B1B</t>
        </is>
      </c>
      <c r="G94" s="54" t="inlineStr">
        <is>
          <t>1 BD / 1 BA</t>
        </is>
      </c>
      <c r="K94" s="36" t="inlineStr">
        <is>
          <t>DAVID SCHUSTER</t>
        </is>
      </c>
      <c r="L94" s="55" t="n">
        <v>856</v>
      </c>
      <c r="M94" s="56" t="n">
        <v>1</v>
      </c>
      <c r="N94" s="56" t="n">
        <v>1</v>
      </c>
      <c r="Q94" s="57" t="inlineStr">
        <is>
          <t>Occ</t>
        </is>
      </c>
      <c r="U94" s="58" t="n">
        <v>3595</v>
      </c>
      <c r="V94" s="58" t="n">
        <v>3595</v>
      </c>
      <c r="W94" s="58" t="n">
        <v>0</v>
      </c>
      <c r="X94" s="58" t="n">
        <v>0</v>
      </c>
      <c r="Y94" s="58" t="n">
        <v>161</v>
      </c>
      <c r="Z94" s="59" t="n">
        <v>45092</v>
      </c>
      <c r="AA94" s="59" t="n">
        <v>45092</v>
      </c>
      <c r="AB94" s="59" t="n">
        <v>46234</v>
      </c>
    </row>
    <row r="95">
      <c r="D95" s="36" t="inlineStr">
        <is>
          <t>20 Grand Ave</t>
        </is>
      </c>
      <c r="E95" s="54" t="inlineStr">
        <is>
          <t>518</t>
        </is>
      </c>
      <c r="F95" s="54" t="inlineStr">
        <is>
          <t>15SD1B1B</t>
        </is>
      </c>
      <c r="G95" s="54" t="inlineStr">
        <is>
          <t>1 BD / 1 BA</t>
        </is>
      </c>
      <c r="K95" s="36" t="inlineStr">
        <is>
          <t>CAROLE SHULMAN</t>
        </is>
      </c>
      <c r="L95" s="55" t="n">
        <v>756</v>
      </c>
      <c r="M95" s="56" t="n">
        <v>1</v>
      </c>
      <c r="N95" s="56" t="n">
        <v>1</v>
      </c>
      <c r="Q95" s="57" t="inlineStr">
        <is>
          <t>Occ</t>
        </is>
      </c>
      <c r="U95" s="58" t="n">
        <v>2800</v>
      </c>
      <c r="V95" s="58" t="n">
        <v>2884</v>
      </c>
      <c r="W95" s="58" t="n">
        <v>0</v>
      </c>
      <c r="X95" s="58" t="n">
        <v>0</v>
      </c>
      <c r="Y95" s="58" t="n">
        <v>456</v>
      </c>
      <c r="Z95" s="59" t="n">
        <v>45075</v>
      </c>
      <c r="AA95" s="59" t="n">
        <v>45075</v>
      </c>
      <c r="AB95" s="59" t="n">
        <v>46568</v>
      </c>
    </row>
    <row r="96">
      <c r="D96" s="36" t="inlineStr">
        <is>
          <t>20 Grand Ave</t>
        </is>
      </c>
      <c r="E96" s="54" t="inlineStr">
        <is>
          <t>519</t>
        </is>
      </c>
      <c r="F96" s="54" t="inlineStr">
        <is>
          <t>15SD2B2D</t>
        </is>
      </c>
      <c r="G96" s="54" t="inlineStr">
        <is>
          <t>2 BD / 2 BA</t>
        </is>
      </c>
      <c r="K96" s="36" t="inlineStr">
        <is>
          <t>SASHERY FELIZ</t>
        </is>
      </c>
      <c r="L96" s="55" t="n">
        <v>1164</v>
      </c>
      <c r="M96" s="56" t="n">
        <v>2</v>
      </c>
      <c r="N96" s="56" t="n">
        <v>2</v>
      </c>
      <c r="Q96" s="57" t="inlineStr">
        <is>
          <t>Occ</t>
        </is>
      </c>
      <c r="U96" s="58" t="n">
        <v>4250</v>
      </c>
      <c r="V96" s="58" t="n">
        <v>4038</v>
      </c>
      <c r="W96" s="58" t="n">
        <v>0</v>
      </c>
      <c r="X96" s="58" t="n">
        <v>0</v>
      </c>
      <c r="Y96" s="58" t="n">
        <v>351</v>
      </c>
      <c r="Z96" s="59" t="n">
        <v>45931</v>
      </c>
      <c r="AA96" s="59" t="n">
        <v>45931</v>
      </c>
      <c r="AB96" s="59" t="n">
        <v>46295</v>
      </c>
    </row>
    <row r="97">
      <c r="D97" s="36" t="inlineStr">
        <is>
          <t>20 Grand Ave</t>
        </is>
      </c>
      <c r="E97" s="54" t="inlineStr">
        <is>
          <t>520</t>
        </is>
      </c>
      <c r="F97" s="54" t="inlineStr">
        <is>
          <t>15SD2B2B</t>
        </is>
      </c>
      <c r="G97" s="54" t="inlineStr">
        <is>
          <t>2 BD / 2 BA</t>
        </is>
      </c>
      <c r="K97" s="36" t="inlineStr">
        <is>
          <t>GUN ELISABET DRONGE</t>
        </is>
      </c>
      <c r="L97" s="55" t="n">
        <v>1189</v>
      </c>
      <c r="M97" s="56" t="n">
        <v>2</v>
      </c>
      <c r="N97" s="56" t="n">
        <v>2</v>
      </c>
      <c r="Q97" s="57" t="inlineStr">
        <is>
          <t>Occ</t>
        </is>
      </c>
      <c r="U97" s="58" t="n">
        <v>4250</v>
      </c>
      <c r="V97" s="58" t="n">
        <v>4395</v>
      </c>
      <c r="W97" s="58" t="n">
        <v>0</v>
      </c>
      <c r="X97" s="58" t="n">
        <v>0</v>
      </c>
      <c r="Y97" s="58" t="n">
        <v>66</v>
      </c>
      <c r="Z97" s="59" t="n">
        <v>45275</v>
      </c>
      <c r="AA97" s="59" t="n">
        <v>45275</v>
      </c>
      <c r="AB97" s="59" t="n">
        <v>46538</v>
      </c>
    </row>
    <row r="98">
      <c r="D98" s="36" t="inlineStr">
        <is>
          <t>20 Grand Ave</t>
        </is>
      </c>
      <c r="E98" s="54" t="inlineStr">
        <is>
          <t>521</t>
        </is>
      </c>
      <c r="F98" s="54" t="inlineStr">
        <is>
          <t>15SD1B1D</t>
        </is>
      </c>
      <c r="G98" s="54" t="inlineStr">
        <is>
          <t>1 BD / 1 BA</t>
        </is>
      </c>
      <c r="K98" s="36" t="inlineStr">
        <is>
          <t>DAVID HONG</t>
        </is>
      </c>
      <c r="L98" s="55" t="n">
        <v>768</v>
      </c>
      <c r="M98" s="56" t="n">
        <v>1</v>
      </c>
      <c r="N98" s="56" t="n">
        <v>1</v>
      </c>
      <c r="Q98" s="57" t="inlineStr">
        <is>
          <t>Occ</t>
        </is>
      </c>
      <c r="U98" s="58" t="n">
        <v>3075</v>
      </c>
      <c r="V98" s="58" t="n">
        <v>3295</v>
      </c>
      <c r="W98" s="58" t="n">
        <v>-366.11</v>
      </c>
      <c r="X98" s="58" t="n">
        <v>0</v>
      </c>
      <c r="Y98" s="58" t="n">
        <v>306</v>
      </c>
      <c r="Z98" s="59" t="n">
        <v>45724</v>
      </c>
      <c r="AA98" s="59" t="n">
        <v>45724</v>
      </c>
      <c r="AB98" s="59" t="n">
        <v>46265</v>
      </c>
    </row>
    <row r="99">
      <c r="D99" s="36" t="inlineStr">
        <is>
          <t>20 Grand Ave</t>
        </is>
      </c>
      <c r="E99" s="54" t="inlineStr">
        <is>
          <t>522</t>
        </is>
      </c>
      <c r="F99" s="54" t="inlineStr">
        <is>
          <t>15SD2B2B</t>
        </is>
      </c>
      <c r="G99" s="54" t="inlineStr">
        <is>
          <t>2 BD / 2 BA</t>
        </is>
      </c>
      <c r="K99" s="36" t="inlineStr">
        <is>
          <t>NATALIA CLASH</t>
        </is>
      </c>
      <c r="L99" s="55" t="n">
        <v>1022</v>
      </c>
      <c r="M99" s="56" t="n">
        <v>2</v>
      </c>
      <c r="N99" s="56" t="n">
        <v>2</v>
      </c>
      <c r="Q99" s="57" t="inlineStr">
        <is>
          <t>Occ</t>
        </is>
      </c>
      <c r="U99" s="58" t="n">
        <v>3695</v>
      </c>
      <c r="V99" s="58" t="n">
        <v>3893</v>
      </c>
      <c r="W99" s="58" t="n">
        <v>0</v>
      </c>
      <c r="X99" s="58" t="n">
        <v>0</v>
      </c>
      <c r="Y99" s="58" t="n">
        <v>306</v>
      </c>
      <c r="Z99" s="59" t="n">
        <v>46127</v>
      </c>
      <c r="AA99" s="59" t="n">
        <v>46127</v>
      </c>
      <c r="AB99" s="59" t="n">
        <v>46491</v>
      </c>
    </row>
    <row r="100">
      <c r="D100" s="36" t="inlineStr">
        <is>
          <t>20 Grand Ave</t>
        </is>
      </c>
      <c r="E100" s="54" t="inlineStr">
        <is>
          <t>523</t>
        </is>
      </c>
      <c r="F100" s="54" t="inlineStr">
        <is>
          <t>15SD2B2B</t>
        </is>
      </c>
      <c r="G100" s="54" t="inlineStr">
        <is>
          <t>2 BD / 2 BA</t>
        </is>
      </c>
      <c r="K100" s="36" t="inlineStr">
        <is>
          <t>TATIANA PERLOV</t>
        </is>
      </c>
      <c r="L100" s="55" t="n">
        <v>1008</v>
      </c>
      <c r="M100" s="56" t="n">
        <v>2</v>
      </c>
      <c r="N100" s="56" t="n">
        <v>2</v>
      </c>
      <c r="Q100" s="57" t="inlineStr">
        <is>
          <t>Occ</t>
        </is>
      </c>
      <c r="U100" s="58" t="n">
        <v>3695</v>
      </c>
      <c r="V100" s="58" t="n">
        <v>3871</v>
      </c>
      <c r="W100" s="58" t="n">
        <v>0</v>
      </c>
      <c r="X100" s="58" t="n">
        <v>0</v>
      </c>
      <c r="Y100" s="58" t="n">
        <v>161</v>
      </c>
      <c r="Z100" s="59" t="n">
        <v>45170</v>
      </c>
      <c r="AA100" s="59" t="n">
        <v>45170</v>
      </c>
      <c r="AB100" s="59" t="n">
        <v>46295</v>
      </c>
    </row>
    <row r="101">
      <c r="D101" s="36" t="inlineStr">
        <is>
          <t>20 Grand Ave</t>
        </is>
      </c>
      <c r="E101" s="54" t="inlineStr">
        <is>
          <t>524</t>
        </is>
      </c>
      <c r="F101" s="54" t="inlineStr">
        <is>
          <t>15SD2B2D</t>
        </is>
      </c>
      <c r="G101" s="54" t="inlineStr">
        <is>
          <t>2 BD / 2 BA</t>
        </is>
      </c>
      <c r="K101" s="36" t="inlineStr">
        <is>
          <t>Vacant</t>
        </is>
      </c>
      <c r="L101" s="55" t="n">
        <v>1163</v>
      </c>
      <c r="M101" s="56" t="n">
        <v>2</v>
      </c>
      <c r="N101" s="56" t="n">
        <v>2</v>
      </c>
      <c r="Q101" s="57" t="inlineStr">
        <is>
          <t>Vac</t>
        </is>
      </c>
      <c r="U101" s="58" t="n">
        <v>4295</v>
      </c>
      <c r="V101" s="58" t="n">
        <v>0</v>
      </c>
      <c r="W101" s="58" t="n">
        <v>0</v>
      </c>
      <c r="X101" s="58" t="n">
        <v>0</v>
      </c>
      <c r="Y101" s="58" t="n">
        <v>0</v>
      </c>
    </row>
    <row r="102">
      <c r="D102" s="36" t="inlineStr">
        <is>
          <t>20 Grand Ave</t>
        </is>
      </c>
      <c r="E102" s="54" t="inlineStr">
        <is>
          <t>525</t>
        </is>
      </c>
      <c r="F102" s="54" t="inlineStr">
        <is>
          <t>15SD2B2B</t>
        </is>
      </c>
      <c r="G102" s="54" t="inlineStr">
        <is>
          <t>2 BD / 2 BA</t>
        </is>
      </c>
      <c r="K102" s="36" t="inlineStr">
        <is>
          <t>JESSICA SILLARO</t>
        </is>
      </c>
      <c r="L102" s="55" t="n">
        <v>1188</v>
      </c>
      <c r="M102" s="56" t="n">
        <v>2</v>
      </c>
      <c r="N102" s="56" t="n">
        <v>2</v>
      </c>
      <c r="Q102" s="57" t="inlineStr">
        <is>
          <t>Occ</t>
        </is>
      </c>
      <c r="U102" s="58" t="n">
        <v>4250</v>
      </c>
      <c r="V102" s="58" t="n">
        <v>4395</v>
      </c>
      <c r="W102" s="58" t="n">
        <v>0</v>
      </c>
      <c r="X102" s="58" t="n">
        <v>0</v>
      </c>
      <c r="Y102" s="58" t="n">
        <v>351</v>
      </c>
      <c r="Z102" s="59" t="n">
        <v>45566</v>
      </c>
      <c r="AA102" s="59" t="n">
        <v>45566</v>
      </c>
      <c r="AB102" s="59" t="n">
        <v>46326</v>
      </c>
    </row>
    <row r="103">
      <c r="D103" s="36" t="inlineStr">
        <is>
          <t>20 Grand Ave</t>
        </is>
      </c>
      <c r="E103" s="54" t="inlineStr">
        <is>
          <t>526</t>
        </is>
      </c>
      <c r="F103" s="54" t="inlineStr">
        <is>
          <t>15SD1B1D</t>
        </is>
      </c>
      <c r="G103" s="54" t="inlineStr">
        <is>
          <t>1 BD / 1 BA</t>
        </is>
      </c>
      <c r="K103" s="36" t="inlineStr">
        <is>
          <t>Vacant</t>
        </is>
      </c>
      <c r="L103" s="55" t="n">
        <v>817</v>
      </c>
      <c r="M103" s="56" t="n">
        <v>1</v>
      </c>
      <c r="N103" s="56" t="n">
        <v>1</v>
      </c>
      <c r="Q103" s="57" t="inlineStr">
        <is>
          <t>Vac</t>
        </is>
      </c>
      <c r="U103" s="58" t="n">
        <v>3200</v>
      </c>
      <c r="V103" s="58" t="n">
        <v>0</v>
      </c>
      <c r="W103" s="58" t="n">
        <v>0</v>
      </c>
      <c r="X103" s="58" t="n">
        <v>0</v>
      </c>
      <c r="Y103" s="58" t="n">
        <v>0</v>
      </c>
    </row>
    <row r="104">
      <c r="C104" s="60" t="inlineStr">
        <is>
          <t>Total / Wtd. Average</t>
        </is>
      </c>
      <c r="D104" s="61" t="n"/>
      <c r="E104" s="61" t="n"/>
      <c r="F104" s="61" t="n"/>
      <c r="G104" s="62" t="n">
        <v>96</v>
      </c>
      <c r="H104" s="61" t="n"/>
      <c r="I104" s="61" t="n"/>
      <c r="J104" s="61" t="n"/>
      <c r="K104" s="61" t="n"/>
      <c r="L104" s="63" t="n">
        <v>94627</v>
      </c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4" t="n">
        <v>350430</v>
      </c>
      <c r="V104" s="64" t="n">
        <v>292439.87</v>
      </c>
      <c r="W104" s="64" t="n">
        <v>-23424.74</v>
      </c>
      <c r="X104" s="64" t="n">
        <v>0</v>
      </c>
      <c r="Y104" s="64" t="n">
        <v>25902.5</v>
      </c>
      <c r="Z104" s="61" t="n"/>
      <c r="AA104" s="61" t="n"/>
      <c r="AB104" s="61" t="n"/>
      <c r="AC104" s="61" t="n"/>
      <c r="AD104" s="61" t="n"/>
      <c r="AE104" s="65" t="n">
        <v>0</v>
      </c>
      <c r="AF104" s="65" t="n">
        <v>0</v>
      </c>
      <c r="AG104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I127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5" max="35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0 BD / 1 BA</t>
        </is>
      </c>
      <c r="D5" s="72" t="inlineStr">
        <is>
          <t>15SDStu</t>
        </is>
      </c>
      <c r="E5" s="73" t="n">
        <v>0</v>
      </c>
      <c r="F5" s="74" t="n">
        <v>1</v>
      </c>
      <c r="G5" s="73" t="inlineStr">
        <is>
          <t>No</t>
        </is>
      </c>
      <c r="H5" s="75">
        <f>COUNTIFS($D$32:$D$127,$C5)</f>
        <v/>
      </c>
      <c r="I5" s="75">
        <f>COUNTIFS($D$32:$D$127,$C5,$C$32:$C$127,"Occ")+COUNTIFS($D$32:$D$127,$C5,$C$32:$C$127,"Admin")+COUNTIFS($D$32:$D$127,$C5,$C$32:$C$127,"Down")+COUNTIFS($D$32:$D$127,$C5,$C$32:$C$127,"Super")+COUNTIFS($D$32:$D$127,$C5,$C$32:$C$127,"Model")</f>
        <v/>
      </c>
      <c r="J5" s="75">
        <f>COUNTIFS($D$32:$D$127,$C5,$C$32:$C$127,"Vac")</f>
        <v/>
      </c>
      <c r="K5" s="75">
        <f>IFERROR(AVERAGEIFS($J$32:$J$127,$D$32:$D$127,$C5),"n/a")</f>
        <v/>
      </c>
      <c r="L5" s="75">
        <f>SUMIFS($J$32:$J$127,$D$32:$D$127,$C5)</f>
        <v/>
      </c>
      <c r="M5" s="75">
        <f>SUMIFS($J$32:$J$127,$D$32:$D$127,$C5,$C$32:$C$127,"Occ")+SUMIFS($J$32:$J$127,$D$32:$D$127,$C5,$C$32:$C$127,"Admin")+SUMIFS($J$32:$J$127,$D$32:$D$127,$C5,$C$32:$C$127,"Down")+SUMIFS($J$32:$J$127,$D$32:$D$127,$C5,$C$32:$C$127,"Super")+SUMIFS($J$32:$J$127,$D$32:$D$127,$C5,$C$32:$C$127,"Model")</f>
        <v/>
      </c>
      <c r="N5" s="75">
        <f>SUMIFS($J$32:$J$127,$D$32:$D$127,$C5,$C$32:$C$127,"Vac")</f>
        <v/>
      </c>
      <c r="O5" s="75">
        <f>SUMIFS($L$32:$L$127,$D$32:$D$127,$C5)</f>
        <v/>
      </c>
      <c r="P5" s="75">
        <f>SUMIFS($M$32:$M$127,$D$32:$D$127,$C5)</f>
        <v/>
      </c>
      <c r="Q5" s="75">
        <f>SUMIFS($R$32:$R$127,$D$32:$D$127,$C5)</f>
        <v/>
      </c>
      <c r="R5" s="75">
        <f>SUMIFS($S$32:$S$127,$D$32:$D$127,$C5)</f>
        <v/>
      </c>
      <c r="S5" s="75">
        <f>SUMIFS($T$32:$T$127,$D$32:$D$127,$C5)</f>
        <v/>
      </c>
    </row>
    <row r="6">
      <c r="C6" s="71" t="inlineStr">
        <is>
          <t>1 BD / 1 BA</t>
        </is>
      </c>
      <c r="D6" s="72" t="inlineStr">
        <is>
          <t>15SD1B1B</t>
        </is>
      </c>
      <c r="E6" s="73" t="n">
        <v>1</v>
      </c>
      <c r="F6" s="74" t="n">
        <v>1</v>
      </c>
      <c r="G6" s="73" t="inlineStr">
        <is>
          <t>No</t>
        </is>
      </c>
      <c r="H6" s="75">
        <f>COUNTIFS($D$32:$D$127,$C6)</f>
        <v/>
      </c>
      <c r="I6" s="75">
        <f>COUNTIFS($D$32:$D$127,$C6,$C$32:$C$127,"Occ")+COUNTIFS($D$32:$D$127,$C6,$C$32:$C$127,"Admin")+COUNTIFS($D$32:$D$127,$C6,$C$32:$C$127,"Down")+COUNTIFS($D$32:$D$127,$C6,$C$32:$C$127,"Super")+COUNTIFS($D$32:$D$127,$C6,$C$32:$C$127,"Model")</f>
        <v/>
      </c>
      <c r="J6" s="75">
        <f>COUNTIFS($D$32:$D$127,$C6,$C$32:$C$127,"Vac")</f>
        <v/>
      </c>
      <c r="K6" s="75">
        <f>IFERROR(AVERAGEIFS($J$32:$J$127,$D$32:$D$127,$C6),"n/a")</f>
        <v/>
      </c>
      <c r="L6" s="75">
        <f>SUMIFS($J$32:$J$127,$D$32:$D$127,$C6)</f>
        <v/>
      </c>
      <c r="M6" s="75">
        <f>SUMIFS($J$32:$J$127,$D$32:$D$127,$C6,$C$32:$C$127,"Occ")+SUMIFS($J$32:$J$127,$D$32:$D$127,$C6,$C$32:$C$127,"Admin")+SUMIFS($J$32:$J$127,$D$32:$D$127,$C6,$C$32:$C$127,"Down")+SUMIFS($J$32:$J$127,$D$32:$D$127,$C6,$C$32:$C$127,"Super")+SUMIFS($J$32:$J$127,$D$32:$D$127,$C6,$C$32:$C$127,"Model")</f>
        <v/>
      </c>
      <c r="N6" s="75">
        <f>SUMIFS($J$32:$J$127,$D$32:$D$127,$C6,$C$32:$C$127,"Vac")</f>
        <v/>
      </c>
      <c r="O6" s="75">
        <f>SUMIFS($L$32:$L$127,$D$32:$D$127,$C6)</f>
        <v/>
      </c>
      <c r="P6" s="75">
        <f>SUMIFS($M$32:$M$127,$D$32:$D$127,$C6)</f>
        <v/>
      </c>
      <c r="Q6" s="75">
        <f>SUMIFS($R$32:$R$127,$D$32:$D$127,$C6)</f>
        <v/>
      </c>
      <c r="R6" s="75">
        <f>SUMIFS($S$32:$S$127,$D$32:$D$127,$C6)</f>
        <v/>
      </c>
      <c r="S6" s="75">
        <f>SUMIFS($T$32:$T$127,$D$32:$D$127,$C6)</f>
        <v/>
      </c>
    </row>
    <row r="7">
      <c r="C7" s="71" t="inlineStr">
        <is>
          <t>1 BD / 1 BA</t>
        </is>
      </c>
      <c r="D7" s="72" t="inlineStr">
        <is>
          <t>15SD1B1D</t>
        </is>
      </c>
      <c r="E7" s="73" t="n">
        <v>1</v>
      </c>
      <c r="F7" s="74" t="n">
        <v>1</v>
      </c>
      <c r="G7" s="73" t="inlineStr">
        <is>
          <t>No</t>
        </is>
      </c>
      <c r="H7" s="75">
        <f>COUNTIFS($D$32:$D$127,$C7)</f>
        <v/>
      </c>
      <c r="I7" s="75">
        <f>COUNTIFS($D$32:$D$127,$C7,$C$32:$C$127,"Occ")+COUNTIFS($D$32:$D$127,$C7,$C$32:$C$127,"Admin")+COUNTIFS($D$32:$D$127,$C7,$C$32:$C$127,"Down")+COUNTIFS($D$32:$D$127,$C7,$C$32:$C$127,"Super")+COUNTIFS($D$32:$D$127,$C7,$C$32:$C$127,"Model")</f>
        <v/>
      </c>
      <c r="J7" s="75">
        <f>COUNTIFS($D$32:$D$127,$C7,$C$32:$C$127,"Vac")</f>
        <v/>
      </c>
      <c r="K7" s="75">
        <f>IFERROR(AVERAGEIFS($J$32:$J$127,$D$32:$D$127,$C7),"n/a")</f>
        <v/>
      </c>
      <c r="L7" s="75">
        <f>SUMIFS($J$32:$J$127,$D$32:$D$127,$C7)</f>
        <v/>
      </c>
      <c r="M7" s="75">
        <f>SUMIFS($J$32:$J$127,$D$32:$D$127,$C7,$C$32:$C$127,"Occ")+SUMIFS($J$32:$J$127,$D$32:$D$127,$C7,$C$32:$C$127,"Admin")+SUMIFS($J$32:$J$127,$D$32:$D$127,$C7,$C$32:$C$127,"Down")+SUMIFS($J$32:$J$127,$D$32:$D$127,$C7,$C$32:$C$127,"Super")+SUMIFS($J$32:$J$127,$D$32:$D$127,$C7,$C$32:$C$127,"Model")</f>
        <v/>
      </c>
      <c r="N7" s="75">
        <f>SUMIFS($J$32:$J$127,$D$32:$D$127,$C7,$C$32:$C$127,"Vac")</f>
        <v/>
      </c>
      <c r="O7" s="75">
        <f>SUMIFS($L$32:$L$127,$D$32:$D$127,$C7)</f>
        <v/>
      </c>
      <c r="P7" s="75">
        <f>SUMIFS($M$32:$M$127,$D$32:$D$127,$C7)</f>
        <v/>
      </c>
      <c r="Q7" s="75">
        <f>SUMIFS($R$32:$R$127,$D$32:$D$127,$C7)</f>
        <v/>
      </c>
      <c r="R7" s="75">
        <f>SUMIFS($S$32:$S$127,$D$32:$D$127,$C7)</f>
        <v/>
      </c>
      <c r="S7" s="75">
        <f>SUMIFS($T$32:$T$127,$D$32:$D$127,$C7)</f>
        <v/>
      </c>
    </row>
    <row r="8">
      <c r="C8" s="71" t="inlineStr">
        <is>
          <t>2 BD / 2 BA</t>
        </is>
      </c>
      <c r="D8" s="72" t="inlineStr">
        <is>
          <t>15SD2B2B</t>
        </is>
      </c>
      <c r="E8" s="73" t="n">
        <v>2</v>
      </c>
      <c r="F8" s="74" t="n">
        <v>2</v>
      </c>
      <c r="G8" s="73" t="inlineStr">
        <is>
          <t>No</t>
        </is>
      </c>
      <c r="H8" s="75">
        <f>COUNTIFS($D$32:$D$127,$C8)</f>
        <v/>
      </c>
      <c r="I8" s="75">
        <f>COUNTIFS($D$32:$D$127,$C8,$C$32:$C$127,"Occ")+COUNTIFS($D$32:$D$127,$C8,$C$32:$C$127,"Admin")+COUNTIFS($D$32:$D$127,$C8,$C$32:$C$127,"Down")+COUNTIFS($D$32:$D$127,$C8,$C$32:$C$127,"Super")+COUNTIFS($D$32:$D$127,$C8,$C$32:$C$127,"Model")</f>
        <v/>
      </c>
      <c r="J8" s="75">
        <f>COUNTIFS($D$32:$D$127,$C8,$C$32:$C$127,"Vac")</f>
        <v/>
      </c>
      <c r="K8" s="75">
        <f>IFERROR(AVERAGEIFS($J$32:$J$127,$D$32:$D$127,$C8),"n/a")</f>
        <v/>
      </c>
      <c r="L8" s="75">
        <f>SUMIFS($J$32:$J$127,$D$32:$D$127,$C8)</f>
        <v/>
      </c>
      <c r="M8" s="75">
        <f>SUMIFS($J$32:$J$127,$D$32:$D$127,$C8,$C$32:$C$127,"Occ")+SUMIFS($J$32:$J$127,$D$32:$D$127,$C8,$C$32:$C$127,"Admin")+SUMIFS($J$32:$J$127,$D$32:$D$127,$C8,$C$32:$C$127,"Down")+SUMIFS($J$32:$J$127,$D$32:$D$127,$C8,$C$32:$C$127,"Super")+SUMIFS($J$32:$J$127,$D$32:$D$127,$C8,$C$32:$C$127,"Model")</f>
        <v/>
      </c>
      <c r="N8" s="75">
        <f>SUMIFS($J$32:$J$127,$D$32:$D$127,$C8,$C$32:$C$127,"Vac")</f>
        <v/>
      </c>
      <c r="O8" s="75">
        <f>SUMIFS($L$32:$L$127,$D$32:$D$127,$C8)</f>
        <v/>
      </c>
      <c r="P8" s="75">
        <f>SUMIFS($M$32:$M$127,$D$32:$D$127,$C8)</f>
        <v/>
      </c>
      <c r="Q8" s="75">
        <f>SUMIFS($R$32:$R$127,$D$32:$D$127,$C8)</f>
        <v/>
      </c>
      <c r="R8" s="75">
        <f>SUMIFS($S$32:$S$127,$D$32:$D$127,$C8)</f>
        <v/>
      </c>
      <c r="S8" s="75">
        <f>SUMIFS($T$32:$T$127,$D$32:$D$127,$C8)</f>
        <v/>
      </c>
    </row>
    <row r="9">
      <c r="C9" s="71" t="inlineStr">
        <is>
          <t>2 BD / 2 BA</t>
        </is>
      </c>
      <c r="D9" s="72" t="inlineStr">
        <is>
          <t>15SD2B2D</t>
        </is>
      </c>
      <c r="E9" s="73" t="n">
        <v>2</v>
      </c>
      <c r="F9" s="74" t="n">
        <v>2</v>
      </c>
      <c r="G9" s="73" t="inlineStr">
        <is>
          <t>No</t>
        </is>
      </c>
      <c r="H9" s="75">
        <f>COUNTIFS($D$32:$D$127,$C9)</f>
        <v/>
      </c>
      <c r="I9" s="75">
        <f>COUNTIFS($D$32:$D$127,$C9,$C$32:$C$127,"Occ")+COUNTIFS($D$32:$D$127,$C9,$C$32:$C$127,"Admin")+COUNTIFS($D$32:$D$127,$C9,$C$32:$C$127,"Down")+COUNTIFS($D$32:$D$127,$C9,$C$32:$C$127,"Super")+COUNTIFS($D$32:$D$127,$C9,$C$32:$C$127,"Model")</f>
        <v/>
      </c>
      <c r="J9" s="75">
        <f>COUNTIFS($D$32:$D$127,$C9,$C$32:$C$127,"Vac")</f>
        <v/>
      </c>
      <c r="K9" s="75">
        <f>IFERROR(AVERAGEIFS($J$32:$J$127,$D$32:$D$127,$C9),"n/a")</f>
        <v/>
      </c>
      <c r="L9" s="75">
        <f>SUMIFS($J$32:$J$127,$D$32:$D$127,$C9)</f>
        <v/>
      </c>
      <c r="M9" s="75">
        <f>SUMIFS($J$32:$J$127,$D$32:$D$127,$C9,$C$32:$C$127,"Occ")+SUMIFS($J$32:$J$127,$D$32:$D$127,$C9,$C$32:$C$127,"Admin")+SUMIFS($J$32:$J$127,$D$32:$D$127,$C9,$C$32:$C$127,"Down")+SUMIFS($J$32:$J$127,$D$32:$D$127,$C9,$C$32:$C$127,"Super")+SUMIFS($J$32:$J$127,$D$32:$D$127,$C9,$C$32:$C$127,"Model")</f>
        <v/>
      </c>
      <c r="N9" s="75">
        <f>SUMIFS($J$32:$J$127,$D$32:$D$127,$C9,$C$32:$C$127,"Vac")</f>
        <v/>
      </c>
      <c r="O9" s="75">
        <f>SUMIFS($L$32:$L$127,$D$32:$D$127,$C9)</f>
        <v/>
      </c>
      <c r="P9" s="75">
        <f>SUMIFS($M$32:$M$127,$D$32:$D$127,$C9)</f>
        <v/>
      </c>
      <c r="Q9" s="75">
        <f>SUMIFS($R$32:$R$127,$D$32:$D$127,$C9)</f>
        <v/>
      </c>
      <c r="R9" s="75">
        <f>SUMIFS($S$32:$S$127,$D$32:$D$127,$C9)</f>
        <v/>
      </c>
      <c r="S9" s="75">
        <f>SUMIFS($T$32:$T$127,$D$32:$D$127,$C9)</f>
        <v/>
      </c>
    </row>
    <row r="10">
      <c r="C10" s="68" t="inlineStr">
        <is>
          <t>Totals</t>
        </is>
      </c>
      <c r="H10" s="76">
        <f>SUM(H5:H9)</f>
        <v/>
      </c>
      <c r="I10" s="76">
        <f>SUM(I5:I9)</f>
        <v/>
      </c>
      <c r="J10" s="76">
        <f>SUM(J5:J9)</f>
        <v/>
      </c>
      <c r="L10" s="76">
        <f>SUM(L5:L9)</f>
        <v/>
      </c>
      <c r="M10" s="76">
        <f>SUM(M5:M9)</f>
        <v/>
      </c>
      <c r="N10" s="76">
        <f>SUM(N5:N9)</f>
        <v/>
      </c>
      <c r="O10" s="76">
        <f>SUM(O5:O9)</f>
        <v/>
      </c>
      <c r="P10" s="76">
        <f>SUM(P5:P9)</f>
        <v/>
      </c>
      <c r="Q10" s="76">
        <f>SUM(Q5:Q9)</f>
        <v/>
      </c>
      <c r="R10" s="76">
        <f>SUM(R5:R9)</f>
        <v/>
      </c>
      <c r="S10" s="76">
        <f>SUM(S5:S9)</f>
        <v/>
      </c>
    </row>
    <row r="11">
      <c r="C11" s="68" t="inlineStr">
        <is>
          <t>%</t>
        </is>
      </c>
      <c r="I11" s="77">
        <f>I10/$H$10</f>
        <v/>
      </c>
      <c r="J11" s="77">
        <f>J10/$H$10</f>
        <v/>
      </c>
      <c r="M11" s="77">
        <f>IFERROR(M10/$L$10,"n/a")</f>
        <v/>
      </c>
      <c r="N11" s="77">
        <f>IFERROR(N10/$L$10,"n/a")</f>
        <v/>
      </c>
    </row>
    <row r="15">
      <c r="C15" s="78" t="inlineStr">
        <is>
          <t>Notes:</t>
        </is>
      </c>
    </row>
    <row r="16">
      <c r="C16" s="78" t="inlineStr">
        <is>
          <t>1. Vacant units market rent is the per-unit market/asking rent from the source.</t>
        </is>
      </c>
    </row>
    <row r="17">
      <c r="C17" s="78" t="inlineStr">
        <is>
          <t>2. BD/BA count is from the Unit Type mapping above (edit the yellow cells to adjust).</t>
        </is>
      </c>
    </row>
    <row r="22">
      <c r="C22" s="78" t="inlineStr">
        <is>
          <t>Property Name</t>
        </is>
      </c>
      <c r="D22" s="78" t="inlineStr">
        <is>
          <t>20 Grand Ave</t>
        </is>
      </c>
    </row>
    <row r="23">
      <c r="C23" s="78" t="inlineStr">
        <is>
          <t>Rent Roll Date</t>
        </is>
      </c>
      <c r="D23" s="79" t="n">
        <v>46233</v>
      </c>
    </row>
    <row r="30">
      <c r="Y30" s="67" t="inlineStr">
        <is>
          <t>Rent</t>
        </is>
      </c>
      <c r="AB30" s="67" t="inlineStr">
        <is>
          <t>Other Income</t>
        </is>
      </c>
      <c r="AI30" s="67" t="inlineStr">
        <is>
          <t>Concessions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  <c r="AB31" s="67" t="inlineStr">
        <is>
          <t>PetRent</t>
        </is>
      </c>
      <c r="AC31" s="67" t="inlineStr">
        <is>
          <t>Amenity</t>
        </is>
      </c>
      <c r="AD31" s="67" t="inlineStr">
        <is>
          <t>Trash</t>
        </is>
      </c>
      <c r="AE31" s="67" t="inlineStr">
        <is>
          <t>watsew</t>
        </is>
      </c>
      <c r="AF31" s="67" t="inlineStr">
        <is>
          <t>Parking</t>
        </is>
      </c>
      <c r="AG31" s="67" t="inlineStr">
        <is>
          <t>MTM</t>
        </is>
      </c>
      <c r="AI31" s="67" t="inlineStr">
        <is>
          <t>Concession</t>
        </is>
      </c>
    </row>
    <row r="32">
      <c r="A32" s="72">
        <f>$D$22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INDEX($C$5:$C$9,MATCH(I32,$D$5:$D$9,0))</f>
        <v/>
      </c>
      <c r="E32" s="72">
        <f>INDEX($E$5:$E$9,MATCH(D32,$C$5:$C$9,0))</f>
        <v/>
      </c>
      <c r="F32" s="72">
        <f>INDEX($F$5:$F$9,MATCH(D32,$C$5:$C$9,0))</f>
        <v/>
      </c>
      <c r="G32" s="72">
        <f>INDEX($G$5:$G$9,MATCH(D32,$C$5:$C$9,0))</f>
        <v/>
      </c>
      <c r="H32" s="72" t="inlineStr">
        <is>
          <t>201</t>
        </is>
      </c>
      <c r="I32" s="72" t="inlineStr">
        <is>
          <t>15SD1B1B</t>
        </is>
      </c>
      <c r="J32" s="80" t="n">
        <v>852</v>
      </c>
      <c r="K32" s="72" t="inlineStr">
        <is>
          <t>EUNYOUNG KIM</t>
        </is>
      </c>
      <c r="L32" s="81" t="n">
        <v>3195</v>
      </c>
      <c r="M32" s="81">
        <f>Y32</f>
        <v/>
      </c>
      <c r="N32" s="82" t="n">
        <v>45985</v>
      </c>
      <c r="O32" s="82" t="n">
        <v>45985</v>
      </c>
      <c r="P32" s="82" t="n">
        <v>46714</v>
      </c>
      <c r="R32" s="81">
        <f>SUM(AB32:AG32)</f>
        <v/>
      </c>
      <c r="S32" s="81">
        <f>AI32</f>
        <v/>
      </c>
      <c r="T32" s="81" t="n">
        <v>0</v>
      </c>
      <c r="Y32" s="81" t="n">
        <v>3195</v>
      </c>
      <c r="AC32" s="81" t="n">
        <v>75</v>
      </c>
      <c r="AD32" s="81" t="n">
        <v>21</v>
      </c>
      <c r="AE32" s="81" t="n">
        <v>45</v>
      </c>
      <c r="AF32" s="81" t="n">
        <v>95</v>
      </c>
      <c r="AI32" s="81" t="n">
        <v>-340</v>
      </c>
    </row>
    <row r="33">
      <c r="A33" s="72">
        <f>$D$22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INDEX($C$5:$C$9,MATCH(I33,$D$5:$D$9,0))</f>
        <v/>
      </c>
      <c r="E33" s="72">
        <f>INDEX($E$5:$E$9,MATCH(D33,$C$5:$C$9,0))</f>
        <v/>
      </c>
      <c r="F33" s="72">
        <f>INDEX($F$5:$F$9,MATCH(D33,$C$5:$C$9,0))</f>
        <v/>
      </c>
      <c r="G33" s="72">
        <f>INDEX($G$5:$G$9,MATCH(D33,$C$5:$C$9,0))</f>
        <v/>
      </c>
      <c r="H33" s="72" t="inlineStr">
        <is>
          <t>202</t>
        </is>
      </c>
      <c r="I33" s="72" t="inlineStr">
        <is>
          <t>15SD1B1B</t>
        </is>
      </c>
      <c r="J33" s="80" t="n">
        <v>614</v>
      </c>
      <c r="K33" s="72" t="inlineStr">
        <is>
          <t>JUAN TORRES</t>
        </is>
      </c>
      <c r="L33" s="81" t="n">
        <v>2650</v>
      </c>
      <c r="M33" s="81">
        <f>Y33</f>
        <v/>
      </c>
      <c r="N33" s="82" t="n">
        <v>45100</v>
      </c>
      <c r="O33" s="82" t="n">
        <v>45100</v>
      </c>
      <c r="P33" s="82" t="n">
        <v>46418</v>
      </c>
      <c r="R33" s="81">
        <f>SUM(AB33:AG33)</f>
        <v/>
      </c>
      <c r="S33" s="81">
        <f>AI33</f>
        <v/>
      </c>
      <c r="T33" s="81" t="n">
        <v>0</v>
      </c>
      <c r="Y33" s="81" t="n">
        <v>2730</v>
      </c>
      <c r="AD33" s="81" t="n">
        <v>21</v>
      </c>
      <c r="AE33" s="81" t="n">
        <v>45</v>
      </c>
      <c r="AF33" s="81" t="n">
        <v>95</v>
      </c>
    </row>
    <row r="34">
      <c r="A34" s="72">
        <f>$D$22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INDEX($C$5:$C$9,MATCH(I34,$D$5:$D$9,0))</f>
        <v/>
      </c>
      <c r="E34" s="72">
        <f>INDEX($E$5:$E$9,MATCH(D34,$C$5:$C$9,0))</f>
        <v/>
      </c>
      <c r="F34" s="72">
        <f>INDEX($F$5:$F$9,MATCH(D34,$C$5:$C$9,0))</f>
        <v/>
      </c>
      <c r="G34" s="72">
        <f>INDEX($G$5:$G$9,MATCH(D34,$C$5:$C$9,0))</f>
        <v/>
      </c>
      <c r="H34" s="72" t="inlineStr">
        <is>
          <t>203</t>
        </is>
      </c>
      <c r="I34" s="72" t="inlineStr">
        <is>
          <t>15SD2B2D</t>
        </is>
      </c>
      <c r="J34" s="80" t="n">
        <v>1381</v>
      </c>
      <c r="K34" s="72" t="inlineStr">
        <is>
          <t>DANIEL KLEIN</t>
        </is>
      </c>
      <c r="L34" s="81" t="n">
        <v>4595</v>
      </c>
      <c r="M34" s="81">
        <f>Y34</f>
        <v/>
      </c>
      <c r="N34" s="82" t="n">
        <v>46038</v>
      </c>
      <c r="O34" s="82" t="n">
        <v>46038</v>
      </c>
      <c r="P34" s="82" t="n">
        <v>46446</v>
      </c>
      <c r="R34" s="81">
        <f>SUM(AB34:AG34)</f>
        <v/>
      </c>
      <c r="S34" s="81">
        <f>AI34</f>
        <v/>
      </c>
      <c r="T34" s="81" t="n">
        <v>0</v>
      </c>
      <c r="Y34" s="81" t="n">
        <v>4595</v>
      </c>
      <c r="AD34" s="81" t="n">
        <v>21</v>
      </c>
      <c r="AE34" s="81" t="n">
        <v>45</v>
      </c>
      <c r="AF34" s="81" t="n">
        <v>190</v>
      </c>
    </row>
    <row r="35">
      <c r="A35" s="72">
        <f>$D$22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INDEX($C$5:$C$9,MATCH(I35,$D$5:$D$9,0))</f>
        <v/>
      </c>
      <c r="E35" s="72">
        <f>INDEX($E$5:$E$9,MATCH(D35,$C$5:$C$9,0))</f>
        <v/>
      </c>
      <c r="F35" s="72">
        <f>INDEX($F$5:$F$9,MATCH(D35,$C$5:$C$9,0))</f>
        <v/>
      </c>
      <c r="G35" s="72">
        <f>INDEX($G$5:$G$9,MATCH(D35,$C$5:$C$9,0))</f>
        <v/>
      </c>
      <c r="H35" s="72" t="inlineStr">
        <is>
          <t>204</t>
        </is>
      </c>
      <c r="I35" s="72" t="inlineStr">
        <is>
          <t>15SDStu</t>
        </is>
      </c>
      <c r="J35" s="80" t="n">
        <v>531</v>
      </c>
      <c r="K35" s="72" t="inlineStr">
        <is>
          <t>EDNA BLABER</t>
        </is>
      </c>
      <c r="L35" s="81" t="n">
        <v>2645</v>
      </c>
      <c r="M35" s="81">
        <f>Y35</f>
        <v/>
      </c>
      <c r="N35" s="82" t="n">
        <v>46153</v>
      </c>
      <c r="O35" s="82" t="n">
        <v>46153</v>
      </c>
      <c r="P35" s="82" t="n">
        <v>46538</v>
      </c>
      <c r="R35" s="81">
        <f>SUM(AB35:AG35)</f>
        <v/>
      </c>
      <c r="S35" s="81">
        <f>AI35</f>
        <v/>
      </c>
      <c r="T35" s="81" t="n">
        <v>0</v>
      </c>
      <c r="Y35" s="81" t="n">
        <v>2795</v>
      </c>
      <c r="AC35" s="81" t="n">
        <v>75</v>
      </c>
      <c r="AD35" s="81" t="n">
        <v>21</v>
      </c>
      <c r="AE35" s="81" t="n">
        <v>45</v>
      </c>
    </row>
    <row r="36">
      <c r="A36" s="72">
        <f>$D$22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INDEX($C$5:$C$9,MATCH(I36,$D$5:$D$9,0))</f>
        <v/>
      </c>
      <c r="E36" s="72">
        <f>INDEX($E$5:$E$9,MATCH(D36,$C$5:$C$9,0))</f>
        <v/>
      </c>
      <c r="F36" s="72">
        <f>INDEX($F$5:$F$9,MATCH(D36,$C$5:$C$9,0))</f>
        <v/>
      </c>
      <c r="G36" s="72">
        <f>INDEX($G$5:$G$9,MATCH(D36,$C$5:$C$9,0))</f>
        <v/>
      </c>
      <c r="H36" s="72" t="inlineStr">
        <is>
          <t>205</t>
        </is>
      </c>
      <c r="I36" s="72" t="inlineStr">
        <is>
          <t>15SD1B1D</t>
        </is>
      </c>
      <c r="J36" s="80" t="n">
        <v>793</v>
      </c>
      <c r="K36" s="72" t="inlineStr">
        <is>
          <t>JUSTIN BELL</t>
        </is>
      </c>
      <c r="L36" s="81" t="n">
        <v>3150</v>
      </c>
      <c r="M36" s="81">
        <f>Y36</f>
        <v/>
      </c>
      <c r="N36" s="82" t="n">
        <v>46204</v>
      </c>
      <c r="O36" s="82" t="n">
        <v>46204</v>
      </c>
      <c r="P36" s="82" t="n">
        <v>46996</v>
      </c>
      <c r="R36" s="81">
        <f>SUM(AB36:AG36)</f>
        <v/>
      </c>
      <c r="S36" s="81">
        <f>AI36</f>
        <v/>
      </c>
      <c r="T36" s="81" t="n">
        <v>0</v>
      </c>
      <c r="Y36" s="81" t="n">
        <v>3200</v>
      </c>
      <c r="AC36" s="81" t="n">
        <v>75</v>
      </c>
      <c r="AD36" s="81" t="n">
        <v>21</v>
      </c>
      <c r="AE36" s="81" t="n">
        <v>45</v>
      </c>
      <c r="AF36" s="81" t="n">
        <v>95</v>
      </c>
      <c r="AI36" s="81" t="n">
        <v>-75</v>
      </c>
    </row>
    <row r="37">
      <c r="A37" s="72">
        <f>$D$22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INDEX($C$5:$C$9,MATCH(I37,$D$5:$D$9,0))</f>
        <v/>
      </c>
      <c r="E37" s="72">
        <f>INDEX($E$5:$E$9,MATCH(D37,$C$5:$C$9,0))</f>
        <v/>
      </c>
      <c r="F37" s="72">
        <f>INDEX($F$5:$F$9,MATCH(D37,$C$5:$C$9,0))</f>
        <v/>
      </c>
      <c r="G37" s="72">
        <f>INDEX($G$5:$G$9,MATCH(D37,$C$5:$C$9,0))</f>
        <v/>
      </c>
      <c r="H37" s="72" t="inlineStr">
        <is>
          <t>206</t>
        </is>
      </c>
      <c r="I37" s="72" t="inlineStr">
        <is>
          <t>15SD1B1D</t>
        </is>
      </c>
      <c r="J37" s="80" t="n">
        <v>777</v>
      </c>
      <c r="K37" s="72" t="inlineStr">
        <is>
          <t>MICHAEL POKO</t>
        </is>
      </c>
      <c r="L37" s="81" t="n">
        <v>3150</v>
      </c>
      <c r="M37" s="81">
        <f>Y37</f>
        <v/>
      </c>
      <c r="N37" s="82" t="n">
        <v>46179</v>
      </c>
      <c r="O37" s="82" t="n">
        <v>46179</v>
      </c>
      <c r="P37" s="82" t="n">
        <v>46568</v>
      </c>
      <c r="R37" s="81">
        <f>SUM(AB37:AG37)</f>
        <v/>
      </c>
      <c r="S37" s="81">
        <f>AI37</f>
        <v/>
      </c>
      <c r="T37" s="81" t="n">
        <v>0</v>
      </c>
      <c r="Y37" s="81" t="n">
        <v>3120</v>
      </c>
      <c r="AC37" s="81" t="n">
        <v>75</v>
      </c>
      <c r="AD37" s="81" t="n">
        <v>21</v>
      </c>
      <c r="AE37" s="81" t="n">
        <v>45</v>
      </c>
      <c r="AI37" s="81" t="n">
        <v>-75</v>
      </c>
    </row>
    <row r="38">
      <c r="A38" s="72">
        <f>$D$22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INDEX($C$5:$C$9,MATCH(I38,$D$5:$D$9,0))</f>
        <v/>
      </c>
      <c r="E38" s="72">
        <f>INDEX($E$5:$E$9,MATCH(D38,$C$5:$C$9,0))</f>
        <v/>
      </c>
      <c r="F38" s="72">
        <f>INDEX($F$5:$F$9,MATCH(D38,$C$5:$C$9,0))</f>
        <v/>
      </c>
      <c r="G38" s="72">
        <f>INDEX($G$5:$G$9,MATCH(D38,$C$5:$C$9,0))</f>
        <v/>
      </c>
      <c r="H38" s="72" t="inlineStr">
        <is>
          <t>207</t>
        </is>
      </c>
      <c r="I38" s="72" t="inlineStr">
        <is>
          <t>15SD1B1D</t>
        </is>
      </c>
      <c r="J38" s="80" t="n">
        <v>775</v>
      </c>
      <c r="K38" s="72" t="inlineStr">
        <is>
          <t>ROBIN KEARSE</t>
        </is>
      </c>
      <c r="L38" s="81" t="n">
        <v>3150</v>
      </c>
      <c r="M38" s="81">
        <f>Y38</f>
        <v/>
      </c>
      <c r="N38" s="82" t="n">
        <v>45139</v>
      </c>
      <c r="O38" s="82" t="n">
        <v>45139</v>
      </c>
      <c r="P38" s="82" t="n">
        <v>46265</v>
      </c>
      <c r="R38" s="81">
        <f>SUM(AB38:AG38)</f>
        <v/>
      </c>
      <c r="S38" s="81">
        <f>AI38</f>
        <v/>
      </c>
      <c r="T38" s="81" t="n">
        <v>0</v>
      </c>
      <c r="Y38" s="81" t="n">
        <v>3245</v>
      </c>
      <c r="AD38" s="81" t="n">
        <v>21</v>
      </c>
      <c r="AE38" s="81" t="n">
        <v>45</v>
      </c>
      <c r="AF38" s="81" t="n">
        <v>95</v>
      </c>
    </row>
    <row r="39">
      <c r="A39" s="72">
        <f>$D$22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INDEX($C$5:$C$9,MATCH(I39,$D$5:$D$9,0))</f>
        <v/>
      </c>
      <c r="E39" s="72">
        <f>INDEX($E$5:$E$9,MATCH(D39,$C$5:$C$9,0))</f>
        <v/>
      </c>
      <c r="F39" s="72">
        <f>INDEX($F$5:$F$9,MATCH(D39,$C$5:$C$9,0))</f>
        <v/>
      </c>
      <c r="G39" s="72">
        <f>INDEX($G$5:$G$9,MATCH(D39,$C$5:$C$9,0))</f>
        <v/>
      </c>
      <c r="H39" s="72" t="inlineStr">
        <is>
          <t>208</t>
        </is>
      </c>
      <c r="I39" s="72" t="inlineStr">
        <is>
          <t>15SD1B1D</t>
        </is>
      </c>
      <c r="J39" s="80" t="n">
        <v>777</v>
      </c>
      <c r="K39" s="72" t="inlineStr">
        <is>
          <t>JOSAIAH FERNANDES</t>
        </is>
      </c>
      <c r="L39" s="81" t="n">
        <v>3150</v>
      </c>
      <c r="M39" s="81">
        <f>Y39</f>
        <v/>
      </c>
      <c r="N39" s="82" t="n">
        <v>45839</v>
      </c>
      <c r="O39" s="82" t="n">
        <v>45839</v>
      </c>
      <c r="P39" s="82" t="n">
        <v>46934</v>
      </c>
      <c r="R39" s="81">
        <f>SUM(AB39:AG39)</f>
        <v/>
      </c>
      <c r="S39" s="81">
        <f>AI39</f>
        <v/>
      </c>
      <c r="T39" s="81" t="n">
        <v>0</v>
      </c>
      <c r="Y39" s="81" t="n">
        <v>3217.55</v>
      </c>
      <c r="AC39" s="81" t="n">
        <v>295</v>
      </c>
      <c r="AD39" s="81" t="n">
        <v>21</v>
      </c>
      <c r="AE39" s="81" t="n">
        <v>45</v>
      </c>
    </row>
    <row r="40">
      <c r="A40" s="72">
        <f>$D$22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INDEX($C$5:$C$9,MATCH(I40,$D$5:$D$9,0))</f>
        <v/>
      </c>
      <c r="E40" s="72">
        <f>INDEX($E$5:$E$9,MATCH(D40,$C$5:$C$9,0))</f>
        <v/>
      </c>
      <c r="F40" s="72">
        <f>INDEX($F$5:$F$9,MATCH(D40,$C$5:$C$9,0))</f>
        <v/>
      </c>
      <c r="G40" s="72">
        <f>INDEX($G$5:$G$9,MATCH(D40,$C$5:$C$9,0))</f>
        <v/>
      </c>
      <c r="H40" s="72" t="inlineStr">
        <is>
          <t>209</t>
        </is>
      </c>
      <c r="I40" s="72" t="inlineStr">
        <is>
          <t>15SD1B1D</t>
        </is>
      </c>
      <c r="J40" s="80" t="n">
        <v>776</v>
      </c>
      <c r="K40" s="72" t="inlineStr">
        <is>
          <t>JILL BIER</t>
        </is>
      </c>
      <c r="L40" s="81" t="n">
        <v>3175</v>
      </c>
      <c r="M40" s="81">
        <f>Y40</f>
        <v/>
      </c>
      <c r="N40" s="82" t="n">
        <v>46011</v>
      </c>
      <c r="O40" s="82" t="n">
        <v>46011</v>
      </c>
      <c r="P40" s="82" t="n">
        <v>46375</v>
      </c>
      <c r="R40" s="81">
        <f>SUM(AB40:AG40)</f>
        <v/>
      </c>
      <c r="S40" s="81">
        <f>AI40</f>
        <v/>
      </c>
      <c r="T40" s="81" t="n">
        <v>0</v>
      </c>
      <c r="Y40" s="81" t="n">
        <v>3175</v>
      </c>
      <c r="AC40" s="81" t="n">
        <v>75</v>
      </c>
      <c r="AD40" s="81" t="n">
        <v>21</v>
      </c>
      <c r="AE40" s="81" t="n">
        <v>45</v>
      </c>
      <c r="AF40" s="81" t="n">
        <v>95</v>
      </c>
    </row>
    <row r="41">
      <c r="A41" s="72">
        <f>$D$22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INDEX($C$5:$C$9,MATCH(I41,$D$5:$D$9,0))</f>
        <v/>
      </c>
      <c r="E41" s="72">
        <f>INDEX($E$5:$E$9,MATCH(D41,$C$5:$C$9,0))</f>
        <v/>
      </c>
      <c r="F41" s="72">
        <f>INDEX($F$5:$F$9,MATCH(D41,$C$5:$C$9,0))</f>
        <v/>
      </c>
      <c r="G41" s="72">
        <f>INDEX($G$5:$G$9,MATCH(D41,$C$5:$C$9,0))</f>
        <v/>
      </c>
      <c r="H41" s="72" t="inlineStr">
        <is>
          <t>210</t>
        </is>
      </c>
      <c r="I41" s="72" t="inlineStr">
        <is>
          <t>15SD1B1D</t>
        </is>
      </c>
      <c r="J41" s="80" t="n">
        <v>807</v>
      </c>
      <c r="K41" s="72" t="inlineStr">
        <is>
          <t>JASMIN ARVELO</t>
        </is>
      </c>
      <c r="L41" s="81" t="n">
        <v>3125</v>
      </c>
      <c r="M41" s="81">
        <f>Y41</f>
        <v/>
      </c>
      <c r="N41" s="82" t="n">
        <v>45650</v>
      </c>
      <c r="O41" s="82" t="n">
        <v>45650</v>
      </c>
      <c r="P41" s="82" t="n">
        <v>46418</v>
      </c>
      <c r="R41" s="81">
        <f>SUM(AB41:AG41)</f>
        <v/>
      </c>
      <c r="S41" s="81">
        <f>AI41</f>
        <v/>
      </c>
      <c r="T41" s="81" t="n">
        <v>0</v>
      </c>
      <c r="Y41" s="81" t="n">
        <v>3195</v>
      </c>
      <c r="AD41" s="81" t="n">
        <v>21</v>
      </c>
      <c r="AE41" s="81" t="n">
        <v>45</v>
      </c>
      <c r="AF41" s="81" t="n">
        <v>95</v>
      </c>
      <c r="AI41" s="81" t="n">
        <v>-133.13</v>
      </c>
    </row>
    <row r="42">
      <c r="A42" s="72">
        <f>$D$22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INDEX($C$5:$C$9,MATCH(I42,$D$5:$D$9,0))</f>
        <v/>
      </c>
      <c r="E42" s="72">
        <f>INDEX($E$5:$E$9,MATCH(D42,$C$5:$C$9,0))</f>
        <v/>
      </c>
      <c r="F42" s="72">
        <f>INDEX($F$5:$F$9,MATCH(D42,$C$5:$C$9,0))</f>
        <v/>
      </c>
      <c r="G42" s="72">
        <f>INDEX($G$5:$G$9,MATCH(D42,$C$5:$C$9,0))</f>
        <v/>
      </c>
      <c r="H42" s="72" t="inlineStr">
        <is>
          <t>211</t>
        </is>
      </c>
      <c r="I42" s="72" t="inlineStr">
        <is>
          <t>15SD2B2B</t>
        </is>
      </c>
      <c r="J42" s="80" t="n">
        <v>1061</v>
      </c>
      <c r="K42" s="72" t="inlineStr">
        <is>
          <t>MICHAEL YENKO</t>
        </is>
      </c>
      <c r="L42" s="81" t="n">
        <v>3795</v>
      </c>
      <c r="M42" s="81">
        <f>Y42</f>
        <v/>
      </c>
      <c r="N42" s="82" t="n">
        <v>45474</v>
      </c>
      <c r="O42" s="82" t="n">
        <v>45474</v>
      </c>
      <c r="P42" s="82" t="n">
        <v>46234</v>
      </c>
      <c r="Q42" s="82" t="n">
        <v>46234</v>
      </c>
      <c r="R42" s="81">
        <f>SUM(AB42:AG42)</f>
        <v/>
      </c>
      <c r="S42" s="81">
        <f>AI42</f>
        <v/>
      </c>
      <c r="T42" s="81" t="n">
        <v>0</v>
      </c>
      <c r="Y42" s="81" t="n">
        <v>3395</v>
      </c>
      <c r="AD42" s="81" t="n">
        <v>21</v>
      </c>
      <c r="AE42" s="81" t="n">
        <v>45</v>
      </c>
      <c r="AF42" s="81" t="n">
        <v>95</v>
      </c>
    </row>
    <row r="43">
      <c r="A43" s="72">
        <f>$D$22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INDEX($C$5:$C$9,MATCH(I43,$D$5:$D$9,0))</f>
        <v/>
      </c>
      <c r="E43" s="72">
        <f>INDEX($E$5:$E$9,MATCH(D43,$C$5:$C$9,0))</f>
        <v/>
      </c>
      <c r="F43" s="72">
        <f>INDEX($F$5:$F$9,MATCH(D43,$C$5:$C$9,0))</f>
        <v/>
      </c>
      <c r="G43" s="72">
        <f>INDEX($G$5:$G$9,MATCH(D43,$C$5:$C$9,0))</f>
        <v/>
      </c>
      <c r="H43" s="72" t="inlineStr">
        <is>
          <t>212</t>
        </is>
      </c>
      <c r="I43" s="72" t="inlineStr">
        <is>
          <t>15SD1B1D</t>
        </is>
      </c>
      <c r="J43" s="80" t="n">
        <v>817</v>
      </c>
      <c r="K43" s="72" t="inlineStr">
        <is>
          <t>MARISA GORE</t>
        </is>
      </c>
      <c r="L43" s="81" t="n">
        <v>3150</v>
      </c>
      <c r="M43" s="81">
        <f>Y43</f>
        <v/>
      </c>
      <c r="N43" s="82" t="n">
        <v>45139</v>
      </c>
      <c r="O43" s="82" t="n">
        <v>45139</v>
      </c>
      <c r="P43" s="82" t="n">
        <v>46265</v>
      </c>
      <c r="R43" s="81">
        <f>SUM(AB43:AG43)</f>
        <v/>
      </c>
      <c r="S43" s="81">
        <f>AI43</f>
        <v/>
      </c>
      <c r="T43" s="81" t="n">
        <v>0</v>
      </c>
      <c r="Y43" s="81" t="n">
        <v>2995</v>
      </c>
      <c r="AD43" s="81" t="n">
        <v>21</v>
      </c>
      <c r="AE43" s="81" t="n">
        <v>45</v>
      </c>
      <c r="AF43" s="81" t="n">
        <v>95</v>
      </c>
    </row>
    <row r="44">
      <c r="A44" s="72">
        <f>$D$22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INDEX($C$5:$C$9,MATCH(I44,$D$5:$D$9,0))</f>
        <v/>
      </c>
      <c r="E44" s="72">
        <f>INDEX($E$5:$E$9,MATCH(D44,$C$5:$C$9,0))</f>
        <v/>
      </c>
      <c r="F44" s="72">
        <f>INDEX($F$5:$F$9,MATCH(D44,$C$5:$C$9,0))</f>
        <v/>
      </c>
      <c r="G44" s="72">
        <f>INDEX($G$5:$G$9,MATCH(D44,$C$5:$C$9,0))</f>
        <v/>
      </c>
      <c r="H44" s="72" t="inlineStr">
        <is>
          <t>213</t>
        </is>
      </c>
      <c r="I44" s="72" t="inlineStr">
        <is>
          <t>15SD1B1D</t>
        </is>
      </c>
      <c r="J44" s="80" t="n">
        <v>789</v>
      </c>
      <c r="K44" s="72" t="inlineStr">
        <is>
          <t>GEORGE STULTZ</t>
        </is>
      </c>
      <c r="L44" s="81" t="n">
        <v>2995</v>
      </c>
      <c r="M44" s="81">
        <f>Y44</f>
        <v/>
      </c>
      <c r="N44" s="82" t="n">
        <v>46096</v>
      </c>
      <c r="O44" s="82" t="n">
        <v>46096</v>
      </c>
      <c r="P44" s="82" t="n">
        <v>46904</v>
      </c>
      <c r="R44" s="81">
        <f>SUM(AB44:AG44)</f>
        <v/>
      </c>
      <c r="S44" s="81">
        <f>AI44</f>
        <v/>
      </c>
      <c r="T44" s="81" t="n">
        <v>0</v>
      </c>
      <c r="Y44" s="81" t="n">
        <v>3180</v>
      </c>
      <c r="AC44" s="81" t="n">
        <v>75</v>
      </c>
      <c r="AD44" s="81" t="n">
        <v>21</v>
      </c>
      <c r="AE44" s="81" t="n">
        <v>45</v>
      </c>
      <c r="AF44" s="81" t="n">
        <v>95</v>
      </c>
    </row>
    <row r="45">
      <c r="A45" s="83">
        <f>$D$22</f>
        <v/>
      </c>
      <c r="B45" s="83">
        <f>B44+1</f>
        <v/>
      </c>
      <c r="C45" s="83">
        <f>IF(K45="Vacant","Vac",IF(K45="Model","Model",IF(K45="Admin","Admin",IF(K45="Down","Down",IF(K45="Super","Super","Occ")))))</f>
        <v/>
      </c>
      <c r="D45" s="83">
        <f>INDEX($C$5:$C$9,MATCH(I45,$D$5:$D$9,0))</f>
        <v/>
      </c>
      <c r="E45" s="83">
        <f>INDEX($E$5:$E$9,MATCH(D45,$C$5:$C$9,0))</f>
        <v/>
      </c>
      <c r="F45" s="83">
        <f>INDEX($F$5:$F$9,MATCH(D45,$C$5:$C$9,0))</f>
        <v/>
      </c>
      <c r="G45" s="83">
        <f>INDEX($G$5:$G$9,MATCH(D45,$C$5:$C$9,0))</f>
        <v/>
      </c>
      <c r="H45" s="83" t="inlineStr">
        <is>
          <t>214</t>
        </is>
      </c>
      <c r="I45" s="83" t="inlineStr">
        <is>
          <t>15SD1B1D</t>
        </is>
      </c>
      <c r="J45" s="84" t="n">
        <v>777</v>
      </c>
      <c r="K45" s="83" t="inlineStr">
        <is>
          <t>Vacant</t>
        </is>
      </c>
      <c r="L45" s="85" t="n">
        <v>3200</v>
      </c>
      <c r="M45" s="85">
        <f>Y45</f>
        <v/>
      </c>
      <c r="N45" s="86" t="n"/>
      <c r="O45" s="86" t="n"/>
      <c r="P45" s="86" t="n"/>
      <c r="Q45" s="86" t="n"/>
      <c r="R45" s="85">
        <f>SUM(AB45:AG45)</f>
        <v/>
      </c>
      <c r="S45" s="85">
        <f>AI45</f>
        <v/>
      </c>
      <c r="T45" s="85" t="n">
        <v>0</v>
      </c>
      <c r="U45" s="86" t="n"/>
      <c r="V45" s="86" t="n"/>
      <c r="W45" s="86" t="n"/>
      <c r="X45" s="86" t="n"/>
      <c r="Y45" s="85" t="n">
        <v>0</v>
      </c>
      <c r="Z45" s="86" t="n"/>
      <c r="AA45" s="86" t="n"/>
      <c r="AB45" s="86" t="n"/>
      <c r="AC45" s="86" t="n"/>
      <c r="AD45" s="86" t="n"/>
      <c r="AE45" s="86" t="n"/>
      <c r="AF45" s="86" t="n"/>
      <c r="AG45" s="86" t="n"/>
      <c r="AH45" s="86" t="n"/>
      <c r="AI45" s="86" t="n"/>
    </row>
    <row r="46">
      <c r="A46" s="72">
        <f>$D$22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INDEX($C$5:$C$9,MATCH(I46,$D$5:$D$9,0))</f>
        <v/>
      </c>
      <c r="E46" s="72">
        <f>INDEX($E$5:$E$9,MATCH(D46,$C$5:$C$9,0))</f>
        <v/>
      </c>
      <c r="F46" s="72">
        <f>INDEX($F$5:$F$9,MATCH(D46,$C$5:$C$9,0))</f>
        <v/>
      </c>
      <c r="G46" s="72">
        <f>INDEX($G$5:$G$9,MATCH(D46,$C$5:$C$9,0))</f>
        <v/>
      </c>
      <c r="H46" s="72" t="inlineStr">
        <is>
          <t>215</t>
        </is>
      </c>
      <c r="I46" s="72" t="inlineStr">
        <is>
          <t>15SD1B1D</t>
        </is>
      </c>
      <c r="J46" s="80" t="n">
        <v>785</v>
      </c>
      <c r="K46" s="72" t="inlineStr">
        <is>
          <t>MATTHEW KLUFT</t>
        </is>
      </c>
      <c r="L46" s="81" t="n">
        <v>2995</v>
      </c>
      <c r="M46" s="81">
        <f>Y46</f>
        <v/>
      </c>
      <c r="N46" s="82" t="n">
        <v>45809</v>
      </c>
      <c r="O46" s="82" t="n">
        <v>45809</v>
      </c>
      <c r="P46" s="82" t="n">
        <v>46568</v>
      </c>
      <c r="R46" s="81">
        <f>SUM(AB46:AG46)</f>
        <v/>
      </c>
      <c r="S46" s="81">
        <f>AI46</f>
        <v/>
      </c>
      <c r="T46" s="81" t="n">
        <v>0</v>
      </c>
      <c r="Y46" s="81" t="n">
        <v>3255</v>
      </c>
      <c r="AC46" s="81" t="n">
        <v>295</v>
      </c>
      <c r="AD46" s="81" t="n">
        <v>21</v>
      </c>
      <c r="AE46" s="81" t="n">
        <v>45</v>
      </c>
      <c r="AF46" s="81" t="n">
        <v>95</v>
      </c>
    </row>
    <row r="47">
      <c r="A47" s="72">
        <f>$D$22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INDEX($C$5:$C$9,MATCH(I47,$D$5:$D$9,0))</f>
        <v/>
      </c>
      <c r="E47" s="72">
        <f>INDEX($E$5:$E$9,MATCH(D47,$C$5:$C$9,0))</f>
        <v/>
      </c>
      <c r="F47" s="72">
        <f>INDEX($F$5:$F$9,MATCH(D47,$C$5:$C$9,0))</f>
        <v/>
      </c>
      <c r="G47" s="72">
        <f>INDEX($G$5:$G$9,MATCH(D47,$C$5:$C$9,0))</f>
        <v/>
      </c>
      <c r="H47" s="72" t="inlineStr">
        <is>
          <t>216</t>
        </is>
      </c>
      <c r="I47" s="72" t="inlineStr">
        <is>
          <t>15SD2B2B</t>
        </is>
      </c>
      <c r="J47" s="80" t="n">
        <v>1269</v>
      </c>
      <c r="K47" s="72" t="inlineStr">
        <is>
          <t>JESUS RUIZ MATA</t>
        </is>
      </c>
      <c r="L47" s="81" t="n">
        <v>4195</v>
      </c>
      <c r="M47" s="81">
        <f>Y47</f>
        <v/>
      </c>
      <c r="N47" s="82" t="n">
        <v>46088</v>
      </c>
      <c r="O47" s="82" t="n">
        <v>46088</v>
      </c>
      <c r="P47" s="82" t="n">
        <v>46477</v>
      </c>
      <c r="R47" s="81">
        <f>SUM(AB47:AG47)</f>
        <v/>
      </c>
      <c r="S47" s="81">
        <f>AI47</f>
        <v/>
      </c>
      <c r="T47" s="81" t="n">
        <v>0</v>
      </c>
      <c r="Y47" s="81" t="n">
        <v>4195</v>
      </c>
      <c r="AD47" s="81" t="n">
        <v>21</v>
      </c>
      <c r="AE47" s="81" t="n">
        <v>45</v>
      </c>
      <c r="AF47" s="81" t="n">
        <v>95</v>
      </c>
      <c r="AI47" s="81" t="n">
        <v>-95</v>
      </c>
    </row>
    <row r="48">
      <c r="A48" s="72">
        <f>$D$22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INDEX($C$5:$C$9,MATCH(I48,$D$5:$D$9,0))</f>
        <v/>
      </c>
      <c r="E48" s="72">
        <f>INDEX($E$5:$E$9,MATCH(D48,$C$5:$C$9,0))</f>
        <v/>
      </c>
      <c r="F48" s="72">
        <f>INDEX($F$5:$F$9,MATCH(D48,$C$5:$C$9,0))</f>
        <v/>
      </c>
      <c r="G48" s="72">
        <f>INDEX($G$5:$G$9,MATCH(D48,$C$5:$C$9,0))</f>
        <v/>
      </c>
      <c r="H48" s="72" t="inlineStr">
        <is>
          <t>217</t>
        </is>
      </c>
      <c r="I48" s="72" t="inlineStr">
        <is>
          <t>15SD2B2B</t>
        </is>
      </c>
      <c r="J48" s="80" t="n">
        <v>1058</v>
      </c>
      <c r="K48" s="72" t="inlineStr">
        <is>
          <t>JOSHUA SCHNEIDER</t>
        </is>
      </c>
      <c r="L48" s="81" t="n">
        <v>3795</v>
      </c>
      <c r="M48" s="81">
        <f>Y48</f>
        <v/>
      </c>
      <c r="N48" s="82" t="n">
        <v>45000</v>
      </c>
      <c r="O48" s="82" t="n">
        <v>45000</v>
      </c>
      <c r="P48" s="82" t="n">
        <v>46234</v>
      </c>
      <c r="R48" s="81">
        <f>SUM(AB48:AG48)</f>
        <v/>
      </c>
      <c r="S48" s="81">
        <f>AI48</f>
        <v/>
      </c>
      <c r="T48" s="81" t="n">
        <v>0</v>
      </c>
      <c r="Y48" s="81" t="n">
        <v>3270.25</v>
      </c>
      <c r="AB48" s="81" t="n">
        <v>50</v>
      </c>
      <c r="AD48" s="81" t="n">
        <v>21</v>
      </c>
      <c r="AE48" s="81" t="n">
        <v>45</v>
      </c>
      <c r="AF48" s="81" t="n">
        <v>190</v>
      </c>
    </row>
    <row r="49">
      <c r="A49" s="72">
        <f>$D$22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INDEX($C$5:$C$9,MATCH(I49,$D$5:$D$9,0))</f>
        <v/>
      </c>
      <c r="E49" s="72">
        <f>INDEX($E$5:$E$9,MATCH(D49,$C$5:$C$9,0))</f>
        <v/>
      </c>
      <c r="F49" s="72">
        <f>INDEX($F$5:$F$9,MATCH(D49,$C$5:$C$9,0))</f>
        <v/>
      </c>
      <c r="G49" s="72">
        <f>INDEX($G$5:$G$9,MATCH(D49,$C$5:$C$9,0))</f>
        <v/>
      </c>
      <c r="H49" s="72" t="inlineStr">
        <is>
          <t>218</t>
        </is>
      </c>
      <c r="I49" s="72" t="inlineStr">
        <is>
          <t>15SD2B2B</t>
        </is>
      </c>
      <c r="J49" s="80" t="n">
        <v>1189</v>
      </c>
      <c r="K49" s="72" t="inlineStr">
        <is>
          <t>DANIEL GOLDBERG</t>
        </is>
      </c>
      <c r="L49" s="81" t="n">
        <v>4095</v>
      </c>
      <c r="M49" s="81">
        <f>Y49</f>
        <v/>
      </c>
      <c r="N49" s="82" t="n">
        <v>45444</v>
      </c>
      <c r="O49" s="82" t="n">
        <v>45444</v>
      </c>
      <c r="P49" s="82" t="n">
        <v>46356</v>
      </c>
      <c r="R49" s="81">
        <f>SUM(AB49:AG49)</f>
        <v/>
      </c>
      <c r="S49" s="81">
        <f>AI49</f>
        <v/>
      </c>
      <c r="T49" s="81" t="n">
        <v>0</v>
      </c>
      <c r="Y49" s="81" t="n">
        <v>3995</v>
      </c>
      <c r="AD49" s="81" t="n">
        <v>21</v>
      </c>
      <c r="AE49" s="81" t="n">
        <v>45</v>
      </c>
      <c r="AF49" s="81" t="n">
        <v>160</v>
      </c>
      <c r="AI49" s="81" t="n">
        <v>-100</v>
      </c>
    </row>
    <row r="50">
      <c r="A50" s="72">
        <f>$D$22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INDEX($C$5:$C$9,MATCH(I50,$D$5:$D$9,0))</f>
        <v/>
      </c>
      <c r="E50" s="72">
        <f>INDEX($E$5:$E$9,MATCH(D50,$C$5:$C$9,0))</f>
        <v/>
      </c>
      <c r="F50" s="72">
        <f>INDEX($F$5:$F$9,MATCH(D50,$C$5:$C$9,0))</f>
        <v/>
      </c>
      <c r="G50" s="72">
        <f>INDEX($G$5:$G$9,MATCH(D50,$C$5:$C$9,0))</f>
        <v/>
      </c>
      <c r="H50" s="72" t="inlineStr">
        <is>
          <t>219</t>
        </is>
      </c>
      <c r="I50" s="72" t="inlineStr">
        <is>
          <t>15SD2B2B</t>
        </is>
      </c>
      <c r="J50" s="80" t="n">
        <v>911</v>
      </c>
      <c r="K50" s="72" t="inlineStr">
        <is>
          <t>SHARON BEN DANIEL</t>
        </is>
      </c>
      <c r="L50" s="81" t="n">
        <v>3595</v>
      </c>
      <c r="M50" s="81">
        <f>Y50</f>
        <v/>
      </c>
      <c r="N50" s="82" t="n">
        <v>45992</v>
      </c>
      <c r="O50" s="82" t="n">
        <v>45992</v>
      </c>
      <c r="P50" s="82" t="n">
        <v>46599</v>
      </c>
      <c r="R50" s="81">
        <f>SUM(AB50:AG50)</f>
        <v/>
      </c>
      <c r="S50" s="81">
        <f>AI50</f>
        <v/>
      </c>
      <c r="T50" s="81" t="n">
        <v>0</v>
      </c>
      <c r="Y50" s="81" t="n">
        <v>3595</v>
      </c>
      <c r="AC50" s="81" t="n">
        <v>75</v>
      </c>
      <c r="AD50" s="81" t="n">
        <v>21</v>
      </c>
      <c r="AE50" s="81" t="n">
        <v>45</v>
      </c>
      <c r="AF50" s="81" t="n">
        <v>95</v>
      </c>
    </row>
    <row r="51">
      <c r="A51" s="72">
        <f>$D$22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INDEX($C$5:$C$9,MATCH(I51,$D$5:$D$9,0))</f>
        <v/>
      </c>
      <c r="E51" s="72">
        <f>INDEX($E$5:$E$9,MATCH(D51,$C$5:$C$9,0))</f>
        <v/>
      </c>
      <c r="F51" s="72">
        <f>INDEX($F$5:$F$9,MATCH(D51,$C$5:$C$9,0))</f>
        <v/>
      </c>
      <c r="G51" s="72">
        <f>INDEX($G$5:$G$9,MATCH(D51,$C$5:$C$9,0))</f>
        <v/>
      </c>
      <c r="H51" s="72" t="inlineStr">
        <is>
          <t>301</t>
        </is>
      </c>
      <c r="I51" s="72" t="inlineStr">
        <is>
          <t>15SD1B1B</t>
        </is>
      </c>
      <c r="J51" s="80" t="n">
        <v>702</v>
      </c>
      <c r="K51" s="72" t="inlineStr">
        <is>
          <t>IRENE ROMAKER</t>
        </is>
      </c>
      <c r="L51" s="81" t="n">
        <v>2900</v>
      </c>
      <c r="M51" s="81">
        <f>Y51</f>
        <v/>
      </c>
      <c r="N51" s="82" t="n">
        <v>45488</v>
      </c>
      <c r="O51" s="82" t="n">
        <v>45488</v>
      </c>
      <c r="P51" s="82" t="n">
        <v>46295</v>
      </c>
      <c r="R51" s="81">
        <f>SUM(AB51:AG51)</f>
        <v/>
      </c>
      <c r="S51" s="81">
        <f>AI51</f>
        <v/>
      </c>
      <c r="T51" s="81" t="n">
        <v>0</v>
      </c>
      <c r="Y51" s="81" t="n">
        <v>3195</v>
      </c>
      <c r="AB51" s="81" t="n">
        <v>50</v>
      </c>
      <c r="AD51" s="81" t="n">
        <v>21</v>
      </c>
      <c r="AE51" s="81" t="n">
        <v>45</v>
      </c>
      <c r="AF51" s="81" t="n">
        <v>95</v>
      </c>
    </row>
    <row r="52">
      <c r="A52" s="72">
        <f>$D$22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INDEX($C$5:$C$9,MATCH(I52,$D$5:$D$9,0))</f>
        <v/>
      </c>
      <c r="E52" s="72">
        <f>INDEX($E$5:$E$9,MATCH(D52,$C$5:$C$9,0))</f>
        <v/>
      </c>
      <c r="F52" s="72">
        <f>INDEX($F$5:$F$9,MATCH(D52,$C$5:$C$9,0))</f>
        <v/>
      </c>
      <c r="G52" s="72">
        <f>INDEX($G$5:$G$9,MATCH(D52,$C$5:$C$9,0))</f>
        <v/>
      </c>
      <c r="H52" s="72" t="inlineStr">
        <is>
          <t>302</t>
        </is>
      </c>
      <c r="I52" s="72" t="inlineStr">
        <is>
          <t>15SD1B1B</t>
        </is>
      </c>
      <c r="J52" s="80" t="n">
        <v>615</v>
      </c>
      <c r="K52" s="72" t="inlineStr">
        <is>
          <t>JULIANA BERARDINELLI</t>
        </is>
      </c>
      <c r="L52" s="81" t="n">
        <v>2725</v>
      </c>
      <c r="M52" s="81">
        <f>Y52</f>
        <v/>
      </c>
      <c r="N52" s="82" t="n">
        <v>46174</v>
      </c>
      <c r="O52" s="82" t="n">
        <v>46174</v>
      </c>
      <c r="P52" s="82" t="n">
        <v>46568</v>
      </c>
      <c r="R52" s="81">
        <f>SUM(AB52:AG52)</f>
        <v/>
      </c>
      <c r="S52" s="81">
        <f>AI52</f>
        <v/>
      </c>
      <c r="T52" s="81" t="n">
        <v>0</v>
      </c>
      <c r="Y52" s="81" t="n">
        <v>2695</v>
      </c>
      <c r="AC52" s="81" t="n">
        <v>75</v>
      </c>
      <c r="AD52" s="81" t="n">
        <v>21</v>
      </c>
      <c r="AE52" s="81" t="n">
        <v>45</v>
      </c>
      <c r="AF52" s="81" t="n">
        <v>165</v>
      </c>
      <c r="AI52" s="81" t="n">
        <v>-75</v>
      </c>
    </row>
    <row r="53">
      <c r="A53" s="72">
        <f>$D$22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INDEX($C$5:$C$9,MATCH(I53,$D$5:$D$9,0))</f>
        <v/>
      </c>
      <c r="E53" s="72">
        <f>INDEX($E$5:$E$9,MATCH(D53,$C$5:$C$9,0))</f>
        <v/>
      </c>
      <c r="F53" s="72">
        <f>INDEX($F$5:$F$9,MATCH(D53,$C$5:$C$9,0))</f>
        <v/>
      </c>
      <c r="G53" s="72">
        <f>INDEX($G$5:$G$9,MATCH(D53,$C$5:$C$9,0))</f>
        <v/>
      </c>
      <c r="H53" s="72" t="inlineStr">
        <is>
          <t>303</t>
        </is>
      </c>
      <c r="I53" s="72" t="inlineStr">
        <is>
          <t>15SD2B2B</t>
        </is>
      </c>
      <c r="J53" s="80" t="n">
        <v>1245</v>
      </c>
      <c r="K53" s="72" t="inlineStr">
        <is>
          <t>HOWARD RAYMOND</t>
        </is>
      </c>
      <c r="L53" s="81" t="n">
        <v>4595</v>
      </c>
      <c r="M53" s="81">
        <f>Y53</f>
        <v/>
      </c>
      <c r="N53" s="82" t="n">
        <v>45078</v>
      </c>
      <c r="O53" s="82" t="n">
        <v>45078</v>
      </c>
      <c r="P53" s="82" t="n">
        <v>46203</v>
      </c>
      <c r="R53" s="81">
        <f>SUM(AB53:AG53)</f>
        <v/>
      </c>
      <c r="S53" s="81">
        <f>AI53</f>
        <v/>
      </c>
      <c r="T53" s="81" t="n">
        <v>0</v>
      </c>
      <c r="Y53" s="81" t="n">
        <v>4733</v>
      </c>
      <c r="AD53" s="81" t="n">
        <v>21</v>
      </c>
      <c r="AE53" s="81" t="n">
        <v>45</v>
      </c>
      <c r="AF53" s="81" t="n">
        <v>95</v>
      </c>
      <c r="AG53" s="81" t="n">
        <v>500</v>
      </c>
    </row>
    <row r="54">
      <c r="A54" s="72">
        <f>$D$22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INDEX($C$5:$C$9,MATCH(I54,$D$5:$D$9,0))</f>
        <v/>
      </c>
      <c r="E54" s="72">
        <f>INDEX($E$5:$E$9,MATCH(D54,$C$5:$C$9,0))</f>
        <v/>
      </c>
      <c r="F54" s="72">
        <f>INDEX($F$5:$F$9,MATCH(D54,$C$5:$C$9,0))</f>
        <v/>
      </c>
      <c r="G54" s="72">
        <f>INDEX($G$5:$G$9,MATCH(D54,$C$5:$C$9,0))</f>
        <v/>
      </c>
      <c r="H54" s="72" t="inlineStr">
        <is>
          <t>304</t>
        </is>
      </c>
      <c r="I54" s="72" t="inlineStr">
        <is>
          <t>15SDStu</t>
        </is>
      </c>
      <c r="J54" s="80" t="n">
        <v>531</v>
      </c>
      <c r="K54" s="72" t="inlineStr">
        <is>
          <t>Poras Shokeen</t>
        </is>
      </c>
      <c r="L54" s="81" t="n">
        <v>2545</v>
      </c>
      <c r="M54" s="81">
        <f>Y54</f>
        <v/>
      </c>
      <c r="N54" s="82" t="n">
        <v>46211</v>
      </c>
      <c r="O54" s="82" t="n">
        <v>46211</v>
      </c>
      <c r="P54" s="82" t="n">
        <v>46418</v>
      </c>
      <c r="R54" s="81">
        <f>SUM(AB54:AG54)</f>
        <v/>
      </c>
      <c r="S54" s="81">
        <f>AI54</f>
        <v/>
      </c>
      <c r="T54" s="81" t="n">
        <v>0</v>
      </c>
      <c r="Y54" s="81" t="n">
        <v>2495</v>
      </c>
      <c r="AC54" s="81" t="n">
        <v>75</v>
      </c>
      <c r="AD54" s="81" t="n">
        <v>21</v>
      </c>
      <c r="AE54" s="81" t="n">
        <v>45</v>
      </c>
      <c r="AF54" s="81" t="n">
        <v>95</v>
      </c>
      <c r="AG54" s="81" t="n">
        <v>200</v>
      </c>
    </row>
    <row r="55">
      <c r="A55" s="83">
        <f>$D$22</f>
        <v/>
      </c>
      <c r="B55" s="83">
        <f>B54+1</f>
        <v/>
      </c>
      <c r="C55" s="83">
        <f>IF(K55="Vacant","Vac",IF(K55="Model","Model",IF(K55="Admin","Admin",IF(K55="Down","Down",IF(K55="Super","Super","Occ")))))</f>
        <v/>
      </c>
      <c r="D55" s="83">
        <f>INDEX($C$5:$C$9,MATCH(I55,$D$5:$D$9,0))</f>
        <v/>
      </c>
      <c r="E55" s="83">
        <f>INDEX($E$5:$E$9,MATCH(D55,$C$5:$C$9,0))</f>
        <v/>
      </c>
      <c r="F55" s="83">
        <f>INDEX($F$5:$F$9,MATCH(D55,$C$5:$C$9,0))</f>
        <v/>
      </c>
      <c r="G55" s="83">
        <f>INDEX($G$5:$G$9,MATCH(D55,$C$5:$C$9,0))</f>
        <v/>
      </c>
      <c r="H55" s="83" t="inlineStr">
        <is>
          <t>305</t>
        </is>
      </c>
      <c r="I55" s="83" t="inlineStr">
        <is>
          <t>15SD2B2B</t>
        </is>
      </c>
      <c r="J55" s="84" t="n">
        <v>1189</v>
      </c>
      <c r="K55" s="83" t="inlineStr">
        <is>
          <t>Vacant</t>
        </is>
      </c>
      <c r="L55" s="85" t="n">
        <v>3595</v>
      </c>
      <c r="M55" s="85">
        <f>Y55</f>
        <v/>
      </c>
      <c r="N55" s="86" t="n"/>
      <c r="O55" s="86" t="n"/>
      <c r="P55" s="86" t="n"/>
      <c r="Q55" s="86" t="n"/>
      <c r="R55" s="85">
        <f>SUM(AB55:AG55)</f>
        <v/>
      </c>
      <c r="S55" s="85">
        <f>AI55</f>
        <v/>
      </c>
      <c r="T55" s="85" t="n">
        <v>0</v>
      </c>
      <c r="U55" s="86" t="n"/>
      <c r="V55" s="86" t="n"/>
      <c r="W55" s="86" t="n"/>
      <c r="X55" s="86" t="n"/>
      <c r="Y55" s="85" t="n">
        <v>0</v>
      </c>
      <c r="Z55" s="86" t="n"/>
      <c r="AA55" s="86" t="n"/>
      <c r="AB55" s="86" t="n"/>
      <c r="AC55" s="86" t="n"/>
      <c r="AD55" s="86" t="n"/>
      <c r="AE55" s="86" t="n"/>
      <c r="AF55" s="86" t="n"/>
      <c r="AG55" s="86" t="n"/>
      <c r="AH55" s="86" t="n"/>
      <c r="AI55" s="86" t="n"/>
    </row>
    <row r="56">
      <c r="A56" s="72">
        <f>$D$22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INDEX($C$5:$C$9,MATCH(I56,$D$5:$D$9,0))</f>
        <v/>
      </c>
      <c r="E56" s="72">
        <f>INDEX($E$5:$E$9,MATCH(D56,$C$5:$C$9,0))</f>
        <v/>
      </c>
      <c r="F56" s="72">
        <f>INDEX($F$5:$F$9,MATCH(D56,$C$5:$C$9,0))</f>
        <v/>
      </c>
      <c r="G56" s="72">
        <f>INDEX($G$5:$G$9,MATCH(D56,$C$5:$C$9,0))</f>
        <v/>
      </c>
      <c r="H56" s="72" t="inlineStr">
        <is>
          <t>306</t>
        </is>
      </c>
      <c r="I56" s="72" t="inlineStr">
        <is>
          <t>15SD2B2D</t>
        </is>
      </c>
      <c r="J56" s="80" t="n">
        <v>1156</v>
      </c>
      <c r="K56" s="72" t="inlineStr">
        <is>
          <t>BRITTANY MARTINEZ</t>
        </is>
      </c>
      <c r="L56" s="81" t="n">
        <v>4080</v>
      </c>
      <c r="M56" s="81">
        <f>Y56</f>
        <v/>
      </c>
      <c r="N56" s="82" t="n">
        <v>45936</v>
      </c>
      <c r="O56" s="82" t="n">
        <v>45936</v>
      </c>
      <c r="P56" s="82" t="n">
        <v>46544</v>
      </c>
      <c r="R56" s="81">
        <f>SUM(AB56:AG56)</f>
        <v/>
      </c>
      <c r="S56" s="81">
        <f>AI56</f>
        <v/>
      </c>
      <c r="T56" s="81" t="n">
        <v>0</v>
      </c>
      <c r="Y56" s="81" t="n">
        <v>4080</v>
      </c>
      <c r="AC56" s="81" t="n">
        <v>75</v>
      </c>
      <c r="AD56" s="81" t="n">
        <v>21</v>
      </c>
      <c r="AE56" s="81" t="n">
        <v>45</v>
      </c>
      <c r="AF56" s="81" t="n">
        <v>95</v>
      </c>
      <c r="AI56" s="81" t="n">
        <v>-578</v>
      </c>
    </row>
    <row r="57">
      <c r="A57" s="72">
        <f>$D$22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INDEX($C$5:$C$9,MATCH(I57,$D$5:$D$9,0))</f>
        <v/>
      </c>
      <c r="E57" s="72">
        <f>INDEX($E$5:$E$9,MATCH(D57,$C$5:$C$9,0))</f>
        <v/>
      </c>
      <c r="F57" s="72">
        <f>INDEX($F$5:$F$9,MATCH(D57,$C$5:$C$9,0))</f>
        <v/>
      </c>
      <c r="G57" s="72">
        <f>INDEX($G$5:$G$9,MATCH(D57,$C$5:$C$9,0))</f>
        <v/>
      </c>
      <c r="H57" s="72" t="inlineStr">
        <is>
          <t>307</t>
        </is>
      </c>
      <c r="I57" s="72" t="inlineStr">
        <is>
          <t>15SD2B2D</t>
        </is>
      </c>
      <c r="J57" s="80" t="n">
        <v>1169</v>
      </c>
      <c r="K57" s="72" t="inlineStr">
        <is>
          <t>RICK DAI</t>
        </is>
      </c>
      <c r="L57" s="81" t="n">
        <v>4095</v>
      </c>
      <c r="M57" s="81">
        <f>Y57</f>
        <v/>
      </c>
      <c r="N57" s="82" t="n">
        <v>46006</v>
      </c>
      <c r="O57" s="82" t="n">
        <v>46006</v>
      </c>
      <c r="P57" s="82" t="n">
        <v>46797</v>
      </c>
      <c r="R57" s="81">
        <f>SUM(AB57:AG57)</f>
        <v/>
      </c>
      <c r="S57" s="81">
        <f>AI57</f>
        <v/>
      </c>
      <c r="T57" s="81" t="n">
        <v>0</v>
      </c>
      <c r="Y57" s="81" t="n">
        <v>4095</v>
      </c>
      <c r="AC57" s="81" t="n">
        <v>75</v>
      </c>
      <c r="AD57" s="81" t="n">
        <v>21</v>
      </c>
      <c r="AE57" s="81" t="n">
        <v>45</v>
      </c>
      <c r="AF57" s="81" t="n">
        <v>95</v>
      </c>
    </row>
    <row r="58">
      <c r="A58" s="83">
        <f>$D$22</f>
        <v/>
      </c>
      <c r="B58" s="83">
        <f>B57+1</f>
        <v/>
      </c>
      <c r="C58" s="83">
        <f>IF(K58="Vacant","Vac",IF(K58="Model","Model",IF(K58="Admin","Admin",IF(K58="Down","Down",IF(K58="Super","Super","Occ")))))</f>
        <v/>
      </c>
      <c r="D58" s="83">
        <f>INDEX($C$5:$C$9,MATCH(I58,$D$5:$D$9,0))</f>
        <v/>
      </c>
      <c r="E58" s="83">
        <f>INDEX($E$5:$E$9,MATCH(D58,$C$5:$C$9,0))</f>
        <v/>
      </c>
      <c r="F58" s="83">
        <f>INDEX($F$5:$F$9,MATCH(D58,$C$5:$C$9,0))</f>
        <v/>
      </c>
      <c r="G58" s="83">
        <f>INDEX($G$5:$G$9,MATCH(D58,$C$5:$C$9,0))</f>
        <v/>
      </c>
      <c r="H58" s="83" t="inlineStr">
        <is>
          <t>308</t>
        </is>
      </c>
      <c r="I58" s="83" t="inlineStr">
        <is>
          <t>15SD2B2B</t>
        </is>
      </c>
      <c r="J58" s="84" t="n">
        <v>1189</v>
      </c>
      <c r="K58" s="83" t="inlineStr">
        <is>
          <t>Vacant</t>
        </is>
      </c>
      <c r="L58" s="85" t="n">
        <v>3595</v>
      </c>
      <c r="M58" s="85">
        <f>Y58</f>
        <v/>
      </c>
      <c r="N58" s="86" t="n"/>
      <c r="O58" s="86" t="n"/>
      <c r="P58" s="86" t="n"/>
      <c r="Q58" s="86" t="n"/>
      <c r="R58" s="85">
        <f>SUM(AB58:AG58)</f>
        <v/>
      </c>
      <c r="S58" s="85">
        <f>AI58</f>
        <v/>
      </c>
      <c r="T58" s="85" t="n">
        <v>0</v>
      </c>
      <c r="U58" s="86" t="n"/>
      <c r="V58" s="86" t="n"/>
      <c r="W58" s="86" t="n"/>
      <c r="X58" s="86" t="n"/>
      <c r="Y58" s="85" t="n">
        <v>0</v>
      </c>
      <c r="Z58" s="86" t="n"/>
      <c r="AA58" s="86" t="n"/>
      <c r="AB58" s="86" t="n"/>
      <c r="AC58" s="86" t="n"/>
      <c r="AD58" s="86" t="n"/>
      <c r="AE58" s="86" t="n"/>
      <c r="AF58" s="86" t="n"/>
      <c r="AG58" s="86" t="n"/>
      <c r="AH58" s="86" t="n"/>
      <c r="AI58" s="86" t="n"/>
    </row>
    <row r="59">
      <c r="A59" s="72">
        <f>$D$22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INDEX($C$5:$C$9,MATCH(I59,$D$5:$D$9,0))</f>
        <v/>
      </c>
      <c r="E59" s="72">
        <f>INDEX($E$5:$E$9,MATCH(D59,$C$5:$C$9,0))</f>
        <v/>
      </c>
      <c r="F59" s="72">
        <f>INDEX($F$5:$F$9,MATCH(D59,$C$5:$C$9,0))</f>
        <v/>
      </c>
      <c r="G59" s="72">
        <f>INDEX($G$5:$G$9,MATCH(D59,$C$5:$C$9,0))</f>
        <v/>
      </c>
      <c r="H59" s="72" t="inlineStr">
        <is>
          <t>309</t>
        </is>
      </c>
      <c r="I59" s="72" t="inlineStr">
        <is>
          <t>15SD2B2B</t>
        </is>
      </c>
      <c r="J59" s="80" t="n">
        <v>1061</v>
      </c>
      <c r="K59" s="72" t="inlineStr">
        <is>
          <t>SANGJIN NA</t>
        </is>
      </c>
      <c r="L59" s="81" t="n">
        <v>3695</v>
      </c>
      <c r="M59" s="81">
        <f>Y59</f>
        <v/>
      </c>
      <c r="N59" s="82" t="n">
        <v>46199</v>
      </c>
      <c r="O59" s="82" t="n">
        <v>46199</v>
      </c>
      <c r="P59" s="82" t="n">
        <v>46996</v>
      </c>
      <c r="R59" s="81">
        <f>SUM(AB59:AG59)</f>
        <v/>
      </c>
      <c r="S59" s="81">
        <f>AI59</f>
        <v/>
      </c>
      <c r="T59" s="81" t="n">
        <v>0</v>
      </c>
      <c r="Y59" s="81" t="n">
        <v>3595</v>
      </c>
      <c r="AC59" s="81" t="n">
        <v>75</v>
      </c>
      <c r="AD59" s="81" t="n">
        <v>21</v>
      </c>
      <c r="AE59" s="81" t="n">
        <v>45</v>
      </c>
      <c r="AF59" s="81" t="n">
        <v>95</v>
      </c>
      <c r="AI59" s="81" t="n">
        <v>-3765</v>
      </c>
    </row>
    <row r="60">
      <c r="A60" s="72">
        <f>$D$22</f>
        <v/>
      </c>
      <c r="B60" s="72">
        <f>B59+1</f>
        <v/>
      </c>
      <c r="C60" s="72">
        <f>IF(K60="Vacant","Vac",IF(K60="Model","Model",IF(K60="Admin","Admin",IF(K60="Down","Down",IF(K60="Super","Super","Occ")))))</f>
        <v/>
      </c>
      <c r="D60" s="72">
        <f>INDEX($C$5:$C$9,MATCH(I60,$D$5:$D$9,0))</f>
        <v/>
      </c>
      <c r="E60" s="72">
        <f>INDEX($E$5:$E$9,MATCH(D60,$C$5:$C$9,0))</f>
        <v/>
      </c>
      <c r="F60" s="72">
        <f>INDEX($F$5:$F$9,MATCH(D60,$C$5:$C$9,0))</f>
        <v/>
      </c>
      <c r="G60" s="72">
        <f>INDEX($G$5:$G$9,MATCH(D60,$C$5:$C$9,0))</f>
        <v/>
      </c>
      <c r="H60" s="72" t="inlineStr">
        <is>
          <t>310</t>
        </is>
      </c>
      <c r="I60" s="72" t="inlineStr">
        <is>
          <t>15SD2B2B</t>
        </is>
      </c>
      <c r="J60" s="80" t="n">
        <v>1057</v>
      </c>
      <c r="K60" s="72" t="inlineStr">
        <is>
          <t>GABRIELLE CHAMOUN</t>
        </is>
      </c>
      <c r="L60" s="81" t="n">
        <v>3595</v>
      </c>
      <c r="M60" s="81">
        <f>Y60</f>
        <v/>
      </c>
      <c r="N60" s="82" t="n">
        <v>45627</v>
      </c>
      <c r="O60" s="82" t="n">
        <v>45627</v>
      </c>
      <c r="P60" s="82" t="n">
        <v>46234</v>
      </c>
      <c r="R60" s="81">
        <f>SUM(AB60:AG60)</f>
        <v/>
      </c>
      <c r="S60" s="81">
        <f>AI60</f>
        <v/>
      </c>
      <c r="T60" s="81" t="n">
        <v>0</v>
      </c>
      <c r="Y60" s="81" t="n">
        <v>3640</v>
      </c>
      <c r="AD60" s="81" t="n">
        <v>21</v>
      </c>
      <c r="AE60" s="81" t="n">
        <v>45</v>
      </c>
      <c r="AF60" s="81" t="n">
        <v>190</v>
      </c>
    </row>
    <row r="61">
      <c r="A61" s="72">
        <f>$D$22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INDEX($C$5:$C$9,MATCH(I61,$D$5:$D$9,0))</f>
        <v/>
      </c>
      <c r="E61" s="72">
        <f>INDEX($E$5:$E$9,MATCH(D61,$C$5:$C$9,0))</f>
        <v/>
      </c>
      <c r="F61" s="72">
        <f>INDEX($F$5:$F$9,MATCH(D61,$C$5:$C$9,0))</f>
        <v/>
      </c>
      <c r="G61" s="72">
        <f>INDEX($G$5:$G$9,MATCH(D61,$C$5:$C$9,0))</f>
        <v/>
      </c>
      <c r="H61" s="72" t="inlineStr">
        <is>
          <t>311</t>
        </is>
      </c>
      <c r="I61" s="72" t="inlineStr">
        <is>
          <t>15SD2B2B</t>
        </is>
      </c>
      <c r="J61" s="80" t="n">
        <v>1188</v>
      </c>
      <c r="K61" s="72" t="inlineStr">
        <is>
          <t>MICHELE BAUMAN</t>
        </is>
      </c>
      <c r="L61" s="81" t="n">
        <v>3995</v>
      </c>
      <c r="M61" s="81">
        <f>Y61</f>
        <v/>
      </c>
      <c r="N61" s="82" t="n">
        <v>45427</v>
      </c>
      <c r="O61" s="82" t="n">
        <v>45427</v>
      </c>
      <c r="P61" s="82" t="n">
        <v>46568</v>
      </c>
      <c r="R61" s="81">
        <f>SUM(AB61:AG61)</f>
        <v/>
      </c>
      <c r="S61" s="81">
        <f>AI61</f>
        <v/>
      </c>
      <c r="T61" s="81" t="n">
        <v>0</v>
      </c>
      <c r="Y61" s="81" t="n">
        <v>4115</v>
      </c>
      <c r="AB61" s="81" t="n">
        <v>50</v>
      </c>
      <c r="AC61" s="81" t="n">
        <v>295</v>
      </c>
      <c r="AD61" s="81" t="n">
        <v>21</v>
      </c>
      <c r="AE61" s="81" t="n">
        <v>45</v>
      </c>
      <c r="AF61" s="81" t="n">
        <v>95</v>
      </c>
    </row>
    <row r="62">
      <c r="A62" s="72">
        <f>$D$22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INDEX($C$5:$C$9,MATCH(I62,$D$5:$D$9,0))</f>
        <v/>
      </c>
      <c r="E62" s="72">
        <f>INDEX($E$5:$E$9,MATCH(D62,$C$5:$C$9,0))</f>
        <v/>
      </c>
      <c r="F62" s="72">
        <f>INDEX($F$5:$F$9,MATCH(D62,$C$5:$C$9,0))</f>
        <v/>
      </c>
      <c r="G62" s="72">
        <f>INDEX($G$5:$G$9,MATCH(D62,$C$5:$C$9,0))</f>
        <v/>
      </c>
      <c r="H62" s="72" t="inlineStr">
        <is>
          <t>312</t>
        </is>
      </c>
      <c r="I62" s="72" t="inlineStr">
        <is>
          <t>15SD2B2D</t>
        </is>
      </c>
      <c r="J62" s="80" t="n">
        <v>1164</v>
      </c>
      <c r="K62" s="72" t="inlineStr">
        <is>
          <t>MARQUIS TERRELL</t>
        </is>
      </c>
      <c r="L62" s="81" t="n">
        <v>4095</v>
      </c>
      <c r="M62" s="81">
        <f>Y62</f>
        <v/>
      </c>
      <c r="N62" s="82" t="n">
        <v>45901</v>
      </c>
      <c r="O62" s="82" t="n">
        <v>45901</v>
      </c>
      <c r="P62" s="82" t="n">
        <v>46265</v>
      </c>
      <c r="R62" s="81">
        <f>SUM(AB62:AG62)</f>
        <v/>
      </c>
      <c r="S62" s="81">
        <f>AI62</f>
        <v/>
      </c>
      <c r="T62" s="81" t="n">
        <v>0</v>
      </c>
      <c r="Y62" s="81" t="n">
        <v>3695</v>
      </c>
      <c r="AC62" s="81" t="n">
        <v>75</v>
      </c>
      <c r="AD62" s="81" t="n">
        <v>21</v>
      </c>
      <c r="AE62" s="81" t="n">
        <v>45</v>
      </c>
    </row>
    <row r="63">
      <c r="A63" s="72">
        <f>$D$22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INDEX($C$5:$C$9,MATCH(I63,$D$5:$D$9,0))</f>
        <v/>
      </c>
      <c r="E63" s="72">
        <f>INDEX($E$5:$E$9,MATCH(D63,$C$5:$C$9,0))</f>
        <v/>
      </c>
      <c r="F63" s="72">
        <f>INDEX($F$5:$F$9,MATCH(D63,$C$5:$C$9,0))</f>
        <v/>
      </c>
      <c r="G63" s="72">
        <f>INDEX($G$5:$G$9,MATCH(D63,$C$5:$C$9,0))</f>
        <v/>
      </c>
      <c r="H63" s="72" t="inlineStr">
        <is>
          <t>313</t>
        </is>
      </c>
      <c r="I63" s="72" t="inlineStr">
        <is>
          <t>15SD2B2D</t>
        </is>
      </c>
      <c r="J63" s="80" t="n">
        <v>1164</v>
      </c>
      <c r="K63" s="72" t="inlineStr">
        <is>
          <t>NAOMI NUSSBAUM</t>
        </is>
      </c>
      <c r="L63" s="81" t="n">
        <v>4295</v>
      </c>
      <c r="M63" s="81">
        <f>Y63</f>
        <v/>
      </c>
      <c r="N63" s="82" t="n">
        <v>45170</v>
      </c>
      <c r="O63" s="82" t="n">
        <v>45170</v>
      </c>
      <c r="P63" s="82" t="n">
        <v>46112</v>
      </c>
      <c r="R63" s="81">
        <f>SUM(AB63:AG63)</f>
        <v/>
      </c>
      <c r="S63" s="81">
        <f>AI63</f>
        <v/>
      </c>
      <c r="T63" s="81" t="n">
        <v>0</v>
      </c>
      <c r="Y63" s="81" t="n">
        <v>4295</v>
      </c>
      <c r="AD63" s="81" t="n">
        <v>21</v>
      </c>
      <c r="AE63" s="81" t="n">
        <v>545</v>
      </c>
      <c r="AF63" s="81" t="n">
        <v>160</v>
      </c>
    </row>
    <row r="64">
      <c r="A64" s="72">
        <f>$D$22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INDEX($C$5:$C$9,MATCH(I64,$D$5:$D$9,0))</f>
        <v/>
      </c>
      <c r="E64" s="72">
        <f>INDEX($E$5:$E$9,MATCH(D64,$C$5:$C$9,0))</f>
        <v/>
      </c>
      <c r="F64" s="72">
        <f>INDEX($F$5:$F$9,MATCH(D64,$C$5:$C$9,0))</f>
        <v/>
      </c>
      <c r="G64" s="72">
        <f>INDEX($G$5:$G$9,MATCH(D64,$C$5:$C$9,0))</f>
        <v/>
      </c>
      <c r="H64" s="72" t="inlineStr">
        <is>
          <t>314</t>
        </is>
      </c>
      <c r="I64" s="72" t="inlineStr">
        <is>
          <t>15SD2B2B</t>
        </is>
      </c>
      <c r="J64" s="80" t="n">
        <v>1191</v>
      </c>
      <c r="K64" s="72" t="inlineStr">
        <is>
          <t>NAZ KORKMAZ</t>
        </is>
      </c>
      <c r="L64" s="81" t="n">
        <v>4195</v>
      </c>
      <c r="M64" s="81">
        <f>Y64</f>
        <v/>
      </c>
      <c r="N64" s="82" t="n">
        <v>45166</v>
      </c>
      <c r="O64" s="82" t="n">
        <v>45166</v>
      </c>
      <c r="P64" s="82" t="n">
        <v>46477</v>
      </c>
      <c r="R64" s="81">
        <f>SUM(AB64:AG64)</f>
        <v/>
      </c>
      <c r="S64" s="81">
        <f>AI64</f>
        <v/>
      </c>
      <c r="T64" s="81" t="n">
        <v>0</v>
      </c>
      <c r="Y64" s="81" t="n">
        <v>4195</v>
      </c>
      <c r="AB64" s="81" t="n">
        <v>50</v>
      </c>
      <c r="AD64" s="81" t="n">
        <v>21</v>
      </c>
      <c r="AE64" s="81" t="n">
        <v>45</v>
      </c>
      <c r="AF64" s="81" t="n">
        <v>190</v>
      </c>
    </row>
    <row r="65">
      <c r="A65" s="72">
        <f>$D$22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INDEX($C$5:$C$9,MATCH(I65,$D$5:$D$9,0))</f>
        <v/>
      </c>
      <c r="E65" s="72">
        <f>INDEX($E$5:$E$9,MATCH(D65,$C$5:$C$9,0))</f>
        <v/>
      </c>
      <c r="F65" s="72">
        <f>INDEX($F$5:$F$9,MATCH(D65,$C$5:$C$9,0))</f>
        <v/>
      </c>
      <c r="G65" s="72">
        <f>INDEX($G$5:$G$9,MATCH(D65,$C$5:$C$9,0))</f>
        <v/>
      </c>
      <c r="H65" s="72" t="inlineStr">
        <is>
          <t>315</t>
        </is>
      </c>
      <c r="I65" s="72" t="inlineStr">
        <is>
          <t>15SD2B2B</t>
        </is>
      </c>
      <c r="J65" s="80" t="n">
        <v>1204</v>
      </c>
      <c r="K65" s="72" t="inlineStr">
        <is>
          <t>BO ZHENG</t>
        </is>
      </c>
      <c r="L65" s="81" t="n">
        <v>4295</v>
      </c>
      <c r="M65" s="81">
        <f>Y65</f>
        <v/>
      </c>
      <c r="N65" s="82" t="n">
        <v>45471</v>
      </c>
      <c r="O65" s="82" t="n">
        <v>45471</v>
      </c>
      <c r="P65" s="82" t="n">
        <v>46265</v>
      </c>
      <c r="Q65" s="82" t="n">
        <v>46265</v>
      </c>
      <c r="R65" s="81">
        <f>SUM(AB65:AG65)</f>
        <v/>
      </c>
      <c r="S65" s="81">
        <f>AI65</f>
        <v/>
      </c>
      <c r="T65" s="81" t="n">
        <v>0</v>
      </c>
      <c r="Y65" s="81" t="n">
        <v>4295</v>
      </c>
      <c r="AD65" s="81" t="n">
        <v>21</v>
      </c>
      <c r="AE65" s="81" t="n">
        <v>45</v>
      </c>
      <c r="AF65" s="81" t="n">
        <v>95</v>
      </c>
    </row>
    <row r="66">
      <c r="A66" s="72">
        <f>$D$22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INDEX($C$5:$C$9,MATCH(I66,$D$5:$D$9,0))</f>
        <v/>
      </c>
      <c r="E66" s="72">
        <f>INDEX($E$5:$E$9,MATCH(D66,$C$5:$C$9,0))</f>
        <v/>
      </c>
      <c r="F66" s="72">
        <f>INDEX($F$5:$F$9,MATCH(D66,$C$5:$C$9,0))</f>
        <v/>
      </c>
      <c r="G66" s="72">
        <f>INDEX($G$5:$G$9,MATCH(D66,$C$5:$C$9,0))</f>
        <v/>
      </c>
      <c r="H66" s="72" t="inlineStr">
        <is>
          <t>316</t>
        </is>
      </c>
      <c r="I66" s="72" t="inlineStr">
        <is>
          <t>15SD1B1B</t>
        </is>
      </c>
      <c r="J66" s="80" t="n">
        <v>731</v>
      </c>
      <c r="K66" s="72" t="inlineStr">
        <is>
          <t>ELIEZER PAVEL</t>
        </is>
      </c>
      <c r="L66" s="81" t="n">
        <v>2900</v>
      </c>
      <c r="M66" s="81">
        <f>Y66</f>
        <v/>
      </c>
      <c r="N66" s="82" t="n">
        <v>45839</v>
      </c>
      <c r="O66" s="82" t="n">
        <v>45839</v>
      </c>
      <c r="P66" s="82" t="n">
        <v>46599</v>
      </c>
      <c r="R66" s="81">
        <f>SUM(AB66:AG66)</f>
        <v/>
      </c>
      <c r="S66" s="81">
        <f>AI66</f>
        <v/>
      </c>
      <c r="T66" s="81" t="n">
        <v>0</v>
      </c>
      <c r="Y66" s="81" t="n">
        <v>2795</v>
      </c>
      <c r="AB66" s="81" t="n">
        <v>50</v>
      </c>
      <c r="AC66" s="81" t="n">
        <v>75</v>
      </c>
      <c r="AD66" s="81" t="n">
        <v>21</v>
      </c>
      <c r="AE66" s="81" t="n">
        <v>45</v>
      </c>
      <c r="AF66" s="81" t="n">
        <v>95</v>
      </c>
    </row>
    <row r="67">
      <c r="A67" s="72">
        <f>$D$22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INDEX($C$5:$C$9,MATCH(I67,$D$5:$D$9,0))</f>
        <v/>
      </c>
      <c r="E67" s="72">
        <f>INDEX($E$5:$E$9,MATCH(D67,$C$5:$C$9,0))</f>
        <v/>
      </c>
      <c r="F67" s="72">
        <f>INDEX($F$5:$F$9,MATCH(D67,$C$5:$C$9,0))</f>
        <v/>
      </c>
      <c r="G67" s="72">
        <f>INDEX($G$5:$G$9,MATCH(D67,$C$5:$C$9,0))</f>
        <v/>
      </c>
      <c r="H67" s="72" t="inlineStr">
        <is>
          <t>317</t>
        </is>
      </c>
      <c r="I67" s="72" t="inlineStr">
        <is>
          <t>15SD1B1B</t>
        </is>
      </c>
      <c r="J67" s="80" t="n">
        <v>931</v>
      </c>
      <c r="K67" s="72" t="inlineStr">
        <is>
          <t>BRANDON KURETSKI</t>
        </is>
      </c>
      <c r="L67" s="81" t="n">
        <v>3350</v>
      </c>
      <c r="M67" s="81">
        <f>Y67</f>
        <v/>
      </c>
      <c r="N67" s="82" t="n">
        <v>46218</v>
      </c>
      <c r="O67" s="82" t="n">
        <v>46218</v>
      </c>
      <c r="P67" s="82" t="n">
        <v>46948</v>
      </c>
      <c r="R67" s="81">
        <f>SUM(AB67:AG67)</f>
        <v/>
      </c>
      <c r="S67" s="81">
        <f>AI67</f>
        <v/>
      </c>
      <c r="T67" s="81" t="n">
        <v>0</v>
      </c>
      <c r="Y67" s="81" t="n">
        <v>3400</v>
      </c>
      <c r="AC67" s="81" t="n">
        <v>75</v>
      </c>
      <c r="AD67" s="81" t="n">
        <v>21</v>
      </c>
      <c r="AE67" s="81" t="n">
        <v>45</v>
      </c>
    </row>
    <row r="68">
      <c r="A68" s="72">
        <f>$D$22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INDEX($C$5:$C$9,MATCH(I68,$D$5:$D$9,0))</f>
        <v/>
      </c>
      <c r="E68" s="72">
        <f>INDEX($E$5:$E$9,MATCH(D68,$C$5:$C$9,0))</f>
        <v/>
      </c>
      <c r="F68" s="72">
        <f>INDEX($F$5:$F$9,MATCH(D68,$C$5:$C$9,0))</f>
        <v/>
      </c>
      <c r="G68" s="72">
        <f>INDEX($G$5:$G$9,MATCH(D68,$C$5:$C$9,0))</f>
        <v/>
      </c>
      <c r="H68" s="72" t="inlineStr">
        <is>
          <t>318</t>
        </is>
      </c>
      <c r="I68" s="72" t="inlineStr">
        <is>
          <t>15SD1B1B</t>
        </is>
      </c>
      <c r="J68" s="80" t="n">
        <v>756</v>
      </c>
      <c r="K68" s="72" t="inlineStr">
        <is>
          <t>ERIKA FERRARO</t>
        </is>
      </c>
      <c r="L68" s="81" t="n">
        <v>3095</v>
      </c>
      <c r="M68" s="81">
        <f>Y68</f>
        <v/>
      </c>
      <c r="N68" s="82" t="n">
        <v>45000</v>
      </c>
      <c r="O68" s="82" t="n">
        <v>45000</v>
      </c>
      <c r="P68" s="82" t="n">
        <v>46265</v>
      </c>
      <c r="R68" s="81">
        <f>SUM(AB68:AG68)</f>
        <v/>
      </c>
      <c r="S68" s="81">
        <f>AI68</f>
        <v/>
      </c>
      <c r="T68" s="81" t="n">
        <v>0</v>
      </c>
      <c r="Y68" s="81" t="n">
        <v>3188</v>
      </c>
      <c r="AD68" s="81" t="n">
        <v>21</v>
      </c>
      <c r="AE68" s="81" t="n">
        <v>45</v>
      </c>
      <c r="AF68" s="81" t="n">
        <v>95</v>
      </c>
    </row>
    <row r="69">
      <c r="A69" s="72">
        <f>$D$22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INDEX($C$5:$C$9,MATCH(I69,$D$5:$D$9,0))</f>
        <v/>
      </c>
      <c r="E69" s="72">
        <f>INDEX($E$5:$E$9,MATCH(D69,$C$5:$C$9,0))</f>
        <v/>
      </c>
      <c r="F69" s="72">
        <f>INDEX($F$5:$F$9,MATCH(D69,$C$5:$C$9,0))</f>
        <v/>
      </c>
      <c r="G69" s="72">
        <f>INDEX($G$5:$G$9,MATCH(D69,$C$5:$C$9,0))</f>
        <v/>
      </c>
      <c r="H69" s="72" t="inlineStr">
        <is>
          <t>319</t>
        </is>
      </c>
      <c r="I69" s="72" t="inlineStr">
        <is>
          <t>15SD2B2D</t>
        </is>
      </c>
      <c r="J69" s="80" t="n">
        <v>1164</v>
      </c>
      <c r="K69" s="72" t="inlineStr">
        <is>
          <t>CRYSTABEL POLANCO</t>
        </is>
      </c>
      <c r="L69" s="81" t="n">
        <v>4450</v>
      </c>
      <c r="M69" s="81">
        <f>Y69</f>
        <v/>
      </c>
      <c r="N69" s="82" t="n">
        <v>45566</v>
      </c>
      <c r="O69" s="82" t="n">
        <v>45566</v>
      </c>
      <c r="P69" s="82" t="n">
        <v>46326</v>
      </c>
      <c r="R69" s="81">
        <f>SUM(AB69:AG69)</f>
        <v/>
      </c>
      <c r="S69" s="81">
        <f>AI69</f>
        <v/>
      </c>
      <c r="T69" s="81" t="n">
        <v>0</v>
      </c>
      <c r="Y69" s="81" t="n">
        <v>4595</v>
      </c>
      <c r="AD69" s="81" t="n">
        <v>21</v>
      </c>
      <c r="AE69" s="81" t="n">
        <v>45</v>
      </c>
      <c r="AF69" s="81" t="n">
        <v>190</v>
      </c>
    </row>
    <row r="70">
      <c r="A70" s="72">
        <f>$D$22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INDEX($C$5:$C$9,MATCH(I70,$D$5:$D$9,0))</f>
        <v/>
      </c>
      <c r="E70" s="72">
        <f>INDEX($E$5:$E$9,MATCH(D70,$C$5:$C$9,0))</f>
        <v/>
      </c>
      <c r="F70" s="72">
        <f>INDEX($F$5:$F$9,MATCH(D70,$C$5:$C$9,0))</f>
        <v/>
      </c>
      <c r="G70" s="72">
        <f>INDEX($G$5:$G$9,MATCH(D70,$C$5:$C$9,0))</f>
        <v/>
      </c>
      <c r="H70" s="72" t="inlineStr">
        <is>
          <t>320</t>
        </is>
      </c>
      <c r="I70" s="72" t="inlineStr">
        <is>
          <t>15SD2B2B</t>
        </is>
      </c>
      <c r="J70" s="80" t="n">
        <v>1189</v>
      </c>
      <c r="K70" s="72" t="inlineStr">
        <is>
          <t>RACHEL KOHLHAGEN</t>
        </is>
      </c>
      <c r="L70" s="81" t="n">
        <v>4350</v>
      </c>
      <c r="M70" s="81">
        <f>Y70</f>
        <v/>
      </c>
      <c r="N70" s="82" t="n">
        <v>45989</v>
      </c>
      <c r="O70" s="82" t="n">
        <v>45989</v>
      </c>
      <c r="P70" s="82" t="n">
        <v>46383</v>
      </c>
      <c r="R70" s="81">
        <f>SUM(AB70:AG70)</f>
        <v/>
      </c>
      <c r="S70" s="81">
        <f>AI70</f>
        <v/>
      </c>
      <c r="T70" s="81" t="n">
        <v>0</v>
      </c>
      <c r="Y70" s="81" t="n">
        <v>4395</v>
      </c>
      <c r="AC70" s="81" t="n">
        <v>75</v>
      </c>
      <c r="AD70" s="81" t="n">
        <v>21</v>
      </c>
      <c r="AE70" s="81" t="n">
        <v>45</v>
      </c>
      <c r="AF70" s="81" t="n">
        <v>95</v>
      </c>
      <c r="AI70" s="81" t="n">
        <v>-75</v>
      </c>
    </row>
    <row r="71">
      <c r="A71" s="72">
        <f>$D$22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INDEX($C$5:$C$9,MATCH(I71,$D$5:$D$9,0))</f>
        <v/>
      </c>
      <c r="E71" s="72">
        <f>INDEX($E$5:$E$9,MATCH(D71,$C$5:$C$9,0))</f>
        <v/>
      </c>
      <c r="F71" s="72">
        <f>INDEX($F$5:$F$9,MATCH(D71,$C$5:$C$9,0))</f>
        <v/>
      </c>
      <c r="G71" s="72">
        <f>INDEX($G$5:$G$9,MATCH(D71,$C$5:$C$9,0))</f>
        <v/>
      </c>
      <c r="H71" s="72" t="inlineStr">
        <is>
          <t>321</t>
        </is>
      </c>
      <c r="I71" s="72" t="inlineStr">
        <is>
          <t>15SD1B1D</t>
        </is>
      </c>
      <c r="J71" s="80" t="n">
        <v>768</v>
      </c>
      <c r="K71" s="72" t="inlineStr">
        <is>
          <t>SUYON OH</t>
        </is>
      </c>
      <c r="L71" s="81" t="n">
        <v>3170</v>
      </c>
      <c r="M71" s="81">
        <f>Y71</f>
        <v/>
      </c>
      <c r="N71" s="82" t="n">
        <v>45488</v>
      </c>
      <c r="O71" s="82" t="n">
        <v>45488</v>
      </c>
      <c r="P71" s="82" t="n">
        <v>46265</v>
      </c>
      <c r="R71" s="81">
        <f>SUM(AB71:AG71)</f>
        <v/>
      </c>
      <c r="S71" s="81">
        <f>AI71</f>
        <v/>
      </c>
      <c r="T71" s="81" t="n">
        <v>0</v>
      </c>
      <c r="Y71" s="81" t="n">
        <v>3295</v>
      </c>
      <c r="AD71" s="81" t="n">
        <v>21</v>
      </c>
      <c r="AE71" s="81" t="n">
        <v>45</v>
      </c>
      <c r="AF71" s="81" t="n">
        <v>160</v>
      </c>
    </row>
    <row r="72">
      <c r="A72" s="72">
        <f>$D$22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INDEX($C$5:$C$9,MATCH(I72,$D$5:$D$9,0))</f>
        <v/>
      </c>
      <c r="E72" s="72">
        <f>INDEX($E$5:$E$9,MATCH(D72,$C$5:$C$9,0))</f>
        <v/>
      </c>
      <c r="F72" s="72">
        <f>INDEX($F$5:$F$9,MATCH(D72,$C$5:$C$9,0))</f>
        <v/>
      </c>
      <c r="G72" s="72">
        <f>INDEX($G$5:$G$9,MATCH(D72,$C$5:$C$9,0))</f>
        <v/>
      </c>
      <c r="H72" s="72" t="inlineStr">
        <is>
          <t>322</t>
        </is>
      </c>
      <c r="I72" s="72" t="inlineStr">
        <is>
          <t>15SDStu</t>
        </is>
      </c>
      <c r="J72" s="80" t="n">
        <v>612</v>
      </c>
      <c r="K72" s="72" t="inlineStr">
        <is>
          <t>ERIKA LENAR</t>
        </is>
      </c>
      <c r="L72" s="81" t="n">
        <v>2595</v>
      </c>
      <c r="M72" s="81">
        <f>Y72</f>
        <v/>
      </c>
      <c r="N72" s="82" t="n">
        <v>46076</v>
      </c>
      <c r="O72" s="82" t="n">
        <v>46076</v>
      </c>
      <c r="P72" s="82" t="n">
        <v>46173</v>
      </c>
      <c r="Q72" s="82" t="n">
        <v>46249</v>
      </c>
      <c r="R72" s="81">
        <f>SUM(AB72:AG72)</f>
        <v/>
      </c>
      <c r="S72" s="81">
        <f>AI72</f>
        <v/>
      </c>
      <c r="T72" s="81" t="n">
        <v>0</v>
      </c>
      <c r="Y72" s="81" t="n">
        <v>2495</v>
      </c>
      <c r="AC72" s="81" t="n">
        <v>75</v>
      </c>
      <c r="AD72" s="81" t="n">
        <v>21</v>
      </c>
      <c r="AE72" s="81" t="n">
        <v>45</v>
      </c>
      <c r="AG72" s="81" t="n">
        <v>500</v>
      </c>
    </row>
    <row r="73">
      <c r="A73" s="72">
        <f>$D$22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INDEX($C$5:$C$9,MATCH(I73,$D$5:$D$9,0))</f>
        <v/>
      </c>
      <c r="E73" s="72">
        <f>INDEX($E$5:$E$9,MATCH(D73,$C$5:$C$9,0))</f>
        <v/>
      </c>
      <c r="F73" s="72">
        <f>INDEX($F$5:$F$9,MATCH(D73,$C$5:$C$9,0))</f>
        <v/>
      </c>
      <c r="G73" s="72">
        <f>INDEX($G$5:$G$9,MATCH(D73,$C$5:$C$9,0))</f>
        <v/>
      </c>
      <c r="H73" s="72" t="inlineStr">
        <is>
          <t>323</t>
        </is>
      </c>
      <c r="I73" s="72" t="inlineStr">
        <is>
          <t>15SD2B2D</t>
        </is>
      </c>
      <c r="J73" s="80" t="n">
        <v>1162</v>
      </c>
      <c r="K73" s="72" t="inlineStr">
        <is>
          <t>JOSE CAMPUSANO</t>
        </is>
      </c>
      <c r="L73" s="81" t="n">
        <v>4125</v>
      </c>
      <c r="M73" s="81">
        <f>Y73</f>
        <v/>
      </c>
      <c r="N73" s="82" t="n">
        <v>45507</v>
      </c>
      <c r="O73" s="82" t="n">
        <v>45507</v>
      </c>
      <c r="P73" s="82" t="n">
        <v>45900</v>
      </c>
      <c r="R73" s="81">
        <f>SUM(AB73:AG73)</f>
        <v/>
      </c>
      <c r="S73" s="81">
        <f>AI73</f>
        <v/>
      </c>
      <c r="T73" s="81" t="n">
        <v>0</v>
      </c>
      <c r="Y73" s="81" t="n">
        <v>4295</v>
      </c>
      <c r="AD73" s="81" t="n">
        <v>21</v>
      </c>
      <c r="AF73" s="81" t="n">
        <v>95</v>
      </c>
      <c r="AI73" s="81" t="n">
        <v>-3516</v>
      </c>
    </row>
    <row r="74">
      <c r="A74" s="72">
        <f>$D$22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INDEX($C$5:$C$9,MATCH(I74,$D$5:$D$9,0))</f>
        <v/>
      </c>
      <c r="E74" s="72">
        <f>INDEX($E$5:$E$9,MATCH(D74,$C$5:$C$9,0))</f>
        <v/>
      </c>
      <c r="F74" s="72">
        <f>INDEX($F$5:$F$9,MATCH(D74,$C$5:$C$9,0))</f>
        <v/>
      </c>
      <c r="G74" s="72">
        <f>INDEX($G$5:$G$9,MATCH(D74,$C$5:$C$9,0))</f>
        <v/>
      </c>
      <c r="H74" s="72" t="inlineStr">
        <is>
          <t>324</t>
        </is>
      </c>
      <c r="I74" s="72" t="inlineStr">
        <is>
          <t>15SD2B2B</t>
        </is>
      </c>
      <c r="J74" s="80" t="n">
        <v>1187</v>
      </c>
      <c r="K74" s="72" t="inlineStr">
        <is>
          <t>ADIR HAKAKIAN</t>
        </is>
      </c>
      <c r="L74" s="81" t="n">
        <v>4095</v>
      </c>
      <c r="M74" s="81">
        <f>Y74</f>
        <v/>
      </c>
      <c r="N74" s="82" t="n">
        <v>46023</v>
      </c>
      <c r="O74" s="82" t="n">
        <v>46023</v>
      </c>
      <c r="P74" s="82" t="n">
        <v>46387</v>
      </c>
      <c r="R74" s="81">
        <f>SUM(AB74:AG74)</f>
        <v/>
      </c>
      <c r="S74" s="81">
        <f>AI74</f>
        <v/>
      </c>
      <c r="T74" s="81" t="n">
        <v>0</v>
      </c>
      <c r="Y74" s="81" t="n">
        <v>4095</v>
      </c>
      <c r="AC74" s="81" t="n">
        <v>75</v>
      </c>
      <c r="AD74" s="81" t="n">
        <v>21</v>
      </c>
      <c r="AE74" s="81" t="n">
        <v>45</v>
      </c>
      <c r="AF74" s="81" t="n">
        <v>95</v>
      </c>
      <c r="AI74" s="81" t="n">
        <v>-170</v>
      </c>
    </row>
    <row r="75">
      <c r="A75" s="72">
        <f>$D$22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INDEX($C$5:$C$9,MATCH(I75,$D$5:$D$9,0))</f>
        <v/>
      </c>
      <c r="E75" s="72">
        <f>INDEX($E$5:$E$9,MATCH(D75,$C$5:$C$9,0))</f>
        <v/>
      </c>
      <c r="F75" s="72">
        <f>INDEX($F$5:$F$9,MATCH(D75,$C$5:$C$9,0))</f>
        <v/>
      </c>
      <c r="G75" s="72">
        <f>INDEX($G$5:$G$9,MATCH(D75,$C$5:$C$9,0))</f>
        <v/>
      </c>
      <c r="H75" s="72" t="inlineStr">
        <is>
          <t>325</t>
        </is>
      </c>
      <c r="I75" s="72" t="inlineStr">
        <is>
          <t>15SD1B1D</t>
        </is>
      </c>
      <c r="J75" s="80" t="n">
        <v>817</v>
      </c>
      <c r="K75" s="72" t="inlineStr">
        <is>
          <t>PRISCILLA RUKAJ</t>
        </is>
      </c>
      <c r="L75" s="81" t="n">
        <v>3095</v>
      </c>
      <c r="M75" s="81">
        <f>Y75</f>
        <v/>
      </c>
      <c r="N75" s="82" t="n">
        <v>45142</v>
      </c>
      <c r="O75" s="82" t="n">
        <v>45142</v>
      </c>
      <c r="P75" s="82" t="n">
        <v>46234</v>
      </c>
      <c r="R75" s="81">
        <f>SUM(AB75:AG75)</f>
        <v/>
      </c>
      <c r="S75" s="81">
        <f>AI75</f>
        <v/>
      </c>
      <c r="T75" s="81" t="n">
        <v>0</v>
      </c>
      <c r="Y75" s="81" t="n">
        <v>3095</v>
      </c>
      <c r="AD75" s="81" t="n">
        <v>21</v>
      </c>
      <c r="AE75" s="81" t="n">
        <v>45</v>
      </c>
      <c r="AF75" s="81" t="n">
        <v>95</v>
      </c>
    </row>
    <row r="76">
      <c r="A76" s="72">
        <f>$D$22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INDEX($C$5:$C$9,MATCH(I76,$D$5:$D$9,0))</f>
        <v/>
      </c>
      <c r="E76" s="72">
        <f>INDEX($E$5:$E$9,MATCH(D76,$C$5:$C$9,0))</f>
        <v/>
      </c>
      <c r="F76" s="72">
        <f>INDEX($F$5:$F$9,MATCH(D76,$C$5:$C$9,0))</f>
        <v/>
      </c>
      <c r="G76" s="72">
        <f>INDEX($G$5:$G$9,MATCH(D76,$C$5:$C$9,0))</f>
        <v/>
      </c>
      <c r="H76" s="72" t="inlineStr">
        <is>
          <t>401</t>
        </is>
      </c>
      <c r="I76" s="72" t="inlineStr">
        <is>
          <t>15SD1B1B</t>
        </is>
      </c>
      <c r="J76" s="80" t="n">
        <v>702</v>
      </c>
      <c r="K76" s="72" t="inlineStr">
        <is>
          <t>CAROLYN LUGUYA</t>
        </is>
      </c>
      <c r="L76" s="81" t="n">
        <v>2900</v>
      </c>
      <c r="M76" s="81">
        <f>Y76</f>
        <v/>
      </c>
      <c r="N76" s="82" t="n">
        <v>45488</v>
      </c>
      <c r="O76" s="82" t="n">
        <v>45488</v>
      </c>
      <c r="P76" s="82" t="n">
        <v>46265</v>
      </c>
      <c r="R76" s="81">
        <f>SUM(AB76:AG76)</f>
        <v/>
      </c>
      <c r="S76" s="81">
        <f>AI76</f>
        <v/>
      </c>
      <c r="T76" s="81" t="n">
        <v>0</v>
      </c>
      <c r="Y76" s="81" t="n">
        <v>2995</v>
      </c>
      <c r="AD76" s="81" t="n">
        <v>21</v>
      </c>
      <c r="AE76" s="81" t="n">
        <v>45</v>
      </c>
      <c r="AF76" s="81" t="n">
        <v>95</v>
      </c>
    </row>
    <row r="77">
      <c r="A77" s="72">
        <f>$D$22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INDEX($C$5:$C$9,MATCH(I77,$D$5:$D$9,0))</f>
        <v/>
      </c>
      <c r="E77" s="72">
        <f>INDEX($E$5:$E$9,MATCH(D77,$C$5:$C$9,0))</f>
        <v/>
      </c>
      <c r="F77" s="72">
        <f>INDEX($F$5:$F$9,MATCH(D77,$C$5:$C$9,0))</f>
        <v/>
      </c>
      <c r="G77" s="72">
        <f>INDEX($G$5:$G$9,MATCH(D77,$C$5:$C$9,0))</f>
        <v/>
      </c>
      <c r="H77" s="72" t="inlineStr">
        <is>
          <t>402</t>
        </is>
      </c>
      <c r="I77" s="72" t="inlineStr">
        <is>
          <t>15SD1B1B</t>
        </is>
      </c>
      <c r="J77" s="80" t="n">
        <v>603</v>
      </c>
      <c r="K77" s="72" t="inlineStr">
        <is>
          <t>MALKA HALPERIN</t>
        </is>
      </c>
      <c r="L77" s="81" t="n">
        <v>2900</v>
      </c>
      <c r="M77" s="81">
        <f>Y77</f>
        <v/>
      </c>
      <c r="N77" s="82" t="n">
        <v>46104</v>
      </c>
      <c r="O77" s="82" t="n">
        <v>46104</v>
      </c>
      <c r="P77" s="82" t="n">
        <v>46300</v>
      </c>
      <c r="R77" s="81">
        <f>SUM(AB77:AG77)</f>
        <v/>
      </c>
      <c r="S77" s="81">
        <f>AI77</f>
        <v/>
      </c>
      <c r="T77" s="81" t="n">
        <v>0</v>
      </c>
      <c r="Y77" s="81" t="n">
        <v>2900</v>
      </c>
      <c r="AC77" s="81" t="n">
        <v>75</v>
      </c>
      <c r="AD77" s="81" t="n">
        <v>21</v>
      </c>
      <c r="AE77" s="81" t="n">
        <v>45</v>
      </c>
      <c r="AF77" s="81" t="n">
        <v>95</v>
      </c>
      <c r="AI77" s="81" t="n">
        <v>-223</v>
      </c>
    </row>
    <row r="78">
      <c r="A78" s="72">
        <f>$D$22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INDEX($C$5:$C$9,MATCH(I78,$D$5:$D$9,0))</f>
        <v/>
      </c>
      <c r="E78" s="72">
        <f>INDEX($E$5:$E$9,MATCH(D78,$C$5:$C$9,0))</f>
        <v/>
      </c>
      <c r="F78" s="72">
        <f>INDEX($F$5:$F$9,MATCH(D78,$C$5:$C$9,0))</f>
        <v/>
      </c>
      <c r="G78" s="72">
        <f>INDEX($G$5:$G$9,MATCH(D78,$C$5:$C$9,0))</f>
        <v/>
      </c>
      <c r="H78" s="72" t="inlineStr">
        <is>
          <t>403</t>
        </is>
      </c>
      <c r="I78" s="72" t="inlineStr">
        <is>
          <t>15SD2B2B</t>
        </is>
      </c>
      <c r="J78" s="80" t="n">
        <v>1245</v>
      </c>
      <c r="K78" s="72" t="inlineStr">
        <is>
          <t>MEITAL MARCIANO</t>
        </is>
      </c>
      <c r="L78" s="81" t="n">
        <v>4510</v>
      </c>
      <c r="M78" s="81">
        <f>Y78</f>
        <v/>
      </c>
      <c r="N78" s="82" t="n">
        <v>46188</v>
      </c>
      <c r="O78" s="82" t="n">
        <v>46188</v>
      </c>
      <c r="P78" s="82" t="n">
        <v>46582</v>
      </c>
      <c r="R78" s="81">
        <f>SUM(AB78:AG78)</f>
        <v/>
      </c>
      <c r="S78" s="81">
        <f>AI78</f>
        <v/>
      </c>
      <c r="T78" s="81" t="n">
        <v>0</v>
      </c>
      <c r="Y78" s="81" t="n">
        <v>4510</v>
      </c>
      <c r="AC78" s="81" t="n">
        <v>75</v>
      </c>
      <c r="AD78" s="81" t="n">
        <v>21</v>
      </c>
      <c r="AE78" s="81" t="n">
        <v>45</v>
      </c>
      <c r="AF78" s="81" t="n">
        <v>95</v>
      </c>
      <c r="AI78" s="81" t="n">
        <v>-75</v>
      </c>
    </row>
    <row r="79">
      <c r="A79" s="83">
        <f>$D$22</f>
        <v/>
      </c>
      <c r="B79" s="83">
        <f>B78+1</f>
        <v/>
      </c>
      <c r="C79" s="83">
        <f>IF(K79="Vacant","Vac",IF(K79="Model","Model",IF(K79="Admin","Admin",IF(K79="Down","Down",IF(K79="Super","Super","Occ")))))</f>
        <v/>
      </c>
      <c r="D79" s="83">
        <f>INDEX($C$5:$C$9,MATCH(I79,$D$5:$D$9,0))</f>
        <v/>
      </c>
      <c r="E79" s="83">
        <f>INDEX($E$5:$E$9,MATCH(D79,$C$5:$C$9,0))</f>
        <v/>
      </c>
      <c r="F79" s="83">
        <f>INDEX($F$5:$F$9,MATCH(D79,$C$5:$C$9,0))</f>
        <v/>
      </c>
      <c r="G79" s="83">
        <f>INDEX($G$5:$G$9,MATCH(D79,$C$5:$C$9,0))</f>
        <v/>
      </c>
      <c r="H79" s="83" t="inlineStr">
        <is>
          <t>404</t>
        </is>
      </c>
      <c r="I79" s="83" t="inlineStr">
        <is>
          <t>15SDStu</t>
        </is>
      </c>
      <c r="J79" s="84" t="n">
        <v>531</v>
      </c>
      <c r="K79" s="83" t="inlineStr">
        <is>
          <t>Vacant</t>
        </is>
      </c>
      <c r="L79" s="85" t="n">
        <v>2495</v>
      </c>
      <c r="M79" s="85">
        <f>Y79</f>
        <v/>
      </c>
      <c r="N79" s="86" t="n"/>
      <c r="O79" s="86" t="n"/>
      <c r="P79" s="86" t="n"/>
      <c r="Q79" s="86" t="n"/>
      <c r="R79" s="85">
        <f>SUM(AB79:AG79)</f>
        <v/>
      </c>
      <c r="S79" s="85">
        <f>AI79</f>
        <v/>
      </c>
      <c r="T79" s="85" t="n">
        <v>0</v>
      </c>
      <c r="U79" s="86" t="n"/>
      <c r="V79" s="86" t="n"/>
      <c r="W79" s="86" t="n"/>
      <c r="X79" s="86" t="n"/>
      <c r="Y79" s="85" t="n">
        <v>0</v>
      </c>
      <c r="Z79" s="86" t="n"/>
      <c r="AA79" s="86" t="n"/>
      <c r="AB79" s="86" t="n"/>
      <c r="AC79" s="86" t="n"/>
      <c r="AD79" s="86" t="n"/>
      <c r="AE79" s="86" t="n"/>
      <c r="AF79" s="86" t="n"/>
      <c r="AG79" s="86" t="n"/>
      <c r="AH79" s="86" t="n"/>
      <c r="AI79" s="86" t="n"/>
    </row>
    <row r="80">
      <c r="A80" s="72">
        <f>$D$22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INDEX($C$5:$C$9,MATCH(I80,$D$5:$D$9,0))</f>
        <v/>
      </c>
      <c r="E80" s="72">
        <f>INDEX($E$5:$E$9,MATCH(D80,$C$5:$C$9,0))</f>
        <v/>
      </c>
      <c r="F80" s="72">
        <f>INDEX($F$5:$F$9,MATCH(D80,$C$5:$C$9,0))</f>
        <v/>
      </c>
      <c r="G80" s="72">
        <f>INDEX($G$5:$G$9,MATCH(D80,$C$5:$C$9,0))</f>
        <v/>
      </c>
      <c r="H80" s="72" t="inlineStr">
        <is>
          <t>405</t>
        </is>
      </c>
      <c r="I80" s="72" t="inlineStr">
        <is>
          <t>15SD2B2B</t>
        </is>
      </c>
      <c r="J80" s="80" t="n">
        <v>1190</v>
      </c>
      <c r="K80" s="72" t="inlineStr">
        <is>
          <t>PAUL HOROWITZ</t>
        </is>
      </c>
      <c r="L80" s="81" t="n">
        <v>4195</v>
      </c>
      <c r="M80" s="81">
        <f>Y80</f>
        <v/>
      </c>
      <c r="N80" s="82" t="n">
        <v>46142</v>
      </c>
      <c r="O80" s="82" t="n">
        <v>46142</v>
      </c>
      <c r="P80" s="82" t="n">
        <v>46295</v>
      </c>
      <c r="R80" s="81">
        <f>SUM(AB80:AG80)</f>
        <v/>
      </c>
      <c r="S80" s="81">
        <f>AI80</f>
        <v/>
      </c>
      <c r="T80" s="81" t="n">
        <v>0</v>
      </c>
      <c r="Y80" s="81" t="n">
        <v>4195</v>
      </c>
      <c r="AC80" s="81" t="n">
        <v>75</v>
      </c>
      <c r="AD80" s="81" t="n">
        <v>21</v>
      </c>
      <c r="AE80" s="81" t="n">
        <v>45</v>
      </c>
      <c r="AF80" s="81" t="n">
        <v>95</v>
      </c>
    </row>
    <row r="81">
      <c r="A81" s="72">
        <f>$D$22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INDEX($C$5:$C$9,MATCH(I81,$D$5:$D$9,0))</f>
        <v/>
      </c>
      <c r="E81" s="72">
        <f>INDEX($E$5:$E$9,MATCH(D81,$C$5:$C$9,0))</f>
        <v/>
      </c>
      <c r="F81" s="72">
        <f>INDEX($F$5:$F$9,MATCH(D81,$C$5:$C$9,0))</f>
        <v/>
      </c>
      <c r="G81" s="72">
        <f>INDEX($G$5:$G$9,MATCH(D81,$C$5:$C$9,0))</f>
        <v/>
      </c>
      <c r="H81" s="72" t="inlineStr">
        <is>
          <t>406</t>
        </is>
      </c>
      <c r="I81" s="72" t="inlineStr">
        <is>
          <t>15SD2B2D</t>
        </is>
      </c>
      <c r="J81" s="80" t="n">
        <v>1158</v>
      </c>
      <c r="K81" s="72" t="inlineStr">
        <is>
          <t>DALIA SCHWALB</t>
        </is>
      </c>
      <c r="L81" s="81" t="n">
        <v>4150</v>
      </c>
      <c r="M81" s="81">
        <f>Y81</f>
        <v/>
      </c>
      <c r="N81" s="82" t="n">
        <v>45611</v>
      </c>
      <c r="O81" s="82" t="n">
        <v>45611</v>
      </c>
      <c r="P81" s="82" t="n">
        <v>46173</v>
      </c>
      <c r="R81" s="81">
        <f>SUM(AB81:AG81)</f>
        <v/>
      </c>
      <c r="S81" s="81">
        <f>AI81</f>
        <v/>
      </c>
      <c r="T81" s="81" t="n">
        <v>0</v>
      </c>
      <c r="Y81" s="81" t="n">
        <v>4245</v>
      </c>
      <c r="AD81" s="81" t="n">
        <v>21</v>
      </c>
      <c r="AE81" s="81" t="n">
        <v>45</v>
      </c>
      <c r="AG81" s="81" t="n">
        <v>500</v>
      </c>
    </row>
    <row r="82">
      <c r="A82" s="72">
        <f>$D$22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INDEX($C$5:$C$9,MATCH(I82,$D$5:$D$9,0))</f>
        <v/>
      </c>
      <c r="E82" s="72">
        <f>INDEX($E$5:$E$9,MATCH(D82,$C$5:$C$9,0))</f>
        <v/>
      </c>
      <c r="F82" s="72">
        <f>INDEX($F$5:$F$9,MATCH(D82,$C$5:$C$9,0))</f>
        <v/>
      </c>
      <c r="G82" s="72">
        <f>INDEX($G$5:$G$9,MATCH(D82,$C$5:$C$9,0))</f>
        <v/>
      </c>
      <c r="H82" s="72" t="inlineStr">
        <is>
          <t>407</t>
        </is>
      </c>
      <c r="I82" s="72" t="inlineStr">
        <is>
          <t>15SD2B2D</t>
        </is>
      </c>
      <c r="J82" s="80" t="n">
        <v>1172</v>
      </c>
      <c r="K82" s="72" t="inlineStr">
        <is>
          <t>SHERYL MALEK</t>
        </is>
      </c>
      <c r="L82" s="81" t="n">
        <v>4150</v>
      </c>
      <c r="M82" s="81">
        <f>Y82</f>
        <v/>
      </c>
      <c r="N82" s="82" t="n">
        <v>45170</v>
      </c>
      <c r="O82" s="82" t="n">
        <v>45170</v>
      </c>
      <c r="P82" s="82" t="n">
        <v>46295</v>
      </c>
      <c r="R82" s="81">
        <f>SUM(AB82:AG82)</f>
        <v/>
      </c>
      <c r="S82" s="81">
        <f>AI82</f>
        <v/>
      </c>
      <c r="T82" s="81" t="n">
        <v>0</v>
      </c>
      <c r="Y82" s="81" t="n">
        <v>4321</v>
      </c>
      <c r="AD82" s="81" t="n">
        <v>21</v>
      </c>
      <c r="AE82" s="81" t="n">
        <v>45</v>
      </c>
    </row>
    <row r="83">
      <c r="A83" s="83">
        <f>$D$22</f>
        <v/>
      </c>
      <c r="B83" s="83">
        <f>B82+1</f>
        <v/>
      </c>
      <c r="C83" s="83">
        <f>IF(K83="Vacant","Vac",IF(K83="Model","Model",IF(K83="Admin","Admin",IF(K83="Down","Down",IF(K83="Super","Super","Occ")))))</f>
        <v/>
      </c>
      <c r="D83" s="83">
        <f>INDEX($C$5:$C$9,MATCH(I83,$D$5:$D$9,0))</f>
        <v/>
      </c>
      <c r="E83" s="83">
        <f>INDEX($E$5:$E$9,MATCH(D83,$C$5:$C$9,0))</f>
        <v/>
      </c>
      <c r="F83" s="83">
        <f>INDEX($F$5:$F$9,MATCH(D83,$C$5:$C$9,0))</f>
        <v/>
      </c>
      <c r="G83" s="83">
        <f>INDEX($G$5:$G$9,MATCH(D83,$C$5:$C$9,0))</f>
        <v/>
      </c>
      <c r="H83" s="83" t="inlineStr">
        <is>
          <t>408</t>
        </is>
      </c>
      <c r="I83" s="83" t="inlineStr">
        <is>
          <t>15SD2B2B</t>
        </is>
      </c>
      <c r="J83" s="84" t="n">
        <v>1190</v>
      </c>
      <c r="K83" s="83" t="inlineStr">
        <is>
          <t>Vacant</t>
        </is>
      </c>
      <c r="L83" s="85" t="n">
        <v>3595</v>
      </c>
      <c r="M83" s="85">
        <f>Y83</f>
        <v/>
      </c>
      <c r="N83" s="86" t="n"/>
      <c r="O83" s="86" t="n"/>
      <c r="P83" s="86" t="n"/>
      <c r="Q83" s="86" t="n"/>
      <c r="R83" s="85">
        <f>SUM(AB83:AG83)</f>
        <v/>
      </c>
      <c r="S83" s="85">
        <f>AI83</f>
        <v/>
      </c>
      <c r="T83" s="85" t="n">
        <v>0</v>
      </c>
      <c r="U83" s="86" t="n"/>
      <c r="V83" s="86" t="n"/>
      <c r="W83" s="86" t="n"/>
      <c r="X83" s="86" t="n"/>
      <c r="Y83" s="85" t="n">
        <v>0</v>
      </c>
      <c r="Z83" s="86" t="n"/>
      <c r="AA83" s="86" t="n"/>
      <c r="AB83" s="86" t="n"/>
      <c r="AC83" s="86" t="n"/>
      <c r="AD83" s="86" t="n"/>
      <c r="AE83" s="86" t="n"/>
      <c r="AF83" s="86" t="n"/>
      <c r="AG83" s="86" t="n"/>
      <c r="AH83" s="86" t="n"/>
      <c r="AI83" s="86" t="n"/>
    </row>
    <row r="84">
      <c r="A84" s="83">
        <f>$D$22</f>
        <v/>
      </c>
      <c r="B84" s="83">
        <f>B83+1</f>
        <v/>
      </c>
      <c r="C84" s="83">
        <f>IF(K84="Vacant","Vac",IF(K84="Model","Model",IF(K84="Admin","Admin",IF(K84="Down","Down",IF(K84="Super","Super","Occ")))))</f>
        <v/>
      </c>
      <c r="D84" s="83">
        <f>INDEX($C$5:$C$9,MATCH(I84,$D$5:$D$9,0))</f>
        <v/>
      </c>
      <c r="E84" s="83">
        <f>INDEX($E$5:$E$9,MATCH(D84,$C$5:$C$9,0))</f>
        <v/>
      </c>
      <c r="F84" s="83">
        <f>INDEX($F$5:$F$9,MATCH(D84,$C$5:$C$9,0))</f>
        <v/>
      </c>
      <c r="G84" s="83">
        <f>INDEX($G$5:$G$9,MATCH(D84,$C$5:$C$9,0))</f>
        <v/>
      </c>
      <c r="H84" s="83" t="inlineStr">
        <is>
          <t>409</t>
        </is>
      </c>
      <c r="I84" s="83" t="inlineStr">
        <is>
          <t>15SD2B2B</t>
        </is>
      </c>
      <c r="J84" s="84" t="n">
        <v>1061</v>
      </c>
      <c r="K84" s="83" t="inlineStr">
        <is>
          <t>Vacant</t>
        </is>
      </c>
      <c r="L84" s="85" t="n">
        <v>3595</v>
      </c>
      <c r="M84" s="85">
        <f>Y84</f>
        <v/>
      </c>
      <c r="N84" s="86" t="n"/>
      <c r="O84" s="86" t="n"/>
      <c r="P84" s="86" t="n"/>
      <c r="Q84" s="86" t="n"/>
      <c r="R84" s="85">
        <f>SUM(AB84:AG84)</f>
        <v/>
      </c>
      <c r="S84" s="85">
        <f>AI84</f>
        <v/>
      </c>
      <c r="T84" s="85" t="n">
        <v>0</v>
      </c>
      <c r="U84" s="86" t="n"/>
      <c r="V84" s="86" t="n"/>
      <c r="W84" s="86" t="n"/>
      <c r="X84" s="86" t="n"/>
      <c r="Y84" s="85" t="n">
        <v>0</v>
      </c>
      <c r="Z84" s="86" t="n"/>
      <c r="AA84" s="86" t="n"/>
      <c r="AB84" s="86" t="n"/>
      <c r="AC84" s="86" t="n"/>
      <c r="AD84" s="86" t="n"/>
      <c r="AE84" s="86" t="n"/>
      <c r="AF84" s="86" t="n"/>
      <c r="AG84" s="86" t="n"/>
      <c r="AH84" s="86" t="n"/>
      <c r="AI84" s="86" t="n"/>
    </row>
    <row r="85">
      <c r="A85" s="72">
        <f>$D$22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INDEX($C$5:$C$9,MATCH(I85,$D$5:$D$9,0))</f>
        <v/>
      </c>
      <c r="E85" s="72">
        <f>INDEX($E$5:$E$9,MATCH(D85,$C$5:$C$9,0))</f>
        <v/>
      </c>
      <c r="F85" s="72">
        <f>INDEX($F$5:$F$9,MATCH(D85,$C$5:$C$9,0))</f>
        <v/>
      </c>
      <c r="G85" s="72">
        <f>INDEX($G$5:$G$9,MATCH(D85,$C$5:$C$9,0))</f>
        <v/>
      </c>
      <c r="H85" s="72" t="inlineStr">
        <is>
          <t>410</t>
        </is>
      </c>
      <c r="I85" s="72" t="inlineStr">
        <is>
          <t>15SD2B2B</t>
        </is>
      </c>
      <c r="J85" s="80" t="n">
        <v>1057</v>
      </c>
      <c r="K85" s="72" t="inlineStr">
        <is>
          <t>ARTUR DEDJA</t>
        </is>
      </c>
      <c r="L85" s="81" t="n">
        <v>3650</v>
      </c>
      <c r="M85" s="81">
        <f>Y85</f>
        <v/>
      </c>
      <c r="N85" s="82" t="n">
        <v>45884</v>
      </c>
      <c r="O85" s="82" t="n">
        <v>45884</v>
      </c>
      <c r="P85" s="82" t="n">
        <v>46248</v>
      </c>
      <c r="R85" s="81">
        <f>SUM(AB85:AG85)</f>
        <v/>
      </c>
      <c r="S85" s="81">
        <f>AI85</f>
        <v/>
      </c>
      <c r="T85" s="81" t="n">
        <v>0</v>
      </c>
      <c r="Y85" s="81" t="n">
        <v>3760</v>
      </c>
      <c r="AC85" s="81" t="n">
        <v>75</v>
      </c>
      <c r="AD85" s="81" t="n">
        <v>21</v>
      </c>
      <c r="AE85" s="81" t="n">
        <v>45</v>
      </c>
      <c r="AF85" s="81" t="n">
        <v>95</v>
      </c>
    </row>
    <row r="86">
      <c r="A86" s="72">
        <f>$D$22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INDEX($C$5:$C$9,MATCH(I86,$D$5:$D$9,0))</f>
        <v/>
      </c>
      <c r="E86" s="72">
        <f>INDEX($E$5:$E$9,MATCH(D86,$C$5:$C$9,0))</f>
        <v/>
      </c>
      <c r="F86" s="72">
        <f>INDEX($F$5:$F$9,MATCH(D86,$C$5:$C$9,0))</f>
        <v/>
      </c>
      <c r="G86" s="72">
        <f>INDEX($G$5:$G$9,MATCH(D86,$C$5:$C$9,0))</f>
        <v/>
      </c>
      <c r="H86" s="72" t="inlineStr">
        <is>
          <t>411</t>
        </is>
      </c>
      <c r="I86" s="72" t="inlineStr">
        <is>
          <t>15SD2B2B</t>
        </is>
      </c>
      <c r="J86" s="80" t="n">
        <v>1188</v>
      </c>
      <c r="K86" s="72" t="inlineStr">
        <is>
          <t>BENJAMIN SCHLESINGER</t>
        </is>
      </c>
      <c r="L86" s="81" t="n">
        <v>4050</v>
      </c>
      <c r="M86" s="81">
        <f>Y86</f>
        <v/>
      </c>
      <c r="N86" s="82" t="n">
        <v>45261</v>
      </c>
      <c r="O86" s="82" t="n">
        <v>45261</v>
      </c>
      <c r="P86" s="82" t="n">
        <v>46568</v>
      </c>
      <c r="R86" s="81">
        <f>SUM(AB86:AG86)</f>
        <v/>
      </c>
      <c r="S86" s="81">
        <f>AI86</f>
        <v/>
      </c>
      <c r="T86" s="81" t="n">
        <v>0</v>
      </c>
      <c r="Y86" s="81" t="n">
        <v>4195</v>
      </c>
      <c r="AC86" s="81" t="n">
        <v>295</v>
      </c>
      <c r="AD86" s="81" t="n">
        <v>21</v>
      </c>
      <c r="AE86" s="81" t="n">
        <v>45</v>
      </c>
      <c r="AF86" s="81" t="n">
        <v>95</v>
      </c>
      <c r="AI86" s="81" t="n">
        <v>-2392.5</v>
      </c>
    </row>
    <row r="87">
      <c r="A87" s="72">
        <f>$D$22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INDEX($C$5:$C$9,MATCH(I87,$D$5:$D$9,0))</f>
        <v/>
      </c>
      <c r="E87" s="72">
        <f>INDEX($E$5:$E$9,MATCH(D87,$C$5:$C$9,0))</f>
        <v/>
      </c>
      <c r="F87" s="72">
        <f>INDEX($F$5:$F$9,MATCH(D87,$C$5:$C$9,0))</f>
        <v/>
      </c>
      <c r="G87" s="72">
        <f>INDEX($G$5:$G$9,MATCH(D87,$C$5:$C$9,0))</f>
        <v/>
      </c>
      <c r="H87" s="72" t="inlineStr">
        <is>
          <t>412</t>
        </is>
      </c>
      <c r="I87" s="72" t="inlineStr">
        <is>
          <t>15SD2B2D</t>
        </is>
      </c>
      <c r="J87" s="80" t="n">
        <v>1164</v>
      </c>
      <c r="K87" s="72" t="inlineStr">
        <is>
          <t>PAOLA AMADOR</t>
        </is>
      </c>
      <c r="L87" s="81" t="n">
        <v>4150</v>
      </c>
      <c r="M87" s="81">
        <f>Y87</f>
        <v/>
      </c>
      <c r="N87" s="82" t="n">
        <v>45884</v>
      </c>
      <c r="O87" s="82" t="n">
        <v>45884</v>
      </c>
      <c r="P87" s="82" t="n">
        <v>46265</v>
      </c>
      <c r="R87" s="81">
        <f>SUM(AB87:AG87)</f>
        <v/>
      </c>
      <c r="S87" s="81">
        <f>AI87</f>
        <v/>
      </c>
      <c r="T87" s="81" t="n">
        <v>0</v>
      </c>
      <c r="Y87" s="81" t="n">
        <v>3940</v>
      </c>
      <c r="AC87" s="81" t="n">
        <v>75</v>
      </c>
      <c r="AD87" s="81" t="n">
        <v>21</v>
      </c>
      <c r="AE87" s="81" t="n">
        <v>45</v>
      </c>
      <c r="AF87" s="81" t="n">
        <v>95</v>
      </c>
    </row>
    <row r="88">
      <c r="A88" s="72">
        <f>$D$22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INDEX($C$5:$C$9,MATCH(I88,$D$5:$D$9,0))</f>
        <v/>
      </c>
      <c r="E88" s="72">
        <f>INDEX($E$5:$E$9,MATCH(D88,$C$5:$C$9,0))</f>
        <v/>
      </c>
      <c r="F88" s="72">
        <f>INDEX($F$5:$F$9,MATCH(D88,$C$5:$C$9,0))</f>
        <v/>
      </c>
      <c r="G88" s="72">
        <f>INDEX($G$5:$G$9,MATCH(D88,$C$5:$C$9,0))</f>
        <v/>
      </c>
      <c r="H88" s="72" t="inlineStr">
        <is>
          <t>413</t>
        </is>
      </c>
      <c r="I88" s="72" t="inlineStr">
        <is>
          <t>15SD2B2D</t>
        </is>
      </c>
      <c r="J88" s="80" t="n">
        <v>1164</v>
      </c>
      <c r="K88" s="72" t="inlineStr">
        <is>
          <t>PRAKASH RAVINDRAN</t>
        </is>
      </c>
      <c r="L88" s="81" t="n">
        <v>4150</v>
      </c>
      <c r="M88" s="81">
        <f>Y88</f>
        <v/>
      </c>
      <c r="N88" s="82" t="n">
        <v>46060</v>
      </c>
      <c r="O88" s="82" t="n">
        <v>46060</v>
      </c>
      <c r="P88" s="82" t="n">
        <v>46477</v>
      </c>
      <c r="R88" s="81">
        <f>SUM(AB88:AG88)</f>
        <v/>
      </c>
      <c r="S88" s="81">
        <f>AI88</f>
        <v/>
      </c>
      <c r="T88" s="81" t="n">
        <v>0</v>
      </c>
      <c r="Y88" s="81" t="n">
        <v>4200</v>
      </c>
      <c r="AC88" s="81" t="n">
        <v>75</v>
      </c>
      <c r="AD88" s="81" t="n">
        <v>21</v>
      </c>
      <c r="AE88" s="81" t="n">
        <v>45</v>
      </c>
      <c r="AF88" s="81" t="n">
        <v>95</v>
      </c>
      <c r="AI88" s="81" t="n">
        <v>-170</v>
      </c>
    </row>
    <row r="89">
      <c r="A89" s="72">
        <f>$D$22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INDEX($C$5:$C$9,MATCH(I89,$D$5:$D$9,0))</f>
        <v/>
      </c>
      <c r="E89" s="72">
        <f>INDEX($E$5:$E$9,MATCH(D89,$C$5:$C$9,0))</f>
        <v/>
      </c>
      <c r="F89" s="72">
        <f>INDEX($F$5:$F$9,MATCH(D89,$C$5:$C$9,0))</f>
        <v/>
      </c>
      <c r="G89" s="72">
        <f>INDEX($G$5:$G$9,MATCH(D89,$C$5:$C$9,0))</f>
        <v/>
      </c>
      <c r="H89" s="72" t="inlineStr">
        <is>
          <t>414</t>
        </is>
      </c>
      <c r="I89" s="72" t="inlineStr">
        <is>
          <t>15SD2B2B</t>
        </is>
      </c>
      <c r="J89" s="80" t="n">
        <v>1192</v>
      </c>
      <c r="K89" s="72" t="inlineStr">
        <is>
          <t>YOSEF ANGSTER</t>
        </is>
      </c>
      <c r="L89" s="81" t="n">
        <v>4150</v>
      </c>
      <c r="M89" s="81">
        <f>Y89</f>
        <v/>
      </c>
      <c r="N89" s="82" t="n">
        <v>46082</v>
      </c>
      <c r="O89" s="82" t="n">
        <v>46082</v>
      </c>
      <c r="P89" s="82" t="n">
        <v>46356</v>
      </c>
      <c r="R89" s="81">
        <f>SUM(AB89:AG89)</f>
        <v/>
      </c>
      <c r="S89" s="81">
        <f>AI89</f>
        <v/>
      </c>
      <c r="T89" s="81" t="n">
        <v>0</v>
      </c>
      <c r="Y89" s="81" t="n">
        <v>3895</v>
      </c>
      <c r="AC89" s="81" t="n">
        <v>25</v>
      </c>
      <c r="AD89" s="81" t="n">
        <v>21</v>
      </c>
      <c r="AE89" s="81" t="n">
        <v>45</v>
      </c>
      <c r="AF89" s="81" t="n">
        <v>190</v>
      </c>
    </row>
    <row r="90">
      <c r="A90" s="72">
        <f>$D$22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INDEX($C$5:$C$9,MATCH(I90,$D$5:$D$9,0))</f>
        <v/>
      </c>
      <c r="E90" s="72">
        <f>INDEX($E$5:$E$9,MATCH(D90,$C$5:$C$9,0))</f>
        <v/>
      </c>
      <c r="F90" s="72">
        <f>INDEX($F$5:$F$9,MATCH(D90,$C$5:$C$9,0))</f>
        <v/>
      </c>
      <c r="G90" s="72">
        <f>INDEX($G$5:$G$9,MATCH(D90,$C$5:$C$9,0))</f>
        <v/>
      </c>
      <c r="H90" s="72" t="inlineStr">
        <is>
          <t>415</t>
        </is>
      </c>
      <c r="I90" s="72" t="inlineStr">
        <is>
          <t>15SD2B2B</t>
        </is>
      </c>
      <c r="J90" s="80" t="n">
        <v>1114</v>
      </c>
      <c r="K90" s="72" t="inlineStr">
        <is>
          <t>SHMUEL CINER</t>
        </is>
      </c>
      <c r="L90" s="81" t="n">
        <v>4250</v>
      </c>
      <c r="M90" s="81">
        <f>Y90</f>
        <v/>
      </c>
      <c r="N90" s="82" t="n">
        <v>45444</v>
      </c>
      <c r="O90" s="82" t="n">
        <v>45444</v>
      </c>
      <c r="P90" s="82" t="n">
        <v>46234</v>
      </c>
      <c r="R90" s="81">
        <f>SUM(AB90:AG90)</f>
        <v/>
      </c>
      <c r="S90" s="81">
        <f>AI90</f>
        <v/>
      </c>
      <c r="T90" s="81" t="n">
        <v>0</v>
      </c>
      <c r="Y90" s="81" t="n">
        <v>4295</v>
      </c>
      <c r="AD90" s="81" t="n">
        <v>21</v>
      </c>
      <c r="AE90" s="81" t="n">
        <v>45</v>
      </c>
      <c r="AF90" s="81" t="n">
        <v>95</v>
      </c>
    </row>
    <row r="91">
      <c r="A91" s="72">
        <f>$D$22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INDEX($C$5:$C$9,MATCH(I91,$D$5:$D$9,0))</f>
        <v/>
      </c>
      <c r="E91" s="72">
        <f>INDEX($E$5:$E$9,MATCH(D91,$C$5:$C$9,0))</f>
        <v/>
      </c>
      <c r="F91" s="72">
        <f>INDEX($F$5:$F$9,MATCH(D91,$C$5:$C$9,0))</f>
        <v/>
      </c>
      <c r="G91" s="72">
        <f>INDEX($G$5:$G$9,MATCH(D91,$C$5:$C$9,0))</f>
        <v/>
      </c>
      <c r="H91" s="72" t="inlineStr">
        <is>
          <t>416</t>
        </is>
      </c>
      <c r="I91" s="72" t="inlineStr">
        <is>
          <t>15SD1B1B</t>
        </is>
      </c>
      <c r="J91" s="80" t="n">
        <v>732</v>
      </c>
      <c r="K91" s="72" t="inlineStr">
        <is>
          <t>BRIAN MERO</t>
        </is>
      </c>
      <c r="L91" s="81" t="n">
        <v>2975</v>
      </c>
      <c r="M91" s="81">
        <f>Y91</f>
        <v/>
      </c>
      <c r="N91" s="82" t="n">
        <v>45134</v>
      </c>
      <c r="O91" s="82" t="n">
        <v>45134</v>
      </c>
      <c r="P91" s="82" t="n">
        <v>46265</v>
      </c>
      <c r="R91" s="81">
        <f>SUM(AB91:AG91)</f>
        <v/>
      </c>
      <c r="S91" s="81">
        <f>AI91</f>
        <v/>
      </c>
      <c r="T91" s="81" t="n">
        <v>0</v>
      </c>
      <c r="Y91" s="81" t="n">
        <v>3064</v>
      </c>
      <c r="AD91" s="81" t="n">
        <v>21</v>
      </c>
      <c r="AE91" s="81" t="n">
        <v>45</v>
      </c>
      <c r="AF91" s="81" t="n">
        <v>95</v>
      </c>
    </row>
    <row r="92">
      <c r="A92" s="72">
        <f>$D$22</f>
        <v/>
      </c>
      <c r="B92" s="72">
        <f>B91+1</f>
        <v/>
      </c>
      <c r="C92" s="72">
        <f>IF(K92="Vacant","Vac",IF(K92="Model","Model",IF(K92="Admin","Admin",IF(K92="Down","Down",IF(K92="Super","Super","Occ")))))</f>
        <v/>
      </c>
      <c r="D92" s="72">
        <f>INDEX($C$5:$C$9,MATCH(I92,$D$5:$D$9,0))</f>
        <v/>
      </c>
      <c r="E92" s="72">
        <f>INDEX($E$5:$E$9,MATCH(D92,$C$5:$C$9,0))</f>
        <v/>
      </c>
      <c r="F92" s="72">
        <f>INDEX($F$5:$F$9,MATCH(D92,$C$5:$C$9,0))</f>
        <v/>
      </c>
      <c r="G92" s="72">
        <f>INDEX($G$5:$G$9,MATCH(D92,$C$5:$C$9,0))</f>
        <v/>
      </c>
      <c r="H92" s="72" t="inlineStr">
        <is>
          <t>417</t>
        </is>
      </c>
      <c r="I92" s="72" t="inlineStr">
        <is>
          <t>15SD1B1B</t>
        </is>
      </c>
      <c r="J92" s="80" t="n">
        <v>853</v>
      </c>
      <c r="K92" s="72" t="inlineStr">
        <is>
          <t>DAVID PAUL</t>
        </is>
      </c>
      <c r="L92" s="81" t="n">
        <v>3295</v>
      </c>
      <c r="M92" s="81">
        <f>Y92</f>
        <v/>
      </c>
      <c r="N92" s="82" t="n">
        <v>45108</v>
      </c>
      <c r="O92" s="82" t="n">
        <v>45108</v>
      </c>
      <c r="P92" s="82" t="n">
        <v>46234</v>
      </c>
      <c r="R92" s="81">
        <f>SUM(AB92:AG92)</f>
        <v/>
      </c>
      <c r="S92" s="81">
        <f>AI92</f>
        <v/>
      </c>
      <c r="T92" s="81" t="n">
        <v>0</v>
      </c>
      <c r="Y92" s="81" t="n">
        <v>3600</v>
      </c>
      <c r="AD92" s="81" t="n">
        <v>21</v>
      </c>
      <c r="AE92" s="81" t="n">
        <v>45</v>
      </c>
      <c r="AF92" s="81" t="n">
        <v>160</v>
      </c>
    </row>
    <row r="93">
      <c r="A93" s="72">
        <f>$D$22</f>
        <v/>
      </c>
      <c r="B93" s="72">
        <f>B92+1</f>
        <v/>
      </c>
      <c r="C93" s="72">
        <f>IF(K93="Vacant","Vac",IF(K93="Model","Model",IF(K93="Admin","Admin",IF(K93="Down","Down",IF(K93="Super","Super","Occ")))))</f>
        <v/>
      </c>
      <c r="D93" s="72">
        <f>INDEX($C$5:$C$9,MATCH(I93,$D$5:$D$9,0))</f>
        <v/>
      </c>
      <c r="E93" s="72">
        <f>INDEX($E$5:$E$9,MATCH(D93,$C$5:$C$9,0))</f>
        <v/>
      </c>
      <c r="F93" s="72">
        <f>INDEX($F$5:$F$9,MATCH(D93,$C$5:$C$9,0))</f>
        <v/>
      </c>
      <c r="G93" s="72">
        <f>INDEX($G$5:$G$9,MATCH(D93,$C$5:$C$9,0))</f>
        <v/>
      </c>
      <c r="H93" s="72" t="inlineStr">
        <is>
          <t>418</t>
        </is>
      </c>
      <c r="I93" s="72" t="inlineStr">
        <is>
          <t>15SD1B1B</t>
        </is>
      </c>
      <c r="J93" s="80" t="n">
        <v>756</v>
      </c>
      <c r="K93" s="72" t="inlineStr">
        <is>
          <t>MARIAM VARDANYAN</t>
        </is>
      </c>
      <c r="L93" s="81" t="n">
        <v>2725</v>
      </c>
      <c r="M93" s="81">
        <f>Y93</f>
        <v/>
      </c>
      <c r="N93" s="82" t="n">
        <v>46023</v>
      </c>
      <c r="O93" s="82" t="n">
        <v>46023</v>
      </c>
      <c r="P93" s="82" t="n">
        <v>46418</v>
      </c>
      <c r="R93" s="81">
        <f>SUM(AB93:AG93)</f>
        <v/>
      </c>
      <c r="S93" s="81">
        <f>AI93</f>
        <v/>
      </c>
      <c r="T93" s="81" t="n">
        <v>0</v>
      </c>
      <c r="Y93" s="81" t="n">
        <v>3085</v>
      </c>
      <c r="AC93" s="81" t="n">
        <v>75</v>
      </c>
      <c r="AD93" s="81" t="n">
        <v>21</v>
      </c>
      <c r="AE93" s="81" t="n">
        <v>45</v>
      </c>
      <c r="AF93" s="81" t="n">
        <v>160</v>
      </c>
      <c r="AI93" s="81" t="n">
        <v>-155</v>
      </c>
    </row>
    <row r="94">
      <c r="A94" s="72">
        <f>$D$22</f>
        <v/>
      </c>
      <c r="B94" s="72">
        <f>B93+1</f>
        <v/>
      </c>
      <c r="C94" s="72">
        <f>IF(K94="Vacant","Vac",IF(K94="Model","Model",IF(K94="Admin","Admin",IF(K94="Down","Down",IF(K94="Super","Super","Occ")))))</f>
        <v/>
      </c>
      <c r="D94" s="72">
        <f>INDEX($C$5:$C$9,MATCH(I94,$D$5:$D$9,0))</f>
        <v/>
      </c>
      <c r="E94" s="72">
        <f>INDEX($E$5:$E$9,MATCH(D94,$C$5:$C$9,0))</f>
        <v/>
      </c>
      <c r="F94" s="72">
        <f>INDEX($F$5:$F$9,MATCH(D94,$C$5:$C$9,0))</f>
        <v/>
      </c>
      <c r="G94" s="72">
        <f>INDEX($G$5:$G$9,MATCH(D94,$C$5:$C$9,0))</f>
        <v/>
      </c>
      <c r="H94" s="72" t="inlineStr">
        <is>
          <t>419</t>
        </is>
      </c>
      <c r="I94" s="72" t="inlineStr">
        <is>
          <t>15SD2B2D</t>
        </is>
      </c>
      <c r="J94" s="80" t="n">
        <v>1164</v>
      </c>
      <c r="K94" s="72" t="inlineStr">
        <is>
          <t>MICHELLE STERN</t>
        </is>
      </c>
      <c r="L94" s="81" t="n">
        <v>4195</v>
      </c>
      <c r="M94" s="81">
        <f>Y94</f>
        <v/>
      </c>
      <c r="N94" s="82" t="n">
        <v>45444</v>
      </c>
      <c r="O94" s="82" t="n">
        <v>45444</v>
      </c>
      <c r="P94" s="82" t="n">
        <v>46265</v>
      </c>
      <c r="R94" s="81">
        <f>SUM(AB94:AG94)</f>
        <v/>
      </c>
      <c r="S94" s="81">
        <f>AI94</f>
        <v/>
      </c>
      <c r="T94" s="81" t="n">
        <v>0</v>
      </c>
      <c r="Y94" s="81" t="n">
        <v>4295</v>
      </c>
      <c r="AD94" s="81" t="n">
        <v>21</v>
      </c>
      <c r="AE94" s="81" t="n">
        <v>45</v>
      </c>
      <c r="AF94" s="81" t="n">
        <v>95</v>
      </c>
    </row>
    <row r="95">
      <c r="A95" s="72">
        <f>$D$22</f>
        <v/>
      </c>
      <c r="B95" s="72">
        <f>B94+1</f>
        <v/>
      </c>
      <c r="C95" s="72">
        <f>IF(K95="Vacant","Vac",IF(K95="Model","Model",IF(K95="Admin","Admin",IF(K95="Down","Down",IF(K95="Super","Super","Occ")))))</f>
        <v/>
      </c>
      <c r="D95" s="72">
        <f>INDEX($C$5:$C$9,MATCH(I95,$D$5:$D$9,0))</f>
        <v/>
      </c>
      <c r="E95" s="72">
        <f>INDEX($E$5:$E$9,MATCH(D95,$C$5:$C$9,0))</f>
        <v/>
      </c>
      <c r="F95" s="72">
        <f>INDEX($F$5:$F$9,MATCH(D95,$C$5:$C$9,0))</f>
        <v/>
      </c>
      <c r="G95" s="72">
        <f>INDEX($G$5:$G$9,MATCH(D95,$C$5:$C$9,0))</f>
        <v/>
      </c>
      <c r="H95" s="72" t="inlineStr">
        <is>
          <t>420</t>
        </is>
      </c>
      <c r="I95" s="72" t="inlineStr">
        <is>
          <t>15SD2B2B</t>
        </is>
      </c>
      <c r="J95" s="80" t="n">
        <v>1187</v>
      </c>
      <c r="K95" s="72" t="inlineStr">
        <is>
          <t>DAKOTA KING</t>
        </is>
      </c>
      <c r="L95" s="81" t="n">
        <v>4195</v>
      </c>
      <c r="M95" s="81">
        <f>Y95</f>
        <v/>
      </c>
      <c r="N95" s="82" t="n">
        <v>46160</v>
      </c>
      <c r="O95" s="82" t="n">
        <v>46160</v>
      </c>
      <c r="P95" s="82" t="n">
        <v>46538</v>
      </c>
      <c r="R95" s="81">
        <f>SUM(AB95:AG95)</f>
        <v/>
      </c>
      <c r="S95" s="81">
        <f>AI95</f>
        <v/>
      </c>
      <c r="T95" s="81" t="n">
        <v>0</v>
      </c>
      <c r="Y95" s="81" t="n">
        <v>4195</v>
      </c>
      <c r="AB95" s="81" t="n">
        <v>50</v>
      </c>
      <c r="AC95" s="81" t="n">
        <v>75</v>
      </c>
      <c r="AD95" s="81" t="n">
        <v>21</v>
      </c>
      <c r="AE95" s="81" t="n">
        <v>45</v>
      </c>
      <c r="AF95" s="81" t="n">
        <v>190</v>
      </c>
      <c r="AI95" s="81" t="n">
        <v>-75</v>
      </c>
    </row>
    <row r="96">
      <c r="A96" s="72">
        <f>$D$22</f>
        <v/>
      </c>
      <c r="B96" s="72">
        <f>B95+1</f>
        <v/>
      </c>
      <c r="C96" s="72">
        <f>IF(K96="Vacant","Vac",IF(K96="Model","Model",IF(K96="Admin","Admin",IF(K96="Down","Down",IF(K96="Super","Super","Occ")))))</f>
        <v/>
      </c>
      <c r="D96" s="72">
        <f>INDEX($C$5:$C$9,MATCH(I96,$D$5:$D$9,0))</f>
        <v/>
      </c>
      <c r="E96" s="72">
        <f>INDEX($E$5:$E$9,MATCH(D96,$C$5:$C$9,0))</f>
        <v/>
      </c>
      <c r="F96" s="72">
        <f>INDEX($F$5:$F$9,MATCH(D96,$C$5:$C$9,0))</f>
        <v/>
      </c>
      <c r="G96" s="72">
        <f>INDEX($G$5:$G$9,MATCH(D96,$C$5:$C$9,0))</f>
        <v/>
      </c>
      <c r="H96" s="72" t="inlineStr">
        <is>
          <t>421</t>
        </is>
      </c>
      <c r="I96" s="72" t="inlineStr">
        <is>
          <t>15SD1B1D</t>
        </is>
      </c>
      <c r="J96" s="80" t="n">
        <v>768</v>
      </c>
      <c r="K96" s="72" t="inlineStr">
        <is>
          <t>SEAN CLAGGETT</t>
        </is>
      </c>
      <c r="L96" s="81" t="n">
        <v>3025</v>
      </c>
      <c r="M96" s="81">
        <f>Y96</f>
        <v/>
      </c>
      <c r="N96" s="82" t="n">
        <v>45631</v>
      </c>
      <c r="O96" s="82" t="n">
        <v>45631</v>
      </c>
      <c r="P96" s="82" t="n">
        <v>46387</v>
      </c>
      <c r="R96" s="81">
        <f>SUM(AB96:AG96)</f>
        <v/>
      </c>
      <c r="S96" s="81">
        <f>AI96</f>
        <v/>
      </c>
      <c r="T96" s="81" t="n">
        <v>0</v>
      </c>
      <c r="Y96" s="81" t="n">
        <v>3095</v>
      </c>
      <c r="AC96" s="81" t="n">
        <v>147.5</v>
      </c>
      <c r="AD96" s="81" t="n">
        <v>21</v>
      </c>
      <c r="AE96" s="81" t="n">
        <v>45</v>
      </c>
      <c r="AF96" s="81" t="n">
        <v>160</v>
      </c>
    </row>
    <row r="97">
      <c r="A97" s="72">
        <f>$D$22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INDEX($C$5:$C$9,MATCH(I97,$D$5:$D$9,0))</f>
        <v/>
      </c>
      <c r="E97" s="72">
        <f>INDEX($E$5:$E$9,MATCH(D97,$C$5:$C$9,0))</f>
        <v/>
      </c>
      <c r="F97" s="72">
        <f>INDEX($F$5:$F$9,MATCH(D97,$C$5:$C$9,0))</f>
        <v/>
      </c>
      <c r="G97" s="72">
        <f>INDEX($G$5:$G$9,MATCH(D97,$C$5:$C$9,0))</f>
        <v/>
      </c>
      <c r="H97" s="72" t="inlineStr">
        <is>
          <t>422</t>
        </is>
      </c>
      <c r="I97" s="72" t="inlineStr">
        <is>
          <t>15SD2B2B</t>
        </is>
      </c>
      <c r="J97" s="80" t="n">
        <v>1016</v>
      </c>
      <c r="K97" s="72" t="inlineStr">
        <is>
          <t>SAUL SPITZ</t>
        </is>
      </c>
      <c r="L97" s="81" t="n">
        <v>3895</v>
      </c>
      <c r="M97" s="81">
        <f>Y97</f>
        <v/>
      </c>
      <c r="N97" s="82" t="n">
        <v>45061</v>
      </c>
      <c r="O97" s="82" t="n">
        <v>45061</v>
      </c>
      <c r="P97" s="82" t="n">
        <v>46568</v>
      </c>
      <c r="R97" s="81">
        <f>SUM(AB97:AG97)</f>
        <v/>
      </c>
      <c r="S97" s="81">
        <f>AI97</f>
        <v/>
      </c>
      <c r="T97" s="81" t="n">
        <v>0</v>
      </c>
      <c r="Y97" s="81" t="n">
        <v>3895</v>
      </c>
      <c r="AC97" s="81" t="n">
        <v>295</v>
      </c>
      <c r="AD97" s="81" t="n">
        <v>21</v>
      </c>
      <c r="AE97" s="81" t="n">
        <v>45</v>
      </c>
      <c r="AF97" s="81" t="n">
        <v>95</v>
      </c>
      <c r="AG97" s="81" t="n">
        <v>500</v>
      </c>
      <c r="AI97" s="81" t="n">
        <v>-295</v>
      </c>
    </row>
    <row r="98">
      <c r="A98" s="72">
        <f>$D$22</f>
        <v/>
      </c>
      <c r="B98" s="72">
        <f>B97+1</f>
        <v/>
      </c>
      <c r="C98" s="72">
        <f>IF(K98="Vacant","Vac",IF(K98="Model","Model",IF(K98="Admin","Admin",IF(K98="Down","Down",IF(K98="Super","Super","Occ")))))</f>
        <v/>
      </c>
      <c r="D98" s="72">
        <f>INDEX($C$5:$C$9,MATCH(I98,$D$5:$D$9,0))</f>
        <v/>
      </c>
      <c r="E98" s="72">
        <f>INDEX($E$5:$E$9,MATCH(D98,$C$5:$C$9,0))</f>
        <v/>
      </c>
      <c r="F98" s="72">
        <f>INDEX($F$5:$F$9,MATCH(D98,$C$5:$C$9,0))</f>
        <v/>
      </c>
      <c r="G98" s="72">
        <f>INDEX($G$5:$G$9,MATCH(D98,$C$5:$C$9,0))</f>
        <v/>
      </c>
      <c r="H98" s="72" t="inlineStr">
        <is>
          <t>423</t>
        </is>
      </c>
      <c r="I98" s="72" t="inlineStr">
        <is>
          <t>15SD2B2B</t>
        </is>
      </c>
      <c r="J98" s="80" t="n">
        <v>1008</v>
      </c>
      <c r="K98" s="72" t="inlineStr">
        <is>
          <t>SALVATORE MANFREDONIA</t>
        </is>
      </c>
      <c r="L98" s="81" t="n">
        <v>3650</v>
      </c>
      <c r="M98" s="81">
        <f>Y98</f>
        <v/>
      </c>
      <c r="N98" s="82" t="n">
        <v>45108</v>
      </c>
      <c r="O98" s="82" t="n">
        <v>45108</v>
      </c>
      <c r="P98" s="82" t="n">
        <v>46265</v>
      </c>
      <c r="R98" s="81">
        <f>SUM(AB98:AG98)</f>
        <v/>
      </c>
      <c r="S98" s="81">
        <f>AI98</f>
        <v/>
      </c>
      <c r="T98" s="81" t="n">
        <v>0</v>
      </c>
      <c r="Y98" s="81" t="n">
        <v>4733</v>
      </c>
      <c r="AC98" s="81" t="n">
        <v>295</v>
      </c>
      <c r="AD98" s="81" t="n">
        <v>21</v>
      </c>
      <c r="AE98" s="81" t="n">
        <v>45</v>
      </c>
      <c r="AF98" s="81" t="n">
        <v>190</v>
      </c>
    </row>
    <row r="99">
      <c r="A99" s="72">
        <f>$D$22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INDEX($C$5:$C$9,MATCH(I99,$D$5:$D$9,0))</f>
        <v/>
      </c>
      <c r="E99" s="72">
        <f>INDEX($E$5:$E$9,MATCH(D99,$C$5:$C$9,0))</f>
        <v/>
      </c>
      <c r="F99" s="72">
        <f>INDEX($F$5:$F$9,MATCH(D99,$C$5:$C$9,0))</f>
        <v/>
      </c>
      <c r="G99" s="72">
        <f>INDEX($G$5:$G$9,MATCH(D99,$C$5:$C$9,0))</f>
        <v/>
      </c>
      <c r="H99" s="72" t="inlineStr">
        <is>
          <t>424</t>
        </is>
      </c>
      <c r="I99" s="72" t="inlineStr">
        <is>
          <t>15SD2B2D</t>
        </is>
      </c>
      <c r="J99" s="80" t="n">
        <v>1163</v>
      </c>
      <c r="K99" s="72" t="inlineStr">
        <is>
          <t>SEI EUN KIM</t>
        </is>
      </c>
      <c r="L99" s="81" t="n">
        <v>4195</v>
      </c>
      <c r="M99" s="81">
        <f>Y99</f>
        <v/>
      </c>
      <c r="N99" s="82" t="n">
        <v>46157</v>
      </c>
      <c r="O99" s="82" t="n">
        <v>46157</v>
      </c>
      <c r="P99" s="82" t="n">
        <v>46568</v>
      </c>
      <c r="R99" s="81">
        <f>SUM(AB99:AG99)</f>
        <v/>
      </c>
      <c r="S99" s="81">
        <f>AI99</f>
        <v/>
      </c>
      <c r="T99" s="81" t="n">
        <v>0</v>
      </c>
      <c r="Y99" s="81" t="n">
        <v>4295</v>
      </c>
      <c r="AC99" s="81" t="n">
        <v>75</v>
      </c>
      <c r="AD99" s="81" t="n">
        <v>21</v>
      </c>
      <c r="AE99" s="81" t="n">
        <v>45</v>
      </c>
      <c r="AF99" s="81" t="n">
        <v>95</v>
      </c>
      <c r="AI99" s="81" t="n">
        <v>-75</v>
      </c>
    </row>
    <row r="100">
      <c r="A100" s="72">
        <f>$D$22</f>
        <v/>
      </c>
      <c r="B100" s="72">
        <f>B99+1</f>
        <v/>
      </c>
      <c r="C100" s="72">
        <f>IF(K100="Vacant","Vac",IF(K100="Model","Model",IF(K100="Admin","Admin",IF(K100="Down","Down",IF(K100="Super","Super","Occ")))))</f>
        <v/>
      </c>
      <c r="D100" s="72">
        <f>INDEX($C$5:$C$9,MATCH(I100,$D$5:$D$9,0))</f>
        <v/>
      </c>
      <c r="E100" s="72">
        <f>INDEX($E$5:$E$9,MATCH(D100,$C$5:$C$9,0))</f>
        <v/>
      </c>
      <c r="F100" s="72">
        <f>INDEX($F$5:$F$9,MATCH(D100,$C$5:$C$9,0))</f>
        <v/>
      </c>
      <c r="G100" s="72">
        <f>INDEX($G$5:$G$9,MATCH(D100,$C$5:$C$9,0))</f>
        <v/>
      </c>
      <c r="H100" s="72" t="inlineStr">
        <is>
          <t>425</t>
        </is>
      </c>
      <c r="I100" s="72" t="inlineStr">
        <is>
          <t>15SD2B2B</t>
        </is>
      </c>
      <c r="J100" s="80" t="n">
        <v>1187</v>
      </c>
      <c r="K100" s="72" t="inlineStr">
        <is>
          <t>PETER SHERRY</t>
        </is>
      </c>
      <c r="L100" s="81" t="n">
        <v>4220</v>
      </c>
      <c r="M100" s="81">
        <f>Y100</f>
        <v/>
      </c>
      <c r="N100" s="82" t="n">
        <v>46082</v>
      </c>
      <c r="O100" s="82" t="n">
        <v>46082</v>
      </c>
      <c r="P100" s="82" t="n">
        <v>46477</v>
      </c>
      <c r="R100" s="81">
        <f>SUM(AB100:AG100)</f>
        <v/>
      </c>
      <c r="S100" s="81">
        <f>AI100</f>
        <v/>
      </c>
      <c r="T100" s="81" t="n">
        <v>0</v>
      </c>
      <c r="Y100" s="81" t="n">
        <v>4220</v>
      </c>
      <c r="AC100" s="81" t="n">
        <v>75</v>
      </c>
      <c r="AD100" s="81" t="n">
        <v>21</v>
      </c>
      <c r="AE100" s="81" t="n">
        <v>45</v>
      </c>
      <c r="AF100" s="81" t="n">
        <v>165</v>
      </c>
      <c r="AI100" s="81" t="n">
        <v>-170</v>
      </c>
    </row>
    <row r="101">
      <c r="A101" s="72">
        <f>$D$22</f>
        <v/>
      </c>
      <c r="B101" s="72">
        <f>B100+1</f>
        <v/>
      </c>
      <c r="C101" s="72">
        <f>IF(K101="Vacant","Vac",IF(K101="Model","Model",IF(K101="Admin","Admin",IF(K101="Down","Down",IF(K101="Super","Super","Occ")))))</f>
        <v/>
      </c>
      <c r="D101" s="72">
        <f>INDEX($C$5:$C$9,MATCH(I101,$D$5:$D$9,0))</f>
        <v/>
      </c>
      <c r="E101" s="72">
        <f>INDEX($E$5:$E$9,MATCH(D101,$C$5:$C$9,0))</f>
        <v/>
      </c>
      <c r="F101" s="72">
        <f>INDEX($F$5:$F$9,MATCH(D101,$C$5:$C$9,0))</f>
        <v/>
      </c>
      <c r="G101" s="72">
        <f>INDEX($G$5:$G$9,MATCH(D101,$C$5:$C$9,0))</f>
        <v/>
      </c>
      <c r="H101" s="72" t="inlineStr">
        <is>
          <t>426</t>
        </is>
      </c>
      <c r="I101" s="72" t="inlineStr">
        <is>
          <t>15SD1B1D</t>
        </is>
      </c>
      <c r="J101" s="80" t="n">
        <v>817</v>
      </c>
      <c r="K101" s="72" t="inlineStr">
        <is>
          <t>ALEXANDRA PANTALEONE</t>
        </is>
      </c>
      <c r="L101" s="81" t="n">
        <v>3150</v>
      </c>
      <c r="M101" s="81">
        <f>Y101</f>
        <v/>
      </c>
      <c r="N101" s="82" t="n">
        <v>45650</v>
      </c>
      <c r="O101" s="82" t="n">
        <v>45650</v>
      </c>
      <c r="P101" s="82" t="n">
        <v>46752</v>
      </c>
      <c r="R101" s="81">
        <f>SUM(AB101:AG101)</f>
        <v/>
      </c>
      <c r="S101" s="81">
        <f>AI101</f>
        <v/>
      </c>
      <c r="T101" s="81" t="n">
        <v>0</v>
      </c>
      <c r="Y101" s="81" t="n">
        <v>3195</v>
      </c>
      <c r="AC101" s="81" t="n">
        <v>295</v>
      </c>
      <c r="AD101" s="81" t="n">
        <v>21</v>
      </c>
      <c r="AE101" s="81" t="n">
        <v>45</v>
      </c>
      <c r="AF101" s="81" t="n">
        <v>260</v>
      </c>
      <c r="AI101" s="81" t="n">
        <v>-165</v>
      </c>
    </row>
    <row r="102">
      <c r="A102" s="72">
        <f>$D$22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INDEX($C$5:$C$9,MATCH(I102,$D$5:$D$9,0))</f>
        <v/>
      </c>
      <c r="E102" s="72">
        <f>INDEX($E$5:$E$9,MATCH(D102,$C$5:$C$9,0))</f>
        <v/>
      </c>
      <c r="F102" s="72">
        <f>INDEX($F$5:$F$9,MATCH(D102,$C$5:$C$9,0))</f>
        <v/>
      </c>
      <c r="G102" s="72">
        <f>INDEX($G$5:$G$9,MATCH(D102,$C$5:$C$9,0))</f>
        <v/>
      </c>
      <c r="H102" s="72" t="inlineStr">
        <is>
          <t>501</t>
        </is>
      </c>
      <c r="I102" s="72" t="inlineStr">
        <is>
          <t>15SD1B1B</t>
        </is>
      </c>
      <c r="J102" s="80" t="n">
        <v>702</v>
      </c>
      <c r="K102" s="72" t="inlineStr">
        <is>
          <t>THOMAS-ANTHONY JIMENEZ</t>
        </is>
      </c>
      <c r="L102" s="81" t="n">
        <v>3275</v>
      </c>
      <c r="M102" s="81">
        <f>Y102</f>
        <v/>
      </c>
      <c r="N102" s="82" t="n">
        <v>45444</v>
      </c>
      <c r="O102" s="82" t="n">
        <v>45444</v>
      </c>
      <c r="P102" s="82" t="n">
        <v>46568</v>
      </c>
      <c r="R102" s="81">
        <f>SUM(AB102:AG102)</f>
        <v/>
      </c>
      <c r="S102" s="81">
        <f>AI102</f>
        <v/>
      </c>
      <c r="T102" s="81" t="n">
        <v>0</v>
      </c>
      <c r="Y102" s="81" t="n">
        <v>3195</v>
      </c>
      <c r="AC102" s="81" t="n">
        <v>295</v>
      </c>
      <c r="AD102" s="81" t="n">
        <v>21</v>
      </c>
      <c r="AE102" s="81" t="n">
        <v>45</v>
      </c>
      <c r="AF102" s="81" t="n">
        <v>160</v>
      </c>
      <c r="AG102" s="81" t="n">
        <v>500</v>
      </c>
    </row>
    <row r="103">
      <c r="A103" s="72">
        <f>$D$22</f>
        <v/>
      </c>
      <c r="B103" s="72">
        <f>B102+1</f>
        <v/>
      </c>
      <c r="C103" s="72">
        <f>IF(K103="Vacant","Vac",IF(K103="Model","Model",IF(K103="Admin","Admin",IF(K103="Down","Down",IF(K103="Super","Super","Occ")))))</f>
        <v/>
      </c>
      <c r="D103" s="72">
        <f>INDEX($C$5:$C$9,MATCH(I103,$D$5:$D$9,0))</f>
        <v/>
      </c>
      <c r="E103" s="72">
        <f>INDEX($E$5:$E$9,MATCH(D103,$C$5:$C$9,0))</f>
        <v/>
      </c>
      <c r="F103" s="72">
        <f>INDEX($F$5:$F$9,MATCH(D103,$C$5:$C$9,0))</f>
        <v/>
      </c>
      <c r="G103" s="72">
        <f>INDEX($G$5:$G$9,MATCH(D103,$C$5:$C$9,0))</f>
        <v/>
      </c>
      <c r="H103" s="72" t="inlineStr">
        <is>
          <t>502</t>
        </is>
      </c>
      <c r="I103" s="72" t="inlineStr">
        <is>
          <t>15SD1B1B</t>
        </is>
      </c>
      <c r="J103" s="80" t="n">
        <v>603</v>
      </c>
      <c r="K103" s="72" t="inlineStr">
        <is>
          <t>MELVIN TEPLER</t>
        </is>
      </c>
      <c r="L103" s="81" t="n">
        <v>2995</v>
      </c>
      <c r="M103" s="81">
        <f>Y103</f>
        <v/>
      </c>
      <c r="N103" s="82" t="n">
        <v>45839</v>
      </c>
      <c r="O103" s="82" t="n">
        <v>45839</v>
      </c>
      <c r="P103" s="82" t="n">
        <v>46203</v>
      </c>
      <c r="R103" s="81">
        <f>SUM(AB103:AG103)</f>
        <v/>
      </c>
      <c r="S103" s="81">
        <f>AI103</f>
        <v/>
      </c>
      <c r="T103" s="81" t="n">
        <v>0</v>
      </c>
      <c r="Y103" s="81" t="n">
        <v>3010</v>
      </c>
      <c r="AC103" s="81" t="n">
        <v>75</v>
      </c>
      <c r="AD103" s="81" t="n">
        <v>21</v>
      </c>
      <c r="AE103" s="81" t="n">
        <v>45</v>
      </c>
      <c r="AG103" s="81" t="n">
        <v>500</v>
      </c>
    </row>
    <row r="104">
      <c r="A104" s="72">
        <f>$D$22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INDEX($C$5:$C$9,MATCH(I104,$D$5:$D$9,0))</f>
        <v/>
      </c>
      <c r="E104" s="72">
        <f>INDEX($E$5:$E$9,MATCH(D104,$C$5:$C$9,0))</f>
        <v/>
      </c>
      <c r="F104" s="72">
        <f>INDEX($F$5:$F$9,MATCH(D104,$C$5:$C$9,0))</f>
        <v/>
      </c>
      <c r="G104" s="72">
        <f>INDEX($G$5:$G$9,MATCH(D104,$C$5:$C$9,0))</f>
        <v/>
      </c>
      <c r="H104" s="72" t="inlineStr">
        <is>
          <t>503</t>
        </is>
      </c>
      <c r="I104" s="72" t="inlineStr">
        <is>
          <t>15SD2B2B</t>
        </is>
      </c>
      <c r="J104" s="80" t="n">
        <v>1244</v>
      </c>
      <c r="K104" s="72" t="inlineStr">
        <is>
          <t>CASSIE STEINBERG</t>
        </is>
      </c>
      <c r="L104" s="81" t="n">
        <v>4595</v>
      </c>
      <c r="M104" s="81">
        <f>Y104</f>
        <v/>
      </c>
      <c r="N104" s="82" t="n">
        <v>45839</v>
      </c>
      <c r="O104" s="82" t="n">
        <v>45839</v>
      </c>
      <c r="P104" s="82" t="n">
        <v>46568</v>
      </c>
      <c r="R104" s="81">
        <f>SUM(AB104:AG104)</f>
        <v/>
      </c>
      <c r="S104" s="81">
        <f>AI104</f>
        <v/>
      </c>
      <c r="T104" s="81" t="n">
        <v>0</v>
      </c>
      <c r="Y104" s="81" t="n">
        <v>4965</v>
      </c>
      <c r="AB104" s="81" t="n">
        <v>50</v>
      </c>
      <c r="AC104" s="81" t="n">
        <v>75</v>
      </c>
      <c r="AD104" s="81" t="n">
        <v>21</v>
      </c>
      <c r="AE104" s="81" t="n">
        <v>45</v>
      </c>
      <c r="AF104" s="81" t="n">
        <v>190</v>
      </c>
      <c r="AI104" s="81" t="n">
        <v>-4965</v>
      </c>
    </row>
    <row r="105">
      <c r="A105" s="72">
        <f>$D$22</f>
        <v/>
      </c>
      <c r="B105" s="72">
        <f>B104+1</f>
        <v/>
      </c>
      <c r="C105" s="72">
        <f>IF(K105="Vacant","Vac",IF(K105="Model","Model",IF(K105="Admin","Admin",IF(K105="Down","Down",IF(K105="Super","Super","Occ")))))</f>
        <v/>
      </c>
      <c r="D105" s="72">
        <f>INDEX($C$5:$C$9,MATCH(I105,$D$5:$D$9,0))</f>
        <v/>
      </c>
      <c r="E105" s="72">
        <f>INDEX($E$5:$E$9,MATCH(D105,$C$5:$C$9,0))</f>
        <v/>
      </c>
      <c r="F105" s="72">
        <f>INDEX($F$5:$F$9,MATCH(D105,$C$5:$C$9,0))</f>
        <v/>
      </c>
      <c r="G105" s="72">
        <f>INDEX($G$5:$G$9,MATCH(D105,$C$5:$C$9,0))</f>
        <v/>
      </c>
      <c r="H105" s="72" t="inlineStr">
        <is>
          <t>504</t>
        </is>
      </c>
      <c r="I105" s="72" t="inlineStr">
        <is>
          <t>15SDStu</t>
        </is>
      </c>
      <c r="J105" s="80" t="n">
        <v>531</v>
      </c>
      <c r="K105" s="72" t="inlineStr">
        <is>
          <t>EDMUND NAAMI</t>
        </is>
      </c>
      <c r="L105" s="81" t="n">
        <v>2545</v>
      </c>
      <c r="M105" s="81">
        <f>Y105</f>
        <v/>
      </c>
      <c r="N105" s="82" t="n">
        <v>46204</v>
      </c>
      <c r="O105" s="82" t="n">
        <v>46204</v>
      </c>
      <c r="P105" s="82" t="n">
        <v>46599</v>
      </c>
      <c r="R105" s="81">
        <f>SUM(AB105:AG105)</f>
        <v/>
      </c>
      <c r="S105" s="81">
        <f>AI105</f>
        <v/>
      </c>
      <c r="T105" s="81" t="n">
        <v>0</v>
      </c>
      <c r="Y105" s="81" t="n">
        <v>2695</v>
      </c>
      <c r="AC105" s="81" t="n">
        <v>75</v>
      </c>
      <c r="AD105" s="81" t="n">
        <v>21</v>
      </c>
      <c r="AE105" s="81" t="n">
        <v>45</v>
      </c>
      <c r="AF105" s="81" t="n">
        <v>95</v>
      </c>
      <c r="AI105" s="81" t="n">
        <v>-75</v>
      </c>
    </row>
    <row r="106">
      <c r="A106" s="72">
        <f>$D$22</f>
        <v/>
      </c>
      <c r="B106" s="72">
        <f>B105+1</f>
        <v/>
      </c>
      <c r="C106" s="72">
        <f>IF(K106="Vacant","Vac",IF(K106="Model","Model",IF(K106="Admin","Admin",IF(K106="Down","Down",IF(K106="Super","Super","Occ")))))</f>
        <v/>
      </c>
      <c r="D106" s="72">
        <f>INDEX($C$5:$C$9,MATCH(I106,$D$5:$D$9,0))</f>
        <v/>
      </c>
      <c r="E106" s="72">
        <f>INDEX($E$5:$E$9,MATCH(D106,$C$5:$C$9,0))</f>
        <v/>
      </c>
      <c r="F106" s="72">
        <f>INDEX($F$5:$F$9,MATCH(D106,$C$5:$C$9,0))</f>
        <v/>
      </c>
      <c r="G106" s="72">
        <f>INDEX($G$5:$G$9,MATCH(D106,$C$5:$C$9,0))</f>
        <v/>
      </c>
      <c r="H106" s="72" t="inlineStr">
        <is>
          <t>505</t>
        </is>
      </c>
      <c r="I106" s="72" t="inlineStr">
        <is>
          <t>15SD2B2B</t>
        </is>
      </c>
      <c r="J106" s="80" t="n">
        <v>1189</v>
      </c>
      <c r="K106" s="72" t="inlineStr">
        <is>
          <t>PAVEL NIKULIN</t>
        </is>
      </c>
      <c r="L106" s="81" t="n">
        <v>4195</v>
      </c>
      <c r="M106" s="81">
        <f>Y106</f>
        <v/>
      </c>
      <c r="N106" s="82" t="n">
        <v>45383</v>
      </c>
      <c r="O106" s="82" t="n">
        <v>45383</v>
      </c>
      <c r="P106" s="82" t="n">
        <v>46234</v>
      </c>
      <c r="R106" s="81">
        <f>SUM(AB106:AG106)</f>
        <v/>
      </c>
      <c r="S106" s="81">
        <f>AI106</f>
        <v/>
      </c>
      <c r="T106" s="81" t="n">
        <v>0</v>
      </c>
      <c r="Y106" s="81" t="n">
        <v>4662.81</v>
      </c>
      <c r="AC106" s="81" t="n">
        <v>25</v>
      </c>
      <c r="AD106" s="81" t="n">
        <v>21</v>
      </c>
      <c r="AE106" s="81" t="n">
        <v>45</v>
      </c>
      <c r="AF106" s="81" t="n">
        <v>270</v>
      </c>
    </row>
    <row r="107">
      <c r="A107" s="72">
        <f>$D$22</f>
        <v/>
      </c>
      <c r="B107" s="72">
        <f>B106+1</f>
        <v/>
      </c>
      <c r="C107" s="72">
        <f>IF(K107="Vacant","Vac",IF(K107="Model","Model",IF(K107="Admin","Admin",IF(K107="Down","Down",IF(K107="Super","Super","Occ")))))</f>
        <v/>
      </c>
      <c r="D107" s="72">
        <f>INDEX($C$5:$C$9,MATCH(I107,$D$5:$D$9,0))</f>
        <v/>
      </c>
      <c r="E107" s="72">
        <f>INDEX($E$5:$E$9,MATCH(D107,$C$5:$C$9,0))</f>
        <v/>
      </c>
      <c r="F107" s="72">
        <f>INDEX($F$5:$F$9,MATCH(D107,$C$5:$C$9,0))</f>
        <v/>
      </c>
      <c r="G107" s="72">
        <f>INDEX($G$5:$G$9,MATCH(D107,$C$5:$C$9,0))</f>
        <v/>
      </c>
      <c r="H107" s="72" t="inlineStr">
        <is>
          <t>506</t>
        </is>
      </c>
      <c r="I107" s="72" t="inlineStr">
        <is>
          <t>15SD2B2D</t>
        </is>
      </c>
      <c r="J107" s="80" t="n">
        <v>1156</v>
      </c>
      <c r="K107" s="72" t="inlineStr">
        <is>
          <t>STEVEN USDAN</t>
        </is>
      </c>
      <c r="L107" s="81" t="n">
        <v>4350</v>
      </c>
      <c r="M107" s="81">
        <f>Y107</f>
        <v/>
      </c>
      <c r="N107" s="82" t="n">
        <v>46029</v>
      </c>
      <c r="O107" s="82" t="n">
        <v>46029</v>
      </c>
      <c r="P107" s="82" t="n">
        <v>46446</v>
      </c>
      <c r="R107" s="81">
        <f>SUM(AB107:AG107)</f>
        <v/>
      </c>
      <c r="S107" s="81">
        <f>AI107</f>
        <v/>
      </c>
      <c r="T107" s="81" t="n">
        <v>0</v>
      </c>
      <c r="Y107" s="81" t="n">
        <v>4350</v>
      </c>
      <c r="AC107" s="81" t="n">
        <v>75</v>
      </c>
      <c r="AD107" s="81" t="n">
        <v>21</v>
      </c>
      <c r="AE107" s="81" t="n">
        <v>45</v>
      </c>
      <c r="AF107" s="81" t="n">
        <v>95</v>
      </c>
    </row>
    <row r="108">
      <c r="A108" s="72">
        <f>$D$22</f>
        <v/>
      </c>
      <c r="B108" s="72">
        <f>B107+1</f>
        <v/>
      </c>
      <c r="C108" s="72">
        <f>IF(K108="Vacant","Vac",IF(K108="Model","Model",IF(K108="Admin","Admin",IF(K108="Down","Down",IF(K108="Super","Super","Occ")))))</f>
        <v/>
      </c>
      <c r="D108" s="72">
        <f>INDEX($C$5:$C$9,MATCH(I108,$D$5:$D$9,0))</f>
        <v/>
      </c>
      <c r="E108" s="72">
        <f>INDEX($E$5:$E$9,MATCH(D108,$C$5:$C$9,0))</f>
        <v/>
      </c>
      <c r="F108" s="72">
        <f>INDEX($F$5:$F$9,MATCH(D108,$C$5:$C$9,0))</f>
        <v/>
      </c>
      <c r="G108" s="72">
        <f>INDEX($G$5:$G$9,MATCH(D108,$C$5:$C$9,0))</f>
        <v/>
      </c>
      <c r="H108" s="72" t="inlineStr">
        <is>
          <t>507</t>
        </is>
      </c>
      <c r="I108" s="72" t="inlineStr">
        <is>
          <t>15SD2B2D</t>
        </is>
      </c>
      <c r="J108" s="80" t="n">
        <v>1168</v>
      </c>
      <c r="K108" s="72" t="inlineStr">
        <is>
          <t>MORDECHAI COHEN</t>
        </is>
      </c>
      <c r="L108" s="81" t="n">
        <v>4195</v>
      </c>
      <c r="M108" s="81">
        <f>Y108</f>
        <v/>
      </c>
      <c r="N108" s="82" t="n">
        <v>45219</v>
      </c>
      <c r="O108" s="82" t="n">
        <v>45219</v>
      </c>
      <c r="P108" s="82" t="n">
        <v>46173</v>
      </c>
      <c r="R108" s="81">
        <f>SUM(AB108:AG108)</f>
        <v/>
      </c>
      <c r="S108" s="81">
        <f>AI108</f>
        <v/>
      </c>
      <c r="T108" s="81" t="n">
        <v>0</v>
      </c>
      <c r="Y108" s="81" t="n">
        <v>3940</v>
      </c>
      <c r="AB108" s="81" t="n">
        <v>50</v>
      </c>
      <c r="AD108" s="81" t="n">
        <v>21</v>
      </c>
      <c r="AE108" s="81" t="n">
        <v>45</v>
      </c>
      <c r="AF108" s="81" t="n">
        <v>95</v>
      </c>
      <c r="AG108" s="81" t="n">
        <v>500</v>
      </c>
    </row>
    <row r="109">
      <c r="A109" s="83">
        <f>$D$22</f>
        <v/>
      </c>
      <c r="B109" s="83">
        <f>B108+1</f>
        <v/>
      </c>
      <c r="C109" s="83">
        <f>IF(K109="Vacant","Vac",IF(K109="Model","Model",IF(K109="Admin","Admin",IF(K109="Down","Down",IF(K109="Super","Super","Occ")))))</f>
        <v/>
      </c>
      <c r="D109" s="83">
        <f>INDEX($C$5:$C$9,MATCH(I109,$D$5:$D$9,0))</f>
        <v/>
      </c>
      <c r="E109" s="83">
        <f>INDEX($E$5:$E$9,MATCH(D109,$C$5:$C$9,0))</f>
        <v/>
      </c>
      <c r="F109" s="83">
        <f>INDEX($F$5:$F$9,MATCH(D109,$C$5:$C$9,0))</f>
        <v/>
      </c>
      <c r="G109" s="83">
        <f>INDEX($G$5:$G$9,MATCH(D109,$C$5:$C$9,0))</f>
        <v/>
      </c>
      <c r="H109" s="83" t="inlineStr">
        <is>
          <t>508</t>
        </is>
      </c>
      <c r="I109" s="83" t="inlineStr">
        <is>
          <t>15SD2B2B</t>
        </is>
      </c>
      <c r="J109" s="84" t="n">
        <v>1189</v>
      </c>
      <c r="K109" s="83" t="inlineStr">
        <is>
          <t>Vacant</t>
        </is>
      </c>
      <c r="L109" s="85" t="n">
        <v>3595</v>
      </c>
      <c r="M109" s="85">
        <f>Y109</f>
        <v/>
      </c>
      <c r="N109" s="86" t="n"/>
      <c r="O109" s="86" t="n"/>
      <c r="P109" s="86" t="n"/>
      <c r="Q109" s="86" t="n"/>
      <c r="R109" s="85">
        <f>SUM(AB109:AG109)</f>
        <v/>
      </c>
      <c r="S109" s="85">
        <f>AI109</f>
        <v/>
      </c>
      <c r="T109" s="85" t="n">
        <v>0</v>
      </c>
      <c r="U109" s="86" t="n"/>
      <c r="V109" s="86" t="n"/>
      <c r="W109" s="86" t="n"/>
      <c r="X109" s="86" t="n"/>
      <c r="Y109" s="85" t="n">
        <v>0</v>
      </c>
      <c r="Z109" s="86" t="n"/>
      <c r="AA109" s="86" t="n"/>
      <c r="AB109" s="86" t="n"/>
      <c r="AC109" s="86" t="n"/>
      <c r="AD109" s="86" t="n"/>
      <c r="AE109" s="86" t="n"/>
      <c r="AF109" s="86" t="n"/>
      <c r="AG109" s="86" t="n"/>
      <c r="AH109" s="86" t="n"/>
      <c r="AI109" s="86" t="n"/>
    </row>
    <row r="110">
      <c r="A110" s="83">
        <f>$D$22</f>
        <v/>
      </c>
      <c r="B110" s="83">
        <f>B109+1</f>
        <v/>
      </c>
      <c r="C110" s="83">
        <f>IF(K110="Vacant","Vac",IF(K110="Model","Model",IF(K110="Admin","Admin",IF(K110="Down","Down",IF(K110="Super","Super","Occ")))))</f>
        <v/>
      </c>
      <c r="D110" s="83">
        <f>INDEX($C$5:$C$9,MATCH(I110,$D$5:$D$9,0))</f>
        <v/>
      </c>
      <c r="E110" s="83">
        <f>INDEX($E$5:$E$9,MATCH(D110,$C$5:$C$9,0))</f>
        <v/>
      </c>
      <c r="F110" s="83">
        <f>INDEX($F$5:$F$9,MATCH(D110,$C$5:$C$9,0))</f>
        <v/>
      </c>
      <c r="G110" s="83">
        <f>INDEX($G$5:$G$9,MATCH(D110,$C$5:$C$9,0))</f>
        <v/>
      </c>
      <c r="H110" s="83" t="inlineStr">
        <is>
          <t>509</t>
        </is>
      </c>
      <c r="I110" s="83" t="inlineStr">
        <is>
          <t>15SD2B2B</t>
        </is>
      </c>
      <c r="J110" s="84" t="n">
        <v>1054</v>
      </c>
      <c r="K110" s="83" t="inlineStr">
        <is>
          <t>Vacant</t>
        </is>
      </c>
      <c r="L110" s="85" t="n">
        <v>3595</v>
      </c>
      <c r="M110" s="85">
        <f>Y110</f>
        <v/>
      </c>
      <c r="N110" s="86" t="n"/>
      <c r="O110" s="86" t="n"/>
      <c r="P110" s="86" t="n"/>
      <c r="Q110" s="86" t="n"/>
      <c r="R110" s="85">
        <f>SUM(AB110:AG110)</f>
        <v/>
      </c>
      <c r="S110" s="85">
        <f>AI110</f>
        <v/>
      </c>
      <c r="T110" s="85" t="n">
        <v>0</v>
      </c>
      <c r="U110" s="86" t="n"/>
      <c r="V110" s="86" t="n"/>
      <c r="W110" s="86" t="n"/>
      <c r="X110" s="86" t="n"/>
      <c r="Y110" s="85" t="n">
        <v>0</v>
      </c>
      <c r="Z110" s="86" t="n"/>
      <c r="AA110" s="86" t="n"/>
      <c r="AB110" s="86" t="n"/>
      <c r="AC110" s="86" t="n"/>
      <c r="AD110" s="86" t="n"/>
      <c r="AE110" s="86" t="n"/>
      <c r="AF110" s="86" t="n"/>
      <c r="AG110" s="86" t="n"/>
      <c r="AH110" s="86" t="n"/>
      <c r="AI110" s="86" t="n"/>
    </row>
    <row r="111">
      <c r="A111" s="72">
        <f>$D$22</f>
        <v/>
      </c>
      <c r="B111" s="72">
        <f>B110+1</f>
        <v/>
      </c>
      <c r="C111" s="72">
        <f>IF(K111="Vacant","Vac",IF(K111="Model","Model",IF(K111="Admin","Admin",IF(K111="Down","Down",IF(K111="Super","Super","Occ")))))</f>
        <v/>
      </c>
      <c r="D111" s="72">
        <f>INDEX($C$5:$C$9,MATCH(I111,$D$5:$D$9,0))</f>
        <v/>
      </c>
      <c r="E111" s="72">
        <f>INDEX($E$5:$E$9,MATCH(D111,$C$5:$C$9,0))</f>
        <v/>
      </c>
      <c r="F111" s="72">
        <f>INDEX($F$5:$F$9,MATCH(D111,$C$5:$C$9,0))</f>
        <v/>
      </c>
      <c r="G111" s="72">
        <f>INDEX($G$5:$G$9,MATCH(D111,$C$5:$C$9,0))</f>
        <v/>
      </c>
      <c r="H111" s="72" t="inlineStr">
        <is>
          <t>510</t>
        </is>
      </c>
      <c r="I111" s="72" t="inlineStr">
        <is>
          <t>15SD2B2B</t>
        </is>
      </c>
      <c r="J111" s="80" t="n">
        <v>1049</v>
      </c>
      <c r="K111" s="72" t="inlineStr">
        <is>
          <t>ERIC SHU HSIEN LIAO</t>
        </is>
      </c>
      <c r="L111" s="81" t="n">
        <v>3695</v>
      </c>
      <c r="M111" s="81">
        <f>Y111</f>
        <v/>
      </c>
      <c r="N111" s="82" t="n">
        <v>45444</v>
      </c>
      <c r="O111" s="82" t="n">
        <v>45444</v>
      </c>
      <c r="P111" s="82" t="n">
        <v>46568</v>
      </c>
      <c r="R111" s="81">
        <f>SUM(AB111:AG111)</f>
        <v/>
      </c>
      <c r="S111" s="81">
        <f>AI111</f>
        <v/>
      </c>
      <c r="T111" s="81" t="n">
        <v>0</v>
      </c>
      <c r="Y111" s="81" t="n">
        <v>3909</v>
      </c>
      <c r="AB111" s="81" t="n">
        <v>50</v>
      </c>
      <c r="AC111" s="81" t="n">
        <v>295</v>
      </c>
      <c r="AD111" s="81" t="n">
        <v>21</v>
      </c>
      <c r="AE111" s="81" t="n">
        <v>45</v>
      </c>
      <c r="AF111" s="81" t="n">
        <v>95</v>
      </c>
    </row>
    <row r="112">
      <c r="A112" s="72">
        <f>$D$22</f>
        <v/>
      </c>
      <c r="B112" s="72">
        <f>B111+1</f>
        <v/>
      </c>
      <c r="C112" s="72">
        <f>IF(K112="Vacant","Vac",IF(K112="Model","Model",IF(K112="Admin","Admin",IF(K112="Down","Down",IF(K112="Super","Super","Occ")))))</f>
        <v/>
      </c>
      <c r="D112" s="72">
        <f>INDEX($C$5:$C$9,MATCH(I112,$D$5:$D$9,0))</f>
        <v/>
      </c>
      <c r="E112" s="72">
        <f>INDEX($E$5:$E$9,MATCH(D112,$C$5:$C$9,0))</f>
        <v/>
      </c>
      <c r="F112" s="72">
        <f>INDEX($F$5:$F$9,MATCH(D112,$C$5:$C$9,0))</f>
        <v/>
      </c>
      <c r="G112" s="72">
        <f>INDEX($G$5:$G$9,MATCH(D112,$C$5:$C$9,0))</f>
        <v/>
      </c>
      <c r="H112" s="72" t="inlineStr">
        <is>
          <t>511</t>
        </is>
      </c>
      <c r="I112" s="72" t="inlineStr">
        <is>
          <t>15SD2B2B</t>
        </is>
      </c>
      <c r="J112" s="80" t="n">
        <v>1188</v>
      </c>
      <c r="K112" s="72" t="inlineStr">
        <is>
          <t>NARINE GABRIELYAN</t>
        </is>
      </c>
      <c r="L112" s="81" t="n">
        <v>4100</v>
      </c>
      <c r="M112" s="81">
        <f>Y112</f>
        <v/>
      </c>
      <c r="N112" s="82" t="n">
        <v>45839</v>
      </c>
      <c r="O112" s="82" t="n">
        <v>45839</v>
      </c>
      <c r="P112" s="82" t="n">
        <v>46568</v>
      </c>
      <c r="Q112" s="82" t="n">
        <v>46234</v>
      </c>
      <c r="R112" s="81">
        <f>SUM(AB112:AG112)</f>
        <v/>
      </c>
      <c r="S112" s="81">
        <f>AI112</f>
        <v/>
      </c>
      <c r="T112" s="81" t="n">
        <v>0</v>
      </c>
      <c r="Y112" s="81" t="n">
        <v>4350</v>
      </c>
      <c r="AC112" s="81" t="n">
        <v>75</v>
      </c>
      <c r="AD112" s="81" t="n">
        <v>21</v>
      </c>
      <c r="AE112" s="81" t="n">
        <v>45</v>
      </c>
      <c r="AF112" s="81" t="n">
        <v>95</v>
      </c>
      <c r="AI112" s="81" t="n">
        <v>-4350</v>
      </c>
    </row>
    <row r="113">
      <c r="A113" s="72">
        <f>$D$22</f>
        <v/>
      </c>
      <c r="B113" s="72">
        <f>B112+1</f>
        <v/>
      </c>
      <c r="C113" s="72">
        <f>IF(K113="Vacant","Vac",IF(K113="Model","Model",IF(K113="Admin","Admin",IF(K113="Down","Down",IF(K113="Super","Super","Occ")))))</f>
        <v/>
      </c>
      <c r="D113" s="72">
        <f>INDEX($C$5:$C$9,MATCH(I113,$D$5:$D$9,0))</f>
        <v/>
      </c>
      <c r="E113" s="72">
        <f>INDEX($E$5:$E$9,MATCH(D113,$C$5:$C$9,0))</f>
        <v/>
      </c>
      <c r="F113" s="72">
        <f>INDEX($F$5:$F$9,MATCH(D113,$C$5:$C$9,0))</f>
        <v/>
      </c>
      <c r="G113" s="72">
        <f>INDEX($G$5:$G$9,MATCH(D113,$C$5:$C$9,0))</f>
        <v/>
      </c>
      <c r="H113" s="72" t="inlineStr">
        <is>
          <t>512</t>
        </is>
      </c>
      <c r="I113" s="72" t="inlineStr">
        <is>
          <t>15SD2B2D</t>
        </is>
      </c>
      <c r="J113" s="80" t="n">
        <v>1164</v>
      </c>
      <c r="K113" s="72" t="inlineStr">
        <is>
          <t>NOHA GIBARA</t>
        </is>
      </c>
      <c r="L113" s="81" t="n">
        <v>4195</v>
      </c>
      <c r="M113" s="81">
        <f>Y113</f>
        <v/>
      </c>
      <c r="N113" s="82" t="n">
        <v>45427</v>
      </c>
      <c r="O113" s="82" t="n">
        <v>45427</v>
      </c>
      <c r="P113" s="82" t="n">
        <v>46173</v>
      </c>
      <c r="R113" s="81">
        <f>SUM(AB113:AG113)</f>
        <v/>
      </c>
      <c r="S113" s="81">
        <f>AI113</f>
        <v/>
      </c>
      <c r="T113" s="81" t="n">
        <v>0</v>
      </c>
      <c r="Y113" s="81" t="n">
        <v>4295</v>
      </c>
      <c r="AD113" s="81" t="n">
        <v>21</v>
      </c>
      <c r="AE113" s="81" t="n">
        <v>45</v>
      </c>
      <c r="AG113" s="81" t="n">
        <v>500</v>
      </c>
    </row>
    <row r="114">
      <c r="A114" s="83">
        <f>$D$22</f>
        <v/>
      </c>
      <c r="B114" s="83">
        <f>B113+1</f>
        <v/>
      </c>
      <c r="C114" s="83">
        <f>IF(K114="Vacant","Vac",IF(K114="Model","Model",IF(K114="Admin","Admin",IF(K114="Down","Down",IF(K114="Super","Super","Occ")))))</f>
        <v/>
      </c>
      <c r="D114" s="83">
        <f>INDEX($C$5:$C$9,MATCH(I114,$D$5:$D$9,0))</f>
        <v/>
      </c>
      <c r="E114" s="83">
        <f>INDEX($E$5:$E$9,MATCH(D114,$C$5:$C$9,0))</f>
        <v/>
      </c>
      <c r="F114" s="83">
        <f>INDEX($F$5:$F$9,MATCH(D114,$C$5:$C$9,0))</f>
        <v/>
      </c>
      <c r="G114" s="83">
        <f>INDEX($G$5:$G$9,MATCH(D114,$C$5:$C$9,0))</f>
        <v/>
      </c>
      <c r="H114" s="83" t="inlineStr">
        <is>
          <t>513</t>
        </is>
      </c>
      <c r="I114" s="83" t="inlineStr">
        <is>
          <t>15SD2B2D</t>
        </is>
      </c>
      <c r="J114" s="84" t="n">
        <v>1164</v>
      </c>
      <c r="K114" s="83" t="inlineStr">
        <is>
          <t>Vacant</t>
        </is>
      </c>
      <c r="L114" s="85" t="n">
        <v>4295</v>
      </c>
      <c r="M114" s="85">
        <f>Y114</f>
        <v/>
      </c>
      <c r="N114" s="86" t="n"/>
      <c r="O114" s="86" t="n"/>
      <c r="P114" s="86" t="n"/>
      <c r="Q114" s="86" t="n"/>
      <c r="R114" s="85">
        <f>SUM(AB114:AG114)</f>
        <v/>
      </c>
      <c r="S114" s="85">
        <f>AI114</f>
        <v/>
      </c>
      <c r="T114" s="85" t="n">
        <v>0</v>
      </c>
      <c r="U114" s="86" t="n"/>
      <c r="V114" s="86" t="n"/>
      <c r="W114" s="86" t="n"/>
      <c r="X114" s="86" t="n"/>
      <c r="Y114" s="85" t="n">
        <v>0</v>
      </c>
      <c r="Z114" s="86" t="n"/>
      <c r="AA114" s="86" t="n"/>
      <c r="AB114" s="86" t="n"/>
      <c r="AC114" s="86" t="n"/>
      <c r="AD114" s="86" t="n"/>
      <c r="AE114" s="86" t="n"/>
      <c r="AF114" s="86" t="n"/>
      <c r="AG114" s="86" t="n"/>
      <c r="AH114" s="86" t="n"/>
      <c r="AI114" s="86" t="n"/>
    </row>
    <row r="115">
      <c r="A115" s="72">
        <f>$D$22</f>
        <v/>
      </c>
      <c r="B115" s="72">
        <f>B114+1</f>
        <v/>
      </c>
      <c r="C115" s="72">
        <f>IF(K115="Vacant","Vac",IF(K115="Model","Model",IF(K115="Admin","Admin",IF(K115="Down","Down",IF(K115="Super","Super","Occ")))))</f>
        <v/>
      </c>
      <c r="D115" s="72">
        <f>INDEX($C$5:$C$9,MATCH(I115,$D$5:$D$9,0))</f>
        <v/>
      </c>
      <c r="E115" s="72">
        <f>INDEX($E$5:$E$9,MATCH(D115,$C$5:$C$9,0))</f>
        <v/>
      </c>
      <c r="F115" s="72">
        <f>INDEX($F$5:$F$9,MATCH(D115,$C$5:$C$9,0))</f>
        <v/>
      </c>
      <c r="G115" s="72">
        <f>INDEX($G$5:$G$9,MATCH(D115,$C$5:$C$9,0))</f>
        <v/>
      </c>
      <c r="H115" s="72" t="inlineStr">
        <is>
          <t>514</t>
        </is>
      </c>
      <c r="I115" s="72" t="inlineStr">
        <is>
          <t>15SD2B2B</t>
        </is>
      </c>
      <c r="J115" s="80" t="n">
        <v>1192</v>
      </c>
      <c r="K115" s="72" t="inlineStr">
        <is>
          <t>MARCUS LEE</t>
        </is>
      </c>
      <c r="L115" s="81" t="n">
        <v>4225</v>
      </c>
      <c r="M115" s="81">
        <f>Y115</f>
        <v/>
      </c>
      <c r="N115" s="82" t="n">
        <v>45626</v>
      </c>
      <c r="O115" s="82" t="n">
        <v>45626</v>
      </c>
      <c r="P115" s="82" t="n">
        <v>46721</v>
      </c>
      <c r="R115" s="81">
        <f>SUM(AB115:AG115)</f>
        <v/>
      </c>
      <c r="S115" s="81">
        <f>AI115</f>
        <v/>
      </c>
      <c r="T115" s="81" t="n">
        <v>0</v>
      </c>
      <c r="Y115" s="81" t="n">
        <v>4295</v>
      </c>
      <c r="AD115" s="81" t="n">
        <v>21</v>
      </c>
      <c r="AE115" s="81" t="n">
        <v>45</v>
      </c>
      <c r="AF115" s="81" t="n">
        <v>95</v>
      </c>
      <c r="AI115" s="81" t="n">
        <v>-95</v>
      </c>
    </row>
    <row r="116">
      <c r="A116" s="72">
        <f>$D$22</f>
        <v/>
      </c>
      <c r="B116" s="72">
        <f>B115+1</f>
        <v/>
      </c>
      <c r="C116" s="72">
        <f>IF(K116="Vacant","Vac",IF(K116="Model","Model",IF(K116="Admin","Admin",IF(K116="Down","Down",IF(K116="Super","Super","Occ")))))</f>
        <v/>
      </c>
      <c r="D116" s="72">
        <f>INDEX($C$5:$C$9,MATCH(I116,$D$5:$D$9,0))</f>
        <v/>
      </c>
      <c r="E116" s="72">
        <f>INDEX($E$5:$E$9,MATCH(D116,$C$5:$C$9,0))</f>
        <v/>
      </c>
      <c r="F116" s="72">
        <f>INDEX($F$5:$F$9,MATCH(D116,$C$5:$C$9,0))</f>
        <v/>
      </c>
      <c r="G116" s="72">
        <f>INDEX($G$5:$G$9,MATCH(D116,$C$5:$C$9,0))</f>
        <v/>
      </c>
      <c r="H116" s="72" t="inlineStr">
        <is>
          <t>515</t>
        </is>
      </c>
      <c r="I116" s="72" t="inlineStr">
        <is>
          <t>15SD2B2B</t>
        </is>
      </c>
      <c r="J116" s="80" t="n">
        <v>1108</v>
      </c>
      <c r="K116" s="72" t="inlineStr">
        <is>
          <t>BENJAMIN WOLFER</t>
        </is>
      </c>
      <c r="L116" s="81" t="n">
        <v>4695</v>
      </c>
      <c r="M116" s="81">
        <f>Y116</f>
        <v/>
      </c>
      <c r="N116" s="82" t="n">
        <v>45901</v>
      </c>
      <c r="O116" s="82" t="n">
        <v>45901</v>
      </c>
      <c r="P116" s="82" t="n">
        <v>46295</v>
      </c>
      <c r="R116" s="81">
        <f>SUM(AB116:AG116)</f>
        <v/>
      </c>
      <c r="S116" s="81">
        <f>AI116</f>
        <v/>
      </c>
      <c r="T116" s="81" t="n">
        <v>0</v>
      </c>
      <c r="Y116" s="81" t="n">
        <v>4595</v>
      </c>
      <c r="AD116" s="81" t="n">
        <v>21</v>
      </c>
      <c r="AE116" s="81" t="n">
        <v>45</v>
      </c>
      <c r="AF116" s="81" t="n">
        <v>190</v>
      </c>
      <c r="AI116" s="81" t="n">
        <v>-706</v>
      </c>
    </row>
    <row r="117">
      <c r="A117" s="72">
        <f>$D$22</f>
        <v/>
      </c>
      <c r="B117" s="72">
        <f>B116+1</f>
        <v/>
      </c>
      <c r="C117" s="72">
        <f>IF(K117="Vacant","Vac",IF(K117="Model","Model",IF(K117="Admin","Admin",IF(K117="Down","Down",IF(K117="Super","Super","Occ")))))</f>
        <v/>
      </c>
      <c r="D117" s="72">
        <f>INDEX($C$5:$C$9,MATCH(I117,$D$5:$D$9,0))</f>
        <v/>
      </c>
      <c r="E117" s="72">
        <f>INDEX($E$5:$E$9,MATCH(D117,$C$5:$C$9,0))</f>
        <v/>
      </c>
      <c r="F117" s="72">
        <f>INDEX($F$5:$F$9,MATCH(D117,$C$5:$C$9,0))</f>
        <v/>
      </c>
      <c r="G117" s="72">
        <f>INDEX($G$5:$G$9,MATCH(D117,$C$5:$C$9,0))</f>
        <v/>
      </c>
      <c r="H117" s="72" t="inlineStr">
        <is>
          <t>516</t>
        </is>
      </c>
      <c r="I117" s="72" t="inlineStr">
        <is>
          <t>15SD1B1B</t>
        </is>
      </c>
      <c r="J117" s="80" t="n">
        <v>732</v>
      </c>
      <c r="K117" s="72" t="inlineStr">
        <is>
          <t>ARTI PANCHAL</t>
        </is>
      </c>
      <c r="L117" s="81" t="n">
        <v>3050</v>
      </c>
      <c r="M117" s="81">
        <f>Y117</f>
        <v/>
      </c>
      <c r="N117" s="82" t="n">
        <v>46174</v>
      </c>
      <c r="O117" s="82" t="n">
        <v>46174</v>
      </c>
      <c r="P117" s="82" t="n">
        <v>46568</v>
      </c>
      <c r="R117" s="81">
        <f>SUM(AB117:AG117)</f>
        <v/>
      </c>
      <c r="S117" s="81">
        <f>AI117</f>
        <v/>
      </c>
      <c r="T117" s="81" t="n">
        <v>0</v>
      </c>
      <c r="Y117" s="81" t="n">
        <v>2995</v>
      </c>
      <c r="AC117" s="81" t="n">
        <v>75</v>
      </c>
      <c r="AD117" s="81" t="n">
        <v>21</v>
      </c>
      <c r="AE117" s="81" t="n">
        <v>45</v>
      </c>
      <c r="AI117" s="81" t="n">
        <v>-75</v>
      </c>
    </row>
    <row r="118">
      <c r="A118" s="72">
        <f>$D$22</f>
        <v/>
      </c>
      <c r="B118" s="72">
        <f>B117+1</f>
        <v/>
      </c>
      <c r="C118" s="72">
        <f>IF(K118="Vacant","Vac",IF(K118="Model","Model",IF(K118="Admin","Admin",IF(K118="Down","Down",IF(K118="Super","Super","Occ")))))</f>
        <v/>
      </c>
      <c r="D118" s="72">
        <f>INDEX($C$5:$C$9,MATCH(I118,$D$5:$D$9,0))</f>
        <v/>
      </c>
      <c r="E118" s="72">
        <f>INDEX($E$5:$E$9,MATCH(D118,$C$5:$C$9,0))</f>
        <v/>
      </c>
      <c r="F118" s="72">
        <f>INDEX($F$5:$F$9,MATCH(D118,$C$5:$C$9,0))</f>
        <v/>
      </c>
      <c r="G118" s="72">
        <f>INDEX($G$5:$G$9,MATCH(D118,$C$5:$C$9,0))</f>
        <v/>
      </c>
      <c r="H118" s="72" t="inlineStr">
        <is>
          <t>517</t>
        </is>
      </c>
      <c r="I118" s="72" t="inlineStr">
        <is>
          <t>15SD1B1B</t>
        </is>
      </c>
      <c r="J118" s="80" t="n">
        <v>856</v>
      </c>
      <c r="K118" s="72" t="inlineStr">
        <is>
          <t>DAVID SCHUSTER</t>
        </is>
      </c>
      <c r="L118" s="81" t="n">
        <v>3595</v>
      </c>
      <c r="M118" s="81">
        <f>Y118</f>
        <v/>
      </c>
      <c r="N118" s="82" t="n">
        <v>45092</v>
      </c>
      <c r="O118" s="82" t="n">
        <v>45092</v>
      </c>
      <c r="P118" s="82" t="n">
        <v>46234</v>
      </c>
      <c r="R118" s="81">
        <f>SUM(AB118:AG118)</f>
        <v/>
      </c>
      <c r="S118" s="81">
        <f>AI118</f>
        <v/>
      </c>
      <c r="T118" s="81" t="n">
        <v>0</v>
      </c>
      <c r="Y118" s="81" t="n">
        <v>3595</v>
      </c>
      <c r="AD118" s="81" t="n">
        <v>21</v>
      </c>
      <c r="AE118" s="81" t="n">
        <v>45</v>
      </c>
      <c r="AF118" s="81" t="n">
        <v>95</v>
      </c>
    </row>
    <row r="119">
      <c r="A119" s="72">
        <f>$D$22</f>
        <v/>
      </c>
      <c r="B119" s="72">
        <f>B118+1</f>
        <v/>
      </c>
      <c r="C119" s="72">
        <f>IF(K119="Vacant","Vac",IF(K119="Model","Model",IF(K119="Admin","Admin",IF(K119="Down","Down",IF(K119="Super","Super","Occ")))))</f>
        <v/>
      </c>
      <c r="D119" s="72">
        <f>INDEX($C$5:$C$9,MATCH(I119,$D$5:$D$9,0))</f>
        <v/>
      </c>
      <c r="E119" s="72">
        <f>INDEX($E$5:$E$9,MATCH(D119,$C$5:$C$9,0))</f>
        <v/>
      </c>
      <c r="F119" s="72">
        <f>INDEX($F$5:$F$9,MATCH(D119,$C$5:$C$9,0))</f>
        <v/>
      </c>
      <c r="G119" s="72">
        <f>INDEX($G$5:$G$9,MATCH(D119,$C$5:$C$9,0))</f>
        <v/>
      </c>
      <c r="H119" s="72" t="inlineStr">
        <is>
          <t>518</t>
        </is>
      </c>
      <c r="I119" s="72" t="inlineStr">
        <is>
          <t>15SD1B1B</t>
        </is>
      </c>
      <c r="J119" s="80" t="n">
        <v>756</v>
      </c>
      <c r="K119" s="72" t="inlineStr">
        <is>
          <t>CAROLE SHULMAN</t>
        </is>
      </c>
      <c r="L119" s="81" t="n">
        <v>2800</v>
      </c>
      <c r="M119" s="81">
        <f>Y119</f>
        <v/>
      </c>
      <c r="N119" s="82" t="n">
        <v>45075</v>
      </c>
      <c r="O119" s="82" t="n">
        <v>45075</v>
      </c>
      <c r="P119" s="82" t="n">
        <v>46568</v>
      </c>
      <c r="R119" s="81">
        <f>SUM(AB119:AG119)</f>
        <v/>
      </c>
      <c r="S119" s="81">
        <f>AI119</f>
        <v/>
      </c>
      <c r="T119" s="81" t="n">
        <v>0</v>
      </c>
      <c r="Y119" s="81" t="n">
        <v>2884</v>
      </c>
      <c r="AC119" s="81" t="n">
        <v>295</v>
      </c>
      <c r="AD119" s="81" t="n">
        <v>21</v>
      </c>
      <c r="AE119" s="81" t="n">
        <v>45</v>
      </c>
      <c r="AF119" s="81" t="n">
        <v>95</v>
      </c>
    </row>
    <row r="120">
      <c r="A120" s="72">
        <f>$D$22</f>
        <v/>
      </c>
      <c r="B120" s="72">
        <f>B119+1</f>
        <v/>
      </c>
      <c r="C120" s="72">
        <f>IF(K120="Vacant","Vac",IF(K120="Model","Model",IF(K120="Admin","Admin",IF(K120="Down","Down",IF(K120="Super","Super","Occ")))))</f>
        <v/>
      </c>
      <c r="D120" s="72">
        <f>INDEX($C$5:$C$9,MATCH(I120,$D$5:$D$9,0))</f>
        <v/>
      </c>
      <c r="E120" s="72">
        <f>INDEX($E$5:$E$9,MATCH(D120,$C$5:$C$9,0))</f>
        <v/>
      </c>
      <c r="F120" s="72">
        <f>INDEX($F$5:$F$9,MATCH(D120,$C$5:$C$9,0))</f>
        <v/>
      </c>
      <c r="G120" s="72">
        <f>INDEX($G$5:$G$9,MATCH(D120,$C$5:$C$9,0))</f>
        <v/>
      </c>
      <c r="H120" s="72" t="inlineStr">
        <is>
          <t>519</t>
        </is>
      </c>
      <c r="I120" s="72" t="inlineStr">
        <is>
          <t>15SD2B2D</t>
        </is>
      </c>
      <c r="J120" s="80" t="n">
        <v>1164</v>
      </c>
      <c r="K120" s="72" t="inlineStr">
        <is>
          <t>SASHERY FELIZ</t>
        </is>
      </c>
      <c r="L120" s="81" t="n">
        <v>4250</v>
      </c>
      <c r="M120" s="81">
        <f>Y120</f>
        <v/>
      </c>
      <c r="N120" s="82" t="n">
        <v>45931</v>
      </c>
      <c r="O120" s="82" t="n">
        <v>45931</v>
      </c>
      <c r="P120" s="82" t="n">
        <v>46295</v>
      </c>
      <c r="R120" s="81">
        <f>SUM(AB120:AG120)</f>
        <v/>
      </c>
      <c r="S120" s="81">
        <f>AI120</f>
        <v/>
      </c>
      <c r="T120" s="81" t="n">
        <v>0</v>
      </c>
      <c r="Y120" s="81" t="n">
        <v>4038</v>
      </c>
      <c r="AB120" s="81" t="n">
        <v>50</v>
      </c>
      <c r="AC120" s="81" t="n">
        <v>75</v>
      </c>
      <c r="AD120" s="81" t="n">
        <v>21</v>
      </c>
      <c r="AE120" s="81" t="n">
        <v>45</v>
      </c>
      <c r="AF120" s="81" t="n">
        <v>160</v>
      </c>
    </row>
    <row r="121">
      <c r="A121" s="72">
        <f>$D$22</f>
        <v/>
      </c>
      <c r="B121" s="72">
        <f>B120+1</f>
        <v/>
      </c>
      <c r="C121" s="72">
        <f>IF(K121="Vacant","Vac",IF(K121="Model","Model",IF(K121="Admin","Admin",IF(K121="Down","Down",IF(K121="Super","Super","Occ")))))</f>
        <v/>
      </c>
      <c r="D121" s="72">
        <f>INDEX($C$5:$C$9,MATCH(I121,$D$5:$D$9,0))</f>
        <v/>
      </c>
      <c r="E121" s="72">
        <f>INDEX($E$5:$E$9,MATCH(D121,$C$5:$C$9,0))</f>
        <v/>
      </c>
      <c r="F121" s="72">
        <f>INDEX($F$5:$F$9,MATCH(D121,$C$5:$C$9,0))</f>
        <v/>
      </c>
      <c r="G121" s="72">
        <f>INDEX($G$5:$G$9,MATCH(D121,$C$5:$C$9,0))</f>
        <v/>
      </c>
      <c r="H121" s="72" t="inlineStr">
        <is>
          <t>520</t>
        </is>
      </c>
      <c r="I121" s="72" t="inlineStr">
        <is>
          <t>15SD2B2B</t>
        </is>
      </c>
      <c r="J121" s="80" t="n">
        <v>1189</v>
      </c>
      <c r="K121" s="72" t="inlineStr">
        <is>
          <t>GUN ELISABET DRONGE</t>
        </is>
      </c>
      <c r="L121" s="81" t="n">
        <v>4250</v>
      </c>
      <c r="M121" s="81">
        <f>Y121</f>
        <v/>
      </c>
      <c r="N121" s="82" t="n">
        <v>45275</v>
      </c>
      <c r="O121" s="82" t="n">
        <v>45275</v>
      </c>
      <c r="P121" s="82" t="n">
        <v>46538</v>
      </c>
      <c r="R121" s="81">
        <f>SUM(AB121:AG121)</f>
        <v/>
      </c>
      <c r="S121" s="81">
        <f>AI121</f>
        <v/>
      </c>
      <c r="T121" s="81" t="n">
        <v>0</v>
      </c>
      <c r="Y121" s="81" t="n">
        <v>4395</v>
      </c>
      <c r="AD121" s="81" t="n">
        <v>21</v>
      </c>
      <c r="AE121" s="81" t="n">
        <v>45</v>
      </c>
    </row>
    <row r="122">
      <c r="A122" s="72">
        <f>$D$22</f>
        <v/>
      </c>
      <c r="B122" s="72">
        <f>B121+1</f>
        <v/>
      </c>
      <c r="C122" s="72">
        <f>IF(K122="Vacant","Vac",IF(K122="Model","Model",IF(K122="Admin","Admin",IF(K122="Down","Down",IF(K122="Super","Super","Occ")))))</f>
        <v/>
      </c>
      <c r="D122" s="72">
        <f>INDEX($C$5:$C$9,MATCH(I122,$D$5:$D$9,0))</f>
        <v/>
      </c>
      <c r="E122" s="72">
        <f>INDEX($E$5:$E$9,MATCH(D122,$C$5:$C$9,0))</f>
        <v/>
      </c>
      <c r="F122" s="72">
        <f>INDEX($F$5:$F$9,MATCH(D122,$C$5:$C$9,0))</f>
        <v/>
      </c>
      <c r="G122" s="72">
        <f>INDEX($G$5:$G$9,MATCH(D122,$C$5:$C$9,0))</f>
        <v/>
      </c>
      <c r="H122" s="72" t="inlineStr">
        <is>
          <t>521</t>
        </is>
      </c>
      <c r="I122" s="72" t="inlineStr">
        <is>
          <t>15SD1B1D</t>
        </is>
      </c>
      <c r="J122" s="80" t="n">
        <v>768</v>
      </c>
      <c r="K122" s="72" t="inlineStr">
        <is>
          <t>DAVID HONG</t>
        </is>
      </c>
      <c r="L122" s="81" t="n">
        <v>3075</v>
      </c>
      <c r="M122" s="81">
        <f>Y122</f>
        <v/>
      </c>
      <c r="N122" s="82" t="n">
        <v>45724</v>
      </c>
      <c r="O122" s="82" t="n">
        <v>45724</v>
      </c>
      <c r="P122" s="82" t="n">
        <v>46265</v>
      </c>
      <c r="R122" s="81">
        <f>SUM(AB122:AG122)</f>
        <v/>
      </c>
      <c r="S122" s="81">
        <f>AI122</f>
        <v/>
      </c>
      <c r="T122" s="81" t="n">
        <v>0</v>
      </c>
      <c r="Y122" s="81" t="n">
        <v>3295</v>
      </c>
      <c r="AB122" s="81" t="n">
        <v>50</v>
      </c>
      <c r="AD122" s="81" t="n">
        <v>21</v>
      </c>
      <c r="AE122" s="81" t="n">
        <v>45</v>
      </c>
      <c r="AF122" s="81" t="n">
        <v>190</v>
      </c>
      <c r="AI122" s="81" t="n">
        <v>-366.11</v>
      </c>
    </row>
    <row r="123">
      <c r="A123" s="72">
        <f>$D$22</f>
        <v/>
      </c>
      <c r="B123" s="72">
        <f>B122+1</f>
        <v/>
      </c>
      <c r="C123" s="72">
        <f>IF(K123="Vacant","Vac",IF(K123="Model","Model",IF(K123="Admin","Admin",IF(K123="Down","Down",IF(K123="Super","Super","Occ")))))</f>
        <v/>
      </c>
      <c r="D123" s="72">
        <f>INDEX($C$5:$C$9,MATCH(I123,$D$5:$D$9,0))</f>
        <v/>
      </c>
      <c r="E123" s="72">
        <f>INDEX($E$5:$E$9,MATCH(D123,$C$5:$C$9,0))</f>
        <v/>
      </c>
      <c r="F123" s="72">
        <f>INDEX($F$5:$F$9,MATCH(D123,$C$5:$C$9,0))</f>
        <v/>
      </c>
      <c r="G123" s="72">
        <f>INDEX($G$5:$G$9,MATCH(D123,$C$5:$C$9,0))</f>
        <v/>
      </c>
      <c r="H123" s="72" t="inlineStr">
        <is>
          <t>522</t>
        </is>
      </c>
      <c r="I123" s="72" t="inlineStr">
        <is>
          <t>15SD2B2B</t>
        </is>
      </c>
      <c r="J123" s="80" t="n">
        <v>1022</v>
      </c>
      <c r="K123" s="72" t="inlineStr">
        <is>
          <t>NATALIA CLASH</t>
        </is>
      </c>
      <c r="L123" s="81" t="n">
        <v>3695</v>
      </c>
      <c r="M123" s="81">
        <f>Y123</f>
        <v/>
      </c>
      <c r="N123" s="82" t="n">
        <v>46127</v>
      </c>
      <c r="O123" s="82" t="n">
        <v>46127</v>
      </c>
      <c r="P123" s="82" t="n">
        <v>46491</v>
      </c>
      <c r="R123" s="81">
        <f>SUM(AB123:AG123)</f>
        <v/>
      </c>
      <c r="S123" s="81">
        <f>AI123</f>
        <v/>
      </c>
      <c r="T123" s="81" t="n">
        <v>0</v>
      </c>
      <c r="Y123" s="81" t="n">
        <v>3893</v>
      </c>
      <c r="AC123" s="81" t="n">
        <v>75</v>
      </c>
      <c r="AD123" s="81" t="n">
        <v>21</v>
      </c>
      <c r="AE123" s="81" t="n">
        <v>45</v>
      </c>
      <c r="AF123" s="81" t="n">
        <v>165</v>
      </c>
    </row>
    <row r="124">
      <c r="A124" s="72">
        <f>$D$22</f>
        <v/>
      </c>
      <c r="B124" s="72">
        <f>B123+1</f>
        <v/>
      </c>
      <c r="C124" s="72">
        <f>IF(K124="Vacant","Vac",IF(K124="Model","Model",IF(K124="Admin","Admin",IF(K124="Down","Down",IF(K124="Super","Super","Occ")))))</f>
        <v/>
      </c>
      <c r="D124" s="72">
        <f>INDEX($C$5:$C$9,MATCH(I124,$D$5:$D$9,0))</f>
        <v/>
      </c>
      <c r="E124" s="72">
        <f>INDEX($E$5:$E$9,MATCH(D124,$C$5:$C$9,0))</f>
        <v/>
      </c>
      <c r="F124" s="72">
        <f>INDEX($F$5:$F$9,MATCH(D124,$C$5:$C$9,0))</f>
        <v/>
      </c>
      <c r="G124" s="72">
        <f>INDEX($G$5:$G$9,MATCH(D124,$C$5:$C$9,0))</f>
        <v/>
      </c>
      <c r="H124" s="72" t="inlineStr">
        <is>
          <t>523</t>
        </is>
      </c>
      <c r="I124" s="72" t="inlineStr">
        <is>
          <t>15SD2B2B</t>
        </is>
      </c>
      <c r="J124" s="80" t="n">
        <v>1008</v>
      </c>
      <c r="K124" s="72" t="inlineStr">
        <is>
          <t>TATIANA PERLOV</t>
        </is>
      </c>
      <c r="L124" s="81" t="n">
        <v>3695</v>
      </c>
      <c r="M124" s="81">
        <f>Y124</f>
        <v/>
      </c>
      <c r="N124" s="82" t="n">
        <v>45170</v>
      </c>
      <c r="O124" s="82" t="n">
        <v>45170</v>
      </c>
      <c r="P124" s="82" t="n">
        <v>46295</v>
      </c>
      <c r="R124" s="81">
        <f>SUM(AB124:AG124)</f>
        <v/>
      </c>
      <c r="S124" s="81">
        <f>AI124</f>
        <v/>
      </c>
      <c r="T124" s="81" t="n">
        <v>0</v>
      </c>
      <c r="Y124" s="81" t="n">
        <v>3871</v>
      </c>
      <c r="AD124" s="81" t="n">
        <v>21</v>
      </c>
      <c r="AE124" s="81" t="n">
        <v>45</v>
      </c>
      <c r="AF124" s="81" t="n">
        <v>95</v>
      </c>
    </row>
    <row r="125">
      <c r="A125" s="83">
        <f>$D$22</f>
        <v/>
      </c>
      <c r="B125" s="83">
        <f>B124+1</f>
        <v/>
      </c>
      <c r="C125" s="83">
        <f>IF(K125="Vacant","Vac",IF(K125="Model","Model",IF(K125="Admin","Admin",IF(K125="Down","Down",IF(K125="Super","Super","Occ")))))</f>
        <v/>
      </c>
      <c r="D125" s="83">
        <f>INDEX($C$5:$C$9,MATCH(I125,$D$5:$D$9,0))</f>
        <v/>
      </c>
      <c r="E125" s="83">
        <f>INDEX($E$5:$E$9,MATCH(D125,$C$5:$C$9,0))</f>
        <v/>
      </c>
      <c r="F125" s="83">
        <f>INDEX($F$5:$F$9,MATCH(D125,$C$5:$C$9,0))</f>
        <v/>
      </c>
      <c r="G125" s="83">
        <f>INDEX($G$5:$G$9,MATCH(D125,$C$5:$C$9,0))</f>
        <v/>
      </c>
      <c r="H125" s="83" t="inlineStr">
        <is>
          <t>524</t>
        </is>
      </c>
      <c r="I125" s="83" t="inlineStr">
        <is>
          <t>15SD2B2D</t>
        </is>
      </c>
      <c r="J125" s="84" t="n">
        <v>1163</v>
      </c>
      <c r="K125" s="83" t="inlineStr">
        <is>
          <t>Vacant</t>
        </is>
      </c>
      <c r="L125" s="85" t="n">
        <v>4295</v>
      </c>
      <c r="M125" s="85">
        <f>Y125</f>
        <v/>
      </c>
      <c r="N125" s="86" t="n"/>
      <c r="O125" s="86" t="n"/>
      <c r="P125" s="86" t="n"/>
      <c r="Q125" s="86" t="n"/>
      <c r="R125" s="85">
        <f>SUM(AB125:AG125)</f>
        <v/>
      </c>
      <c r="S125" s="85">
        <f>AI125</f>
        <v/>
      </c>
      <c r="T125" s="85" t="n">
        <v>0</v>
      </c>
      <c r="U125" s="86" t="n"/>
      <c r="V125" s="86" t="n"/>
      <c r="W125" s="86" t="n"/>
      <c r="X125" s="86" t="n"/>
      <c r="Y125" s="85" t="n">
        <v>0</v>
      </c>
      <c r="Z125" s="86" t="n"/>
      <c r="AA125" s="86" t="n"/>
      <c r="AB125" s="86" t="n"/>
      <c r="AC125" s="86" t="n"/>
      <c r="AD125" s="86" t="n"/>
      <c r="AE125" s="86" t="n"/>
      <c r="AF125" s="86" t="n"/>
      <c r="AG125" s="86" t="n"/>
      <c r="AH125" s="86" t="n"/>
      <c r="AI125" s="86" t="n"/>
    </row>
    <row r="126">
      <c r="A126" s="72">
        <f>$D$22</f>
        <v/>
      </c>
      <c r="B126" s="72">
        <f>B125+1</f>
        <v/>
      </c>
      <c r="C126" s="72">
        <f>IF(K126="Vacant","Vac",IF(K126="Model","Model",IF(K126="Admin","Admin",IF(K126="Down","Down",IF(K126="Super","Super","Occ")))))</f>
        <v/>
      </c>
      <c r="D126" s="72">
        <f>INDEX($C$5:$C$9,MATCH(I126,$D$5:$D$9,0))</f>
        <v/>
      </c>
      <c r="E126" s="72">
        <f>INDEX($E$5:$E$9,MATCH(D126,$C$5:$C$9,0))</f>
        <v/>
      </c>
      <c r="F126" s="72">
        <f>INDEX($F$5:$F$9,MATCH(D126,$C$5:$C$9,0))</f>
        <v/>
      </c>
      <c r="G126" s="72">
        <f>INDEX($G$5:$G$9,MATCH(D126,$C$5:$C$9,0))</f>
        <v/>
      </c>
      <c r="H126" s="72" t="inlineStr">
        <is>
          <t>525</t>
        </is>
      </c>
      <c r="I126" s="72" t="inlineStr">
        <is>
          <t>15SD2B2B</t>
        </is>
      </c>
      <c r="J126" s="80" t="n">
        <v>1188</v>
      </c>
      <c r="K126" s="72" t="inlineStr">
        <is>
          <t>JESSICA SILLARO</t>
        </is>
      </c>
      <c r="L126" s="81" t="n">
        <v>4250</v>
      </c>
      <c r="M126" s="81">
        <f>Y126</f>
        <v/>
      </c>
      <c r="N126" s="82" t="n">
        <v>45566</v>
      </c>
      <c r="O126" s="82" t="n">
        <v>45566</v>
      </c>
      <c r="P126" s="82" t="n">
        <v>46326</v>
      </c>
      <c r="R126" s="81">
        <f>SUM(AB126:AG126)</f>
        <v/>
      </c>
      <c r="S126" s="81">
        <f>AI126</f>
        <v/>
      </c>
      <c r="T126" s="81" t="n">
        <v>0</v>
      </c>
      <c r="Y126" s="81" t="n">
        <v>4395</v>
      </c>
      <c r="AD126" s="81" t="n">
        <v>21</v>
      </c>
      <c r="AE126" s="81" t="n">
        <v>45</v>
      </c>
      <c r="AF126" s="81" t="n">
        <v>285</v>
      </c>
    </row>
    <row r="127">
      <c r="A127" s="83">
        <f>$D$22</f>
        <v/>
      </c>
      <c r="B127" s="83">
        <f>B126+1</f>
        <v/>
      </c>
      <c r="C127" s="83">
        <f>IF(K127="Vacant","Vac",IF(K127="Model","Model",IF(K127="Admin","Admin",IF(K127="Down","Down",IF(K127="Super","Super","Occ")))))</f>
        <v/>
      </c>
      <c r="D127" s="83">
        <f>INDEX($C$5:$C$9,MATCH(I127,$D$5:$D$9,0))</f>
        <v/>
      </c>
      <c r="E127" s="83">
        <f>INDEX($E$5:$E$9,MATCH(D127,$C$5:$C$9,0))</f>
        <v/>
      </c>
      <c r="F127" s="83">
        <f>INDEX($F$5:$F$9,MATCH(D127,$C$5:$C$9,0))</f>
        <v/>
      </c>
      <c r="G127" s="83">
        <f>INDEX($G$5:$G$9,MATCH(D127,$C$5:$C$9,0))</f>
        <v/>
      </c>
      <c r="H127" s="83" t="inlineStr">
        <is>
          <t>526</t>
        </is>
      </c>
      <c r="I127" s="83" t="inlineStr">
        <is>
          <t>15SD1B1D</t>
        </is>
      </c>
      <c r="J127" s="84" t="n">
        <v>817</v>
      </c>
      <c r="K127" s="83" t="inlineStr">
        <is>
          <t>Vacant</t>
        </is>
      </c>
      <c r="L127" s="85" t="n">
        <v>3200</v>
      </c>
      <c r="M127" s="85">
        <f>Y127</f>
        <v/>
      </c>
      <c r="N127" s="86" t="n"/>
      <c r="O127" s="86" t="n"/>
      <c r="P127" s="86" t="n"/>
      <c r="Q127" s="86" t="n"/>
      <c r="R127" s="85">
        <f>SUM(AB127:AG127)</f>
        <v/>
      </c>
      <c r="S127" s="85">
        <f>AI127</f>
        <v/>
      </c>
      <c r="T127" s="85" t="n">
        <v>0</v>
      </c>
      <c r="U127" s="86" t="n"/>
      <c r="V127" s="86" t="n"/>
      <c r="W127" s="86" t="n"/>
      <c r="X127" s="86" t="n"/>
      <c r="Y127" s="85" t="n">
        <v>0</v>
      </c>
      <c r="Z127" s="86" t="n"/>
      <c r="AA127" s="86" t="n"/>
      <c r="AB127" s="86" t="n"/>
      <c r="AC127" s="86" t="n"/>
      <c r="AD127" s="86" t="n"/>
      <c r="AE127" s="86" t="n"/>
      <c r="AF127" s="86" t="n"/>
      <c r="AG127" s="86" t="n"/>
      <c r="AH127" s="86" t="n"/>
      <c r="AI127" s="8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2026-07-28T14:30:46Z</dcterms:created>
  <dcterms:modified xmlns:dcterms="http://purl.org/dc/terms/" xmlns:xsi="http://www.w3.org/2001/XMLSchema-instance" xsi:type="dcterms:W3CDTF">2026-07-28T14:30:46Z</dcterms:modified>
</cp:coreProperties>
</file>