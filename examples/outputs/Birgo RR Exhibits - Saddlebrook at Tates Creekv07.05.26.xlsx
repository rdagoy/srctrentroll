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Mix &amp; RR Summary" sheetId="1" state="visible" r:id="rId1"/>
    <sheet name="Recent Leases" sheetId="2" state="visible" r:id="rId2"/>
    <sheet name="Unit Mix based on # of Beds" sheetId="3" state="visible" r:id="rId3"/>
    <sheet name="Pres. Rent Roll" sheetId="4" state="visible" r:id="rId4"/>
    <sheet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Saddlebrook at Tates Creek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Saddlebrook at Tates Creek</t>
        </is>
      </c>
      <c r="E6" s="7" t="inlineStr">
        <is>
          <t>1 Bedroom</t>
        </is>
      </c>
      <c r="F6" s="8" t="n">
        <v>103</v>
      </c>
      <c r="G6" s="9" t="n">
        <v>108</v>
      </c>
      <c r="H6" s="10" t="n">
        <v>91680</v>
      </c>
      <c r="I6" s="10" t="n">
        <v>848.8888888888889</v>
      </c>
      <c r="J6" s="11" t="n">
        <v>136259</v>
      </c>
      <c r="K6" s="11" t="n">
        <v>1261.657407407407</v>
      </c>
      <c r="L6" s="12" t="n">
        <v>1.486245636998255</v>
      </c>
      <c r="M6" s="11" t="n">
        <v>125926</v>
      </c>
      <c r="N6" s="11" t="n">
        <v>1222.582524271845</v>
      </c>
      <c r="O6" s="12" t="n">
        <v>1.439549133476611</v>
      </c>
      <c r="P6" s="11" t="n">
        <v>1816</v>
      </c>
      <c r="Q6" s="11" t="n">
        <v>5756</v>
      </c>
      <c r="S6" s="10" t="n">
        <v>87476</v>
      </c>
    </row>
    <row r="7">
      <c r="D7" s="7" t="inlineStr">
        <is>
          <t>Saddlebrook at Tates Creek</t>
        </is>
      </c>
      <c r="E7" s="7" t="inlineStr">
        <is>
          <t>2 Bedroom</t>
        </is>
      </c>
      <c r="F7" s="8" t="n">
        <v>67</v>
      </c>
      <c r="G7" s="9" t="n">
        <v>72</v>
      </c>
      <c r="H7" s="10" t="n">
        <v>90270</v>
      </c>
      <c r="I7" s="10" t="n">
        <v>1253.75</v>
      </c>
      <c r="J7" s="11" t="n">
        <v>106163</v>
      </c>
      <c r="K7" s="11" t="n">
        <v>1474.486111111111</v>
      </c>
      <c r="L7" s="12" t="n">
        <v>1.176060706768583</v>
      </c>
      <c r="M7" s="11" t="n">
        <v>101141</v>
      </c>
      <c r="N7" s="11" t="n">
        <v>1509.567164179105</v>
      </c>
      <c r="O7" s="12" t="n">
        <v>1.205293514788951</v>
      </c>
      <c r="P7" s="11" t="n">
        <v>3106</v>
      </c>
      <c r="Q7" s="11" t="n">
        <v>4501</v>
      </c>
      <c r="S7" s="10" t="n">
        <v>83914</v>
      </c>
    </row>
    <row r="8">
      <c r="D8" s="7" t="inlineStr">
        <is>
          <t>Saddlebrook at Tates Creek</t>
        </is>
      </c>
      <c r="E8" s="7" t="inlineStr">
        <is>
          <t>Executive Home</t>
        </is>
      </c>
      <c r="F8" s="8" t="n">
        <v>1</v>
      </c>
      <c r="G8" s="9" t="n">
        <v>1</v>
      </c>
      <c r="H8" s="10" t="n">
        <v>3400</v>
      </c>
      <c r="I8" s="10" t="n">
        <v>3400</v>
      </c>
      <c r="J8" s="11" t="n">
        <v>3468</v>
      </c>
      <c r="K8" s="11" t="n">
        <v>3468</v>
      </c>
      <c r="L8" s="12" t="n">
        <v>1.02</v>
      </c>
      <c r="M8" s="11" t="n">
        <v>2600</v>
      </c>
      <c r="N8" s="11" t="n">
        <v>2600</v>
      </c>
      <c r="O8" s="12" t="n">
        <v>0.7647058823529411</v>
      </c>
      <c r="P8" s="11" t="n">
        <v>2600</v>
      </c>
      <c r="Q8" s="11" t="n">
        <v>67</v>
      </c>
      <c r="S8" s="10" t="n">
        <v>3400</v>
      </c>
    </row>
    <row r="9">
      <c r="C9" s="13" t="inlineStr">
        <is>
          <t>Total/Wtd Average</t>
        </is>
      </c>
      <c r="D9" s="13" t="n"/>
      <c r="E9" s="13" t="n"/>
      <c r="F9" s="14" t="n">
        <v>171</v>
      </c>
      <c r="G9" s="15" t="n">
        <v>181</v>
      </c>
      <c r="H9" s="16" t="n">
        <v>185350</v>
      </c>
      <c r="I9" s="16" t="n">
        <v>1024.033149171271</v>
      </c>
      <c r="J9" s="17" t="n">
        <v>245890</v>
      </c>
      <c r="K9" s="17" t="n">
        <v>1358.508287292818</v>
      </c>
      <c r="L9" s="18" t="n">
        <v>1.326625303479903</v>
      </c>
      <c r="M9" s="17" t="n">
        <v>229667</v>
      </c>
      <c r="N9" s="17" t="n">
        <v>1343.081871345029</v>
      </c>
      <c r="O9" s="18" t="n">
        <v>1.313959608673265</v>
      </c>
      <c r="P9" s="17" t="n">
        <v>2333.480662983425</v>
      </c>
      <c r="Q9" s="17" t="n">
        <v>10324</v>
      </c>
      <c r="S9" s="16" t="n">
        <v>174790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181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171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0.9447513812154696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185350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174790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0.943026706231454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2950680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2756004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123888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181</v>
      </c>
    </row>
    <row r="43">
      <c r="U43" s="26" t="inlineStr">
        <is>
          <t>Occ Units</t>
        </is>
      </c>
      <c r="W43" s="27" t="n">
        <v>171</v>
      </c>
    </row>
    <row r="44">
      <c r="U44" s="26" t="inlineStr">
        <is>
          <t>Unit %Occ</t>
        </is>
      </c>
      <c r="W44" s="28" t="n">
        <v>0.9447513812154696</v>
      </c>
    </row>
    <row r="45">
      <c r="U45" s="26" t="inlineStr">
        <is>
          <t>Net Sq Ft</t>
        </is>
      </c>
      <c r="W45" s="27" t="n">
        <v>185350</v>
      </c>
    </row>
    <row r="46">
      <c r="U46" s="26" t="inlineStr">
        <is>
          <t>SF Occ</t>
        </is>
      </c>
      <c r="W46" s="27" t="n">
        <v>174790</v>
      </c>
    </row>
    <row r="47">
      <c r="U47" s="26" t="inlineStr">
        <is>
          <t>% SF Occ</t>
        </is>
      </c>
      <c r="W47" s="28" t="n">
        <v>0.943026706231454</v>
      </c>
    </row>
    <row r="48">
      <c r="U48" s="26" t="inlineStr">
        <is>
          <t>Mkt Rent</t>
        </is>
      </c>
      <c r="W48" s="27" t="n">
        <v>245890</v>
      </c>
    </row>
    <row r="49">
      <c r="U49" s="26" t="inlineStr">
        <is>
          <t>Cont Rent</t>
        </is>
      </c>
      <c r="W49" s="27" t="n">
        <v>229667</v>
      </c>
    </row>
    <row r="50">
      <c r="U50" s="26" t="inlineStr">
        <is>
          <t>Conc</t>
        </is>
      </c>
      <c r="W50" s="27" t="n">
        <v>-1319</v>
      </c>
    </row>
    <row r="51">
      <c r="U51" s="26" t="inlineStr">
        <is>
          <t>Other Inc</t>
        </is>
      </c>
      <c r="W51" s="27" t="n">
        <v>10324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Saddlebrook at Tates Creek</t>
        </is>
      </c>
      <c r="Y3" s="30" t="n">
        <v>46208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Saddlebrook at Tates Creek</t>
        </is>
      </c>
      <c r="E7" s="36" t="inlineStr">
        <is>
          <t>1 Bedroom</t>
        </is>
      </c>
      <c r="F7" s="37" t="n">
        <v>103</v>
      </c>
      <c r="G7" s="9" t="n">
        <v>108</v>
      </c>
      <c r="H7" s="10" t="n">
        <v>91680</v>
      </c>
      <c r="I7" s="10" t="n">
        <v>848.8888888888889</v>
      </c>
      <c r="J7" s="11" t="n">
        <v>1261.657407407407</v>
      </c>
      <c r="K7" s="38" t="n">
        <v>1260.95145631068</v>
      </c>
      <c r="L7" s="11" t="n">
        <v>1222.582524271845</v>
      </c>
      <c r="M7" s="39" t="n">
        <v>0.9695714439704954</v>
      </c>
      <c r="N7" s="38" t="n">
        <v>1267.733333333333</v>
      </c>
      <c r="O7" s="40" t="n">
        <v>15</v>
      </c>
      <c r="P7" s="11" t="n">
        <v>1264.384615384615</v>
      </c>
      <c r="Q7" s="40" t="n">
        <v>13</v>
      </c>
      <c r="R7" s="11" t="n">
        <v>1269.416666666667</v>
      </c>
      <c r="S7" s="40" t="n">
        <v>12</v>
      </c>
      <c r="T7" s="11" t="n">
        <v>1304.888888888889</v>
      </c>
      <c r="U7" s="40" t="n">
        <v>9</v>
      </c>
      <c r="V7" s="11" t="n">
        <v>1306.25</v>
      </c>
      <c r="W7" s="40" t="n">
        <v>4</v>
      </c>
    </row>
    <row r="8">
      <c r="D8" s="36" t="inlineStr">
        <is>
          <t>Saddlebrook at Tates Creek</t>
        </is>
      </c>
      <c r="E8" s="36" t="inlineStr">
        <is>
          <t>2 Bedroom</t>
        </is>
      </c>
      <c r="F8" s="37" t="n">
        <v>67</v>
      </c>
      <c r="G8" s="9" t="n">
        <v>72</v>
      </c>
      <c r="H8" s="10" t="n">
        <v>90270</v>
      </c>
      <c r="I8" s="10" t="n">
        <v>1253.75</v>
      </c>
      <c r="J8" s="11" t="n">
        <v>1474.486111111111</v>
      </c>
      <c r="K8" s="38" t="n">
        <v>1447.283582089552</v>
      </c>
      <c r="L8" s="11" t="n">
        <v>1509.567164179105</v>
      </c>
      <c r="M8" s="39" t="n">
        <v>1.043034815609273</v>
      </c>
      <c r="N8" s="38" t="n">
        <v>1657</v>
      </c>
      <c r="O8" s="40" t="n">
        <v>11</v>
      </c>
      <c r="P8" s="11" t="n">
        <v>1657.5</v>
      </c>
      <c r="Q8" s="40" t="n">
        <v>10</v>
      </c>
      <c r="R8" s="11" t="n">
        <v>1657.5</v>
      </c>
      <c r="S8" s="40" t="n">
        <v>10</v>
      </c>
      <c r="T8" s="11" t="n">
        <v>1756.666666666667</v>
      </c>
      <c r="U8" s="40" t="n">
        <v>6</v>
      </c>
      <c r="V8" s="11" t="n">
        <v>1911.75</v>
      </c>
      <c r="W8" s="40" t="n">
        <v>4</v>
      </c>
    </row>
    <row r="9">
      <c r="D9" s="36" t="inlineStr">
        <is>
          <t>Saddlebrook at Tates Creek</t>
        </is>
      </c>
      <c r="E9" s="36" t="inlineStr">
        <is>
          <t>Executive Home</t>
        </is>
      </c>
      <c r="F9" s="37" t="n">
        <v>1</v>
      </c>
      <c r="G9" s="9" t="n">
        <v>1</v>
      </c>
      <c r="H9" s="10" t="n">
        <v>3400</v>
      </c>
      <c r="I9" s="10" t="n">
        <v>3400</v>
      </c>
      <c r="J9" s="11" t="n">
        <v>3468</v>
      </c>
      <c r="K9" s="38" t="n">
        <v>3468</v>
      </c>
      <c r="L9" s="11" t="n">
        <v>2600</v>
      </c>
      <c r="M9" s="39" t="n">
        <v>0.7497116493656286</v>
      </c>
      <c r="N9" s="38" t="n">
        <v>2600</v>
      </c>
      <c r="O9" s="40" t="n">
        <v>1</v>
      </c>
      <c r="P9" s="11" t="n">
        <v>2600</v>
      </c>
      <c r="Q9" s="40" t="n">
        <v>1</v>
      </c>
      <c r="R9" s="11" t="n">
        <v>2600</v>
      </c>
      <c r="S9" s="40" t="n">
        <v>1</v>
      </c>
      <c r="T9" s="11" t="inlineStr">
        <is>
          <t>n/a</t>
        </is>
      </c>
      <c r="U9" s="40" t="n">
        <v>0</v>
      </c>
      <c r="V9" s="11" t="inlineStr">
        <is>
          <t>n/a</t>
        </is>
      </c>
      <c r="W9" s="40" t="n">
        <v>0</v>
      </c>
    </row>
    <row r="10">
      <c r="C10" s="13" t="inlineStr">
        <is>
          <t>Total/Wtd Average</t>
        </is>
      </c>
      <c r="D10" s="41" t="n"/>
      <c r="E10" s="41" t="n"/>
      <c r="F10" s="15" t="n">
        <v>171</v>
      </c>
      <c r="G10" s="15" t="n">
        <v>181</v>
      </c>
      <c r="H10" s="16" t="n">
        <v>185350</v>
      </c>
      <c r="I10" s="16" t="n">
        <v>1024.033149171271</v>
      </c>
      <c r="J10" s="17" t="n">
        <v>1358.508287292818</v>
      </c>
      <c r="K10" s="42" t="n">
        <v>1346.865497076023</v>
      </c>
      <c r="L10" s="17" t="n">
        <v>1343.081871345029</v>
      </c>
      <c r="M10" s="43" t="n">
        <v>0.9971907917017637</v>
      </c>
      <c r="N10" s="42" t="inlineStr">
        <is>
          <t>n/a</t>
        </is>
      </c>
      <c r="O10" s="44" t="n">
        <v>27</v>
      </c>
      <c r="P10" s="17" t="inlineStr">
        <is>
          <t>n/a</t>
        </is>
      </c>
      <c r="Q10" s="44" t="n">
        <v>24</v>
      </c>
      <c r="R10" s="17" t="inlineStr">
        <is>
          <t>n/a</t>
        </is>
      </c>
      <c r="S10" s="44" t="n">
        <v>23</v>
      </c>
      <c r="T10" s="17" t="inlineStr">
        <is>
          <t>n/a</t>
        </is>
      </c>
      <c r="U10" s="44" t="n">
        <v>15</v>
      </c>
      <c r="V10" s="17" t="inlineStr">
        <is>
          <t>n/a</t>
        </is>
      </c>
      <c r="W10" s="45" t="n">
        <v>8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181</v>
      </c>
    </row>
    <row r="60">
      <c r="Z60" s="26" t="inlineStr">
        <is>
          <t>Occ Units</t>
        </is>
      </c>
      <c r="AB60" s="27" t="n">
        <v>171</v>
      </c>
    </row>
    <row r="61">
      <c r="Z61" s="26" t="inlineStr">
        <is>
          <t>Unit %Occ</t>
        </is>
      </c>
      <c r="AB61" s="28" t="n">
        <v>0.9447513812154696</v>
      </c>
    </row>
    <row r="62">
      <c r="Z62" s="26" t="inlineStr">
        <is>
          <t>Net Sq Ft</t>
        </is>
      </c>
      <c r="AB62" s="27" t="n">
        <v>185350</v>
      </c>
    </row>
    <row r="63">
      <c r="Z63" s="26" t="inlineStr">
        <is>
          <t>SF Occ</t>
        </is>
      </c>
      <c r="AB63" s="27" t="n">
        <v>174790</v>
      </c>
    </row>
    <row r="64">
      <c r="Z64" s="26" t="inlineStr">
        <is>
          <t>% SF Occ</t>
        </is>
      </c>
      <c r="AB64" s="28" t="n">
        <v>0.943026706231454</v>
      </c>
    </row>
    <row r="65">
      <c r="Z65" s="26" t="inlineStr">
        <is>
          <t>Mkt Rent</t>
        </is>
      </c>
      <c r="AB65" s="27" t="n">
        <v>245890</v>
      </c>
    </row>
    <row r="66">
      <c r="Z66" s="26" t="inlineStr">
        <is>
          <t>Cont Rent</t>
        </is>
      </c>
      <c r="AB66" s="27" t="n">
        <v>229667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0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Saddlebrook at Tates Creek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Saddlebrook at Tates Creek</t>
        </is>
      </c>
      <c r="E6" s="46" t="n">
        <v>1</v>
      </c>
      <c r="F6" s="8" t="n">
        <v>103</v>
      </c>
      <c r="G6" s="9" t="n">
        <v>108</v>
      </c>
      <c r="H6" s="10" t="n">
        <v>91680</v>
      </c>
      <c r="I6" s="10" t="n">
        <v>848.8888888888889</v>
      </c>
      <c r="J6" s="11" t="n">
        <v>136259</v>
      </c>
      <c r="K6" s="11" t="n">
        <v>1261.657407407407</v>
      </c>
      <c r="L6" s="12" t="n">
        <v>1.486245636998255</v>
      </c>
      <c r="M6" s="11" t="n">
        <v>125926</v>
      </c>
      <c r="N6" s="11" t="n">
        <v>1222.582524271845</v>
      </c>
      <c r="O6" s="12" t="n">
        <v>1.439549133476611</v>
      </c>
      <c r="P6" s="11" t="n">
        <v>1816</v>
      </c>
      <c r="Q6" s="11" t="n">
        <v>5756</v>
      </c>
      <c r="S6" s="10" t="n">
        <v>87476</v>
      </c>
    </row>
    <row r="7">
      <c r="D7" s="7" t="inlineStr">
        <is>
          <t>Saddlebrook at Tates Creek</t>
        </is>
      </c>
      <c r="E7" s="46" t="n">
        <v>2</v>
      </c>
      <c r="F7" s="8" t="n">
        <v>67</v>
      </c>
      <c r="G7" s="9" t="n">
        <v>72</v>
      </c>
      <c r="H7" s="10" t="n">
        <v>90270</v>
      </c>
      <c r="I7" s="10" t="n">
        <v>1253.75</v>
      </c>
      <c r="J7" s="11" t="n">
        <v>106163</v>
      </c>
      <c r="K7" s="11" t="n">
        <v>1474.486111111111</v>
      </c>
      <c r="L7" s="12" t="n">
        <v>1.176060706768583</v>
      </c>
      <c r="M7" s="11" t="n">
        <v>101141</v>
      </c>
      <c r="N7" s="11" t="n">
        <v>1509.567164179105</v>
      </c>
      <c r="O7" s="12" t="n">
        <v>1.205293514788951</v>
      </c>
      <c r="P7" s="11" t="n">
        <v>3106</v>
      </c>
      <c r="Q7" s="11" t="n">
        <v>4501</v>
      </c>
      <c r="S7" s="10" t="n">
        <v>83914</v>
      </c>
    </row>
    <row r="8">
      <c r="D8" s="7" t="inlineStr">
        <is>
          <t>Saddlebrook at Tates Creek</t>
        </is>
      </c>
      <c r="E8" s="46" t="inlineStr">
        <is>
          <t>N/A</t>
        </is>
      </c>
      <c r="F8" s="8" t="n">
        <v>1</v>
      </c>
      <c r="G8" s="9" t="n">
        <v>1</v>
      </c>
      <c r="H8" s="10" t="n">
        <v>3400</v>
      </c>
      <c r="I8" s="10" t="n">
        <v>3400</v>
      </c>
      <c r="J8" s="11" t="n">
        <v>3468</v>
      </c>
      <c r="K8" s="11" t="n">
        <v>3468</v>
      </c>
      <c r="L8" s="12" t="n">
        <v>1.02</v>
      </c>
      <c r="M8" s="11" t="n">
        <v>2600</v>
      </c>
      <c r="N8" s="11" t="n">
        <v>2600</v>
      </c>
      <c r="O8" s="12" t="n">
        <v>0.7647058823529411</v>
      </c>
      <c r="P8" s="11" t="n">
        <v>2600</v>
      </c>
      <c r="Q8" s="11" t="n">
        <v>67</v>
      </c>
      <c r="S8" s="10" t="n">
        <v>3400</v>
      </c>
    </row>
    <row r="9">
      <c r="C9" s="13" t="inlineStr">
        <is>
          <t>Total/Wtd Average</t>
        </is>
      </c>
      <c r="D9" s="13" t="n"/>
      <c r="E9" s="13" t="n"/>
      <c r="F9" s="14" t="n">
        <v>171</v>
      </c>
      <c r="G9" s="15" t="n">
        <v>181</v>
      </c>
      <c r="H9" s="16" t="n">
        <v>185350</v>
      </c>
      <c r="I9" s="16" t="n">
        <v>1024.033149171271</v>
      </c>
      <c r="J9" s="17" t="n">
        <v>245890</v>
      </c>
      <c r="K9" s="17" t="n">
        <v>1358.508287292818</v>
      </c>
      <c r="L9" s="18" t="n">
        <v>1.326625303479903</v>
      </c>
      <c r="M9" s="17" t="n">
        <v>229667</v>
      </c>
      <c r="N9" s="17" t="n">
        <v>1343.081871345029</v>
      </c>
      <c r="O9" s="18" t="n">
        <v>1.313959608673265</v>
      </c>
      <c r="P9" s="17" t="inlineStr">
        <is>
          <t>N/A</t>
        </is>
      </c>
      <c r="Q9" s="17" t="n">
        <v>10324</v>
      </c>
      <c r="S9" s="16" t="n">
        <v>174790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181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171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0.9447513812154696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185350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174790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0.943026706231454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2950680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2756004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123888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18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Saddlebrook at Tates Creek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Saddlebrook at Tates Creek</t>
        </is>
      </c>
      <c r="E8" s="54" t="inlineStr">
        <is>
          <t>001</t>
        </is>
      </c>
      <c r="F8" s="54" t="inlineStr">
        <is>
          <t>stc_a1</t>
        </is>
      </c>
      <c r="G8" s="54" t="inlineStr">
        <is>
          <t>1 Bedroom</t>
        </is>
      </c>
      <c r="K8" s="36" t="inlineStr">
        <is>
          <t>Andrea Ringlein</t>
        </is>
      </c>
      <c r="L8" s="55" t="n">
        <v>731</v>
      </c>
      <c r="M8" s="56" t="n">
        <v>1</v>
      </c>
      <c r="N8" s="56" t="n"/>
      <c r="Q8" s="57" t="inlineStr">
        <is>
          <t>Occ</t>
        </is>
      </c>
      <c r="U8" s="58" t="n">
        <v>1264</v>
      </c>
      <c r="V8" s="58" t="n">
        <v>1198</v>
      </c>
      <c r="W8" s="58" t="n">
        <v>0</v>
      </c>
      <c r="X8" s="58" t="n">
        <v>0</v>
      </c>
      <c r="Y8" s="58" t="n">
        <v>31</v>
      </c>
      <c r="Z8" s="59" t="n">
        <v>45938</v>
      </c>
      <c r="AA8" s="59" t="n">
        <v>45938</v>
      </c>
      <c r="AB8" s="59" t="n">
        <v>46302</v>
      </c>
    </row>
    <row r="9">
      <c r="D9" s="36" t="inlineStr">
        <is>
          <t>Saddlebrook at Tates Creek</t>
        </is>
      </c>
      <c r="E9" s="54" t="inlineStr">
        <is>
          <t>002</t>
        </is>
      </c>
      <c r="F9" s="54" t="inlineStr">
        <is>
          <t>stc_a3</t>
        </is>
      </c>
      <c r="G9" s="54" t="inlineStr">
        <is>
          <t>1 Bedroom</t>
        </is>
      </c>
      <c r="K9" s="36" t="inlineStr">
        <is>
          <t>Hira Arshad</t>
        </is>
      </c>
      <c r="L9" s="55" t="n">
        <v>987</v>
      </c>
      <c r="M9" s="56" t="n">
        <v>1</v>
      </c>
      <c r="N9" s="56" t="n"/>
      <c r="Q9" s="57" t="inlineStr">
        <is>
          <t>Occ</t>
        </is>
      </c>
      <c r="U9" s="58" t="n">
        <v>1319</v>
      </c>
      <c r="V9" s="58" t="n">
        <v>1269</v>
      </c>
      <c r="W9" s="58" t="n">
        <v>0</v>
      </c>
      <c r="X9" s="58" t="n">
        <v>0</v>
      </c>
      <c r="Y9" s="58" t="n">
        <v>31</v>
      </c>
      <c r="Z9" s="59" t="n">
        <v>44695</v>
      </c>
      <c r="AA9" s="59" t="n">
        <v>44695</v>
      </c>
      <c r="AB9" s="59" t="n">
        <v>46216</v>
      </c>
    </row>
    <row r="10">
      <c r="D10" s="36" t="inlineStr">
        <is>
          <t>Saddlebrook at Tates Creek</t>
        </is>
      </c>
      <c r="E10" s="54" t="inlineStr">
        <is>
          <t>003</t>
        </is>
      </c>
      <c r="F10" s="54" t="inlineStr">
        <is>
          <t>stc_a1</t>
        </is>
      </c>
      <c r="G10" s="54" t="inlineStr">
        <is>
          <t>1 Bedroom</t>
        </is>
      </c>
      <c r="K10" s="36" t="inlineStr">
        <is>
          <t>Edmund Dye</t>
        </is>
      </c>
      <c r="L10" s="55" t="n">
        <v>731</v>
      </c>
      <c r="M10" s="56" t="n">
        <v>1</v>
      </c>
      <c r="N10" s="56" t="n"/>
      <c r="Q10" s="57" t="inlineStr">
        <is>
          <t>Occ</t>
        </is>
      </c>
      <c r="U10" s="58" t="n">
        <v>1264</v>
      </c>
      <c r="V10" s="58" t="n">
        <v>1052</v>
      </c>
      <c r="W10" s="58" t="n">
        <v>0</v>
      </c>
      <c r="X10" s="58" t="n">
        <v>0</v>
      </c>
      <c r="Y10" s="58" t="n">
        <v>54</v>
      </c>
      <c r="Z10" s="59" t="n">
        <v>45764</v>
      </c>
      <c r="AA10" s="59" t="n">
        <v>45764</v>
      </c>
      <c r="AB10" s="59" t="n">
        <v>46219</v>
      </c>
    </row>
    <row r="11">
      <c r="D11" s="36" t="inlineStr">
        <is>
          <t>Saddlebrook at Tates Creek</t>
        </is>
      </c>
      <c r="E11" s="54" t="inlineStr">
        <is>
          <t>004</t>
        </is>
      </c>
      <c r="F11" s="54" t="inlineStr">
        <is>
          <t>stc_a3</t>
        </is>
      </c>
      <c r="G11" s="54" t="inlineStr">
        <is>
          <t>1 Bedroom</t>
        </is>
      </c>
      <c r="K11" s="36" t="inlineStr">
        <is>
          <t>Pamla West-French</t>
        </is>
      </c>
      <c r="L11" s="55" t="n">
        <v>987</v>
      </c>
      <c r="M11" s="56" t="n">
        <v>1</v>
      </c>
      <c r="N11" s="56" t="n"/>
      <c r="Q11" s="57" t="inlineStr">
        <is>
          <t>Occ</t>
        </is>
      </c>
      <c r="U11" s="58" t="n">
        <v>1194</v>
      </c>
      <c r="V11" s="58" t="n">
        <v>1195</v>
      </c>
      <c r="W11" s="58" t="n">
        <v>0</v>
      </c>
      <c r="X11" s="58" t="n">
        <v>0</v>
      </c>
      <c r="Y11" s="58" t="n">
        <v>31</v>
      </c>
      <c r="Z11" s="59" t="n">
        <v>43244</v>
      </c>
      <c r="AA11" s="59" t="n">
        <v>43244</v>
      </c>
      <c r="AB11" s="59" t="n">
        <v>46469</v>
      </c>
    </row>
    <row r="12">
      <c r="D12" s="36" t="inlineStr">
        <is>
          <t>Saddlebrook at Tates Creek</t>
        </is>
      </c>
      <c r="E12" s="54" t="inlineStr">
        <is>
          <t>005</t>
        </is>
      </c>
      <c r="F12" s="54" t="inlineStr">
        <is>
          <t>stc_a1</t>
        </is>
      </c>
      <c r="G12" s="54" t="inlineStr">
        <is>
          <t>1 Bedroom</t>
        </is>
      </c>
      <c r="K12" s="36" t="inlineStr">
        <is>
          <t>Wells Ipema</t>
        </is>
      </c>
      <c r="L12" s="55" t="n">
        <v>731</v>
      </c>
      <c r="M12" s="56" t="n">
        <v>1</v>
      </c>
      <c r="N12" s="56" t="n"/>
      <c r="Q12" s="57" t="inlineStr">
        <is>
          <t>Occ</t>
        </is>
      </c>
      <c r="U12" s="58" t="n">
        <v>1264</v>
      </c>
      <c r="V12" s="58" t="n">
        <v>999</v>
      </c>
      <c r="W12" s="58" t="n">
        <v>0</v>
      </c>
      <c r="X12" s="58" t="n">
        <v>0</v>
      </c>
      <c r="Y12" s="58" t="n">
        <v>29</v>
      </c>
      <c r="Z12" s="59" t="n">
        <v>45778</v>
      </c>
      <c r="AA12" s="59" t="n">
        <v>45778</v>
      </c>
      <c r="AB12" s="59" t="n">
        <v>46234</v>
      </c>
    </row>
    <row r="13">
      <c r="D13" s="36" t="inlineStr">
        <is>
          <t>Saddlebrook at Tates Creek</t>
        </is>
      </c>
      <c r="E13" s="54" t="inlineStr">
        <is>
          <t>006</t>
        </is>
      </c>
      <c r="F13" s="54" t="inlineStr">
        <is>
          <t>stc_a3</t>
        </is>
      </c>
      <c r="G13" s="54" t="inlineStr">
        <is>
          <t>1 Bedroom</t>
        </is>
      </c>
      <c r="K13" s="36" t="inlineStr">
        <is>
          <t>Vacant</t>
        </is>
      </c>
      <c r="L13" s="55" t="n">
        <v>987</v>
      </c>
      <c r="M13" s="56" t="n">
        <v>1</v>
      </c>
      <c r="N13" s="56" t="n"/>
      <c r="Q13" s="57" t="inlineStr">
        <is>
          <t>Vac</t>
        </is>
      </c>
      <c r="U13" s="58" t="n">
        <v>1455</v>
      </c>
      <c r="V13" s="58" t="n">
        <v>0</v>
      </c>
      <c r="W13" s="58" t="n">
        <v>0</v>
      </c>
      <c r="X13" s="58" t="n">
        <v>0</v>
      </c>
      <c r="Y13" s="58" t="n">
        <v>0</v>
      </c>
    </row>
    <row r="14">
      <c r="D14" s="36" t="inlineStr">
        <is>
          <t>Saddlebrook at Tates Creek</t>
        </is>
      </c>
      <c r="E14" s="54" t="inlineStr">
        <is>
          <t>007</t>
        </is>
      </c>
      <c r="F14" s="54" t="inlineStr">
        <is>
          <t>stc_a2</t>
        </is>
      </c>
      <c r="G14" s="54" t="inlineStr">
        <is>
          <t>1 Bedroom</t>
        </is>
      </c>
      <c r="K14" s="36" t="inlineStr">
        <is>
          <t>Colin Nelson</t>
        </is>
      </c>
      <c r="L14" s="55" t="n">
        <v>768</v>
      </c>
      <c r="M14" s="56" t="n">
        <v>1</v>
      </c>
      <c r="N14" s="56" t="n"/>
      <c r="Q14" s="57" t="inlineStr">
        <is>
          <t>Occ</t>
        </is>
      </c>
      <c r="U14" s="58" t="n">
        <v>1270</v>
      </c>
      <c r="V14" s="58" t="n">
        <v>1173</v>
      </c>
      <c r="W14" s="58" t="n">
        <v>0</v>
      </c>
      <c r="X14" s="58" t="n">
        <v>0</v>
      </c>
      <c r="Y14" s="58" t="n">
        <v>31</v>
      </c>
      <c r="Z14" s="59" t="n">
        <v>45820</v>
      </c>
      <c r="AA14" s="59" t="n">
        <v>45820</v>
      </c>
      <c r="AB14" s="59" t="n">
        <v>46245</v>
      </c>
    </row>
    <row r="15">
      <c r="D15" s="36" t="inlineStr">
        <is>
          <t>Saddlebrook at Tates Creek</t>
        </is>
      </c>
      <c r="E15" s="54" t="inlineStr">
        <is>
          <t>008</t>
        </is>
      </c>
      <c r="F15" s="54" t="inlineStr">
        <is>
          <t>stc_b2</t>
        </is>
      </c>
      <c r="G15" s="54" t="inlineStr">
        <is>
          <t>2 Bedroom</t>
        </is>
      </c>
      <c r="K15" s="36" t="inlineStr">
        <is>
          <t>Vacant</t>
        </is>
      </c>
      <c r="L15" s="55" t="n">
        <v>1214</v>
      </c>
      <c r="M15" s="56" t="n">
        <v>2</v>
      </c>
      <c r="N15" s="56" t="n"/>
      <c r="Q15" s="57" t="inlineStr">
        <is>
          <t>Vac</t>
        </is>
      </c>
      <c r="U15" s="58" t="n">
        <v>1541</v>
      </c>
      <c r="V15" s="58" t="n">
        <v>0</v>
      </c>
      <c r="W15" s="58" t="n">
        <v>0</v>
      </c>
      <c r="X15" s="58" t="n">
        <v>0</v>
      </c>
      <c r="Y15" s="58" t="n">
        <v>0</v>
      </c>
    </row>
    <row r="16">
      <c r="D16" s="36" t="inlineStr">
        <is>
          <t>Saddlebrook at Tates Creek</t>
        </is>
      </c>
      <c r="E16" s="54" t="inlineStr">
        <is>
          <t>009</t>
        </is>
      </c>
      <c r="F16" s="54" t="inlineStr">
        <is>
          <t>stc_a1</t>
        </is>
      </c>
      <c r="G16" s="54" t="inlineStr">
        <is>
          <t>1 Bedroom</t>
        </is>
      </c>
      <c r="K16" s="36" t="inlineStr">
        <is>
          <t>Madalyn Sutton</t>
        </is>
      </c>
      <c r="L16" s="55" t="n">
        <v>731</v>
      </c>
      <c r="M16" s="56" t="n">
        <v>1</v>
      </c>
      <c r="N16" s="56" t="n"/>
      <c r="Q16" s="57" t="inlineStr">
        <is>
          <t>Occ</t>
        </is>
      </c>
      <c r="U16" s="58" t="n">
        <v>1264</v>
      </c>
      <c r="V16" s="58" t="n">
        <v>1194</v>
      </c>
      <c r="W16" s="58" t="n">
        <v>0</v>
      </c>
      <c r="X16" s="58" t="n">
        <v>0</v>
      </c>
      <c r="Y16" s="58" t="n">
        <v>71</v>
      </c>
      <c r="Z16" s="59" t="n">
        <v>45046</v>
      </c>
      <c r="AA16" s="59" t="n">
        <v>45046</v>
      </c>
      <c r="AB16" s="59" t="n">
        <v>46294</v>
      </c>
    </row>
    <row r="17">
      <c r="D17" s="36" t="inlineStr">
        <is>
          <t>Saddlebrook at Tates Creek</t>
        </is>
      </c>
      <c r="E17" s="54" t="inlineStr">
        <is>
          <t>010</t>
        </is>
      </c>
      <c r="F17" s="54" t="inlineStr">
        <is>
          <t>stc_a3</t>
        </is>
      </c>
      <c r="G17" s="54" t="inlineStr">
        <is>
          <t>1 Bedroom</t>
        </is>
      </c>
      <c r="K17" s="36" t="inlineStr">
        <is>
          <t>Kevin Hagerman</t>
        </is>
      </c>
      <c r="L17" s="55" t="n">
        <v>987</v>
      </c>
      <c r="M17" s="56" t="n">
        <v>1</v>
      </c>
      <c r="N17" s="56" t="n"/>
      <c r="Q17" s="57" t="inlineStr">
        <is>
          <t>Occ</t>
        </is>
      </c>
      <c r="U17" s="58" t="n">
        <v>1319</v>
      </c>
      <c r="V17" s="58" t="n">
        <v>1450</v>
      </c>
      <c r="W17" s="58" t="n">
        <v>0</v>
      </c>
      <c r="X17" s="58" t="n">
        <v>-725</v>
      </c>
      <c r="Y17" s="58" t="n">
        <v>129</v>
      </c>
      <c r="Z17" s="59" t="n">
        <v>45796</v>
      </c>
      <c r="AA17" s="59" t="n">
        <v>45796</v>
      </c>
      <c r="AB17" s="59" t="n">
        <v>46191</v>
      </c>
    </row>
    <row r="18">
      <c r="D18" s="36" t="inlineStr">
        <is>
          <t>Saddlebrook at Tates Creek</t>
        </is>
      </c>
      <c r="E18" s="54" t="inlineStr">
        <is>
          <t>011</t>
        </is>
      </c>
      <c r="F18" s="54" t="inlineStr">
        <is>
          <t>stc_a1</t>
        </is>
      </c>
      <c r="G18" s="54" t="inlineStr">
        <is>
          <t>1 Bedroom</t>
        </is>
      </c>
      <c r="K18" s="36" t="inlineStr">
        <is>
          <t>Sydney Sloan</t>
        </is>
      </c>
      <c r="L18" s="55" t="n">
        <v>731</v>
      </c>
      <c r="M18" s="56" t="n">
        <v>1</v>
      </c>
      <c r="N18" s="56" t="n"/>
      <c r="Q18" s="57" t="inlineStr">
        <is>
          <t>Occ</t>
        </is>
      </c>
      <c r="U18" s="58" t="n">
        <v>1264</v>
      </c>
      <c r="V18" s="58" t="n">
        <v>999</v>
      </c>
      <c r="W18" s="58" t="n">
        <v>0</v>
      </c>
      <c r="X18" s="58" t="n">
        <v>0</v>
      </c>
      <c r="Y18" s="58" t="n">
        <v>71</v>
      </c>
      <c r="Z18" s="59" t="n">
        <v>45801</v>
      </c>
      <c r="AA18" s="59" t="n">
        <v>45801</v>
      </c>
      <c r="AB18" s="59" t="n">
        <v>46257</v>
      </c>
    </row>
    <row r="19">
      <c r="D19" s="36" t="inlineStr">
        <is>
          <t>Saddlebrook at Tates Creek</t>
        </is>
      </c>
      <c r="E19" s="54" t="inlineStr">
        <is>
          <t>012</t>
        </is>
      </c>
      <c r="F19" s="54" t="inlineStr">
        <is>
          <t>stc_a3</t>
        </is>
      </c>
      <c r="G19" s="54" t="inlineStr">
        <is>
          <t>1 Bedroom</t>
        </is>
      </c>
      <c r="K19" s="36" t="inlineStr">
        <is>
          <t>David Smith</t>
        </is>
      </c>
      <c r="L19" s="55" t="n">
        <v>987</v>
      </c>
      <c r="M19" s="56" t="n">
        <v>1</v>
      </c>
      <c r="N19" s="56" t="n"/>
      <c r="Q19" s="57" t="inlineStr">
        <is>
          <t>Occ</t>
        </is>
      </c>
      <c r="U19" s="58" t="n">
        <v>1194</v>
      </c>
      <c r="V19" s="58" t="n">
        <v>1235</v>
      </c>
      <c r="W19" s="58" t="n">
        <v>0</v>
      </c>
      <c r="X19" s="58" t="n">
        <v>0</v>
      </c>
      <c r="Y19" s="58" t="n">
        <v>111</v>
      </c>
      <c r="Z19" s="59" t="n">
        <v>42902</v>
      </c>
      <c r="AA19" s="59" t="n">
        <v>42902</v>
      </c>
      <c r="AB19" s="59" t="n">
        <v>46341</v>
      </c>
    </row>
    <row r="20">
      <c r="D20" s="36" t="inlineStr">
        <is>
          <t>Saddlebrook at Tates Creek</t>
        </is>
      </c>
      <c r="E20" s="54" t="inlineStr">
        <is>
          <t>013</t>
        </is>
      </c>
      <c r="F20" s="54" t="inlineStr">
        <is>
          <t>stc_a2</t>
        </is>
      </c>
      <c r="G20" s="54" t="inlineStr">
        <is>
          <t>1 Bedroom</t>
        </is>
      </c>
      <c r="K20" s="36" t="inlineStr">
        <is>
          <t>Timothy McCarthy</t>
        </is>
      </c>
      <c r="L20" s="55" t="n">
        <v>768</v>
      </c>
      <c r="M20" s="56" t="n">
        <v>1</v>
      </c>
      <c r="N20" s="56" t="n"/>
      <c r="Q20" s="57" t="inlineStr">
        <is>
          <t>Occ</t>
        </is>
      </c>
      <c r="U20" s="58" t="n">
        <v>1145</v>
      </c>
      <c r="V20" s="58" t="n">
        <v>1049</v>
      </c>
      <c r="W20" s="58" t="n">
        <v>0</v>
      </c>
      <c r="X20" s="58" t="n">
        <v>0</v>
      </c>
      <c r="Y20" s="58" t="n">
        <v>31</v>
      </c>
      <c r="Z20" s="59" t="n">
        <v>42968</v>
      </c>
      <c r="AA20" s="59" t="n">
        <v>42968</v>
      </c>
      <c r="AB20" s="59" t="n">
        <v>46346</v>
      </c>
    </row>
    <row r="21">
      <c r="D21" s="36" t="inlineStr">
        <is>
          <t>Saddlebrook at Tates Creek</t>
        </is>
      </c>
      <c r="E21" s="54" t="inlineStr">
        <is>
          <t>014</t>
        </is>
      </c>
      <c r="F21" s="54" t="inlineStr">
        <is>
          <t>stc_b2</t>
        </is>
      </c>
      <c r="G21" s="54" t="inlineStr">
        <is>
          <t>2 Bedroom</t>
        </is>
      </c>
      <c r="K21" s="36" t="inlineStr">
        <is>
          <t>Jan Hoffelner</t>
        </is>
      </c>
      <c r="L21" s="55" t="n">
        <v>1214</v>
      </c>
      <c r="M21" s="56" t="n">
        <v>2</v>
      </c>
      <c r="N21" s="56" t="n"/>
      <c r="Q21" s="57" t="inlineStr">
        <is>
          <t>Occ</t>
        </is>
      </c>
      <c r="U21" s="58" t="n">
        <v>1466</v>
      </c>
      <c r="V21" s="58" t="n">
        <v>1376</v>
      </c>
      <c r="W21" s="58" t="n">
        <v>0</v>
      </c>
      <c r="X21" s="58" t="n">
        <v>0</v>
      </c>
      <c r="Y21" s="58" t="n">
        <v>31</v>
      </c>
      <c r="Z21" s="59" t="n">
        <v>46006</v>
      </c>
      <c r="AA21" s="59" t="n">
        <v>46006</v>
      </c>
      <c r="AB21" s="59" t="n">
        <v>46432</v>
      </c>
    </row>
    <row r="22">
      <c r="D22" s="36" t="inlineStr">
        <is>
          <t>Saddlebrook at Tates Creek</t>
        </is>
      </c>
      <c r="E22" s="54" t="inlineStr">
        <is>
          <t>015</t>
        </is>
      </c>
      <c r="F22" s="54" t="inlineStr">
        <is>
          <t>stc_a1</t>
        </is>
      </c>
      <c r="G22" s="54" t="inlineStr">
        <is>
          <t>1 Bedroom</t>
        </is>
      </c>
      <c r="K22" s="36" t="inlineStr">
        <is>
          <t>Skylar Scott</t>
        </is>
      </c>
      <c r="L22" s="55" t="n">
        <v>731</v>
      </c>
      <c r="M22" s="56" t="n">
        <v>1</v>
      </c>
      <c r="N22" s="56" t="n"/>
      <c r="Q22" s="57" t="inlineStr">
        <is>
          <t>Occ</t>
        </is>
      </c>
      <c r="U22" s="58" t="n">
        <v>1139</v>
      </c>
      <c r="V22" s="58" t="n">
        <v>1153</v>
      </c>
      <c r="W22" s="58" t="n">
        <v>0</v>
      </c>
      <c r="X22" s="58" t="n">
        <v>0</v>
      </c>
      <c r="Y22" s="58" t="n">
        <v>67</v>
      </c>
      <c r="Z22" s="59" t="n">
        <v>46127</v>
      </c>
      <c r="AA22" s="59" t="n">
        <v>46127</v>
      </c>
      <c r="AB22" s="59" t="n">
        <v>46552</v>
      </c>
    </row>
    <row r="23">
      <c r="D23" s="36" t="inlineStr">
        <is>
          <t>Saddlebrook at Tates Creek</t>
        </is>
      </c>
      <c r="E23" s="54" t="inlineStr">
        <is>
          <t>016</t>
        </is>
      </c>
      <c r="F23" s="54" t="inlineStr">
        <is>
          <t>stc_a3</t>
        </is>
      </c>
      <c r="G23" s="54" t="inlineStr">
        <is>
          <t>1 Bedroom</t>
        </is>
      </c>
      <c r="K23" s="36" t="inlineStr">
        <is>
          <t>Adalin McDaniel</t>
        </is>
      </c>
      <c r="L23" s="55" t="n">
        <v>987</v>
      </c>
      <c r="M23" s="56" t="n">
        <v>1</v>
      </c>
      <c r="N23" s="56" t="n"/>
      <c r="Q23" s="57" t="inlineStr">
        <is>
          <t>Occ</t>
        </is>
      </c>
      <c r="U23" s="58" t="n">
        <v>1319</v>
      </c>
      <c r="V23" s="58" t="n">
        <v>1482</v>
      </c>
      <c r="W23" s="58" t="n">
        <v>0</v>
      </c>
      <c r="X23" s="58" t="n">
        <v>0</v>
      </c>
      <c r="Y23" s="58" t="n">
        <v>56</v>
      </c>
      <c r="Z23" s="59" t="n">
        <v>45108</v>
      </c>
      <c r="AA23" s="59" t="n">
        <v>45108</v>
      </c>
      <c r="AB23" s="59" t="n">
        <v>46326</v>
      </c>
    </row>
    <row r="24">
      <c r="D24" s="36" t="inlineStr">
        <is>
          <t>Saddlebrook at Tates Creek</t>
        </is>
      </c>
      <c r="E24" s="54" t="inlineStr">
        <is>
          <t>017</t>
        </is>
      </c>
      <c r="F24" s="54" t="inlineStr">
        <is>
          <t>stc_a1</t>
        </is>
      </c>
      <c r="G24" s="54" t="inlineStr">
        <is>
          <t>1 Bedroom</t>
        </is>
      </c>
      <c r="K24" s="36" t="inlineStr">
        <is>
          <t>Cesar Magana - Ramirez</t>
        </is>
      </c>
      <c r="L24" s="55" t="n">
        <v>731</v>
      </c>
      <c r="M24" s="56" t="n">
        <v>1</v>
      </c>
      <c r="N24" s="56" t="n"/>
      <c r="Q24" s="57" t="inlineStr">
        <is>
          <t>Occ</t>
        </is>
      </c>
      <c r="U24" s="58" t="n">
        <v>1264</v>
      </c>
      <c r="V24" s="58" t="n">
        <v>1130</v>
      </c>
      <c r="W24" s="58" t="n">
        <v>0</v>
      </c>
      <c r="X24" s="58" t="n">
        <v>0</v>
      </c>
      <c r="Y24" s="58" t="n">
        <v>109</v>
      </c>
      <c r="Z24" s="59" t="n">
        <v>45029</v>
      </c>
      <c r="AA24" s="59" t="n">
        <v>45029</v>
      </c>
      <c r="AB24" s="59" t="n">
        <v>46215</v>
      </c>
    </row>
    <row r="25">
      <c r="D25" s="36" t="inlineStr">
        <is>
          <t>Saddlebrook at Tates Creek</t>
        </is>
      </c>
      <c r="E25" s="54" t="inlineStr">
        <is>
          <t>018</t>
        </is>
      </c>
      <c r="F25" s="54" t="inlineStr">
        <is>
          <t>stc_a3</t>
        </is>
      </c>
      <c r="G25" s="54" t="inlineStr">
        <is>
          <t>1 Bedroom</t>
        </is>
      </c>
      <c r="K25" s="36" t="inlineStr">
        <is>
          <t>Joshua Davis</t>
        </is>
      </c>
      <c r="L25" s="55" t="n">
        <v>987</v>
      </c>
      <c r="M25" s="56" t="n">
        <v>1</v>
      </c>
      <c r="N25" s="56" t="n"/>
      <c r="Q25" s="57" t="inlineStr">
        <is>
          <t>Occ</t>
        </is>
      </c>
      <c r="U25" s="58" t="n">
        <v>1194</v>
      </c>
      <c r="V25" s="58" t="n">
        <v>1137</v>
      </c>
      <c r="W25" s="58" t="n">
        <v>0</v>
      </c>
      <c r="X25" s="58" t="n">
        <v>-227</v>
      </c>
      <c r="Y25" s="58" t="n">
        <v>32</v>
      </c>
      <c r="Z25" s="59" t="n">
        <v>46139</v>
      </c>
      <c r="AA25" s="59" t="n">
        <v>46139</v>
      </c>
      <c r="AB25" s="59" t="n">
        <v>46387</v>
      </c>
    </row>
    <row r="26">
      <c r="D26" s="36" t="inlineStr">
        <is>
          <t>Saddlebrook at Tates Creek</t>
        </is>
      </c>
      <c r="E26" s="54" t="inlineStr">
        <is>
          <t>019</t>
        </is>
      </c>
      <c r="F26" s="54" t="inlineStr">
        <is>
          <t>stc_a1</t>
        </is>
      </c>
      <c r="G26" s="54" t="inlineStr">
        <is>
          <t>1 Bedroom</t>
        </is>
      </c>
      <c r="K26" s="36" t="inlineStr">
        <is>
          <t>Linda Campbell</t>
        </is>
      </c>
      <c r="L26" s="55" t="n">
        <v>731</v>
      </c>
      <c r="M26" s="56" t="n">
        <v>1</v>
      </c>
      <c r="N26" s="56" t="n"/>
      <c r="Q26" s="57" t="inlineStr">
        <is>
          <t>Occ</t>
        </is>
      </c>
      <c r="U26" s="58" t="n">
        <v>1264</v>
      </c>
      <c r="V26" s="58" t="n">
        <v>1056</v>
      </c>
      <c r="W26" s="58" t="n">
        <v>0</v>
      </c>
      <c r="X26" s="58" t="n">
        <v>0</v>
      </c>
      <c r="Y26" s="58" t="n">
        <v>32</v>
      </c>
      <c r="Z26" s="59" t="n">
        <v>45745</v>
      </c>
      <c r="AA26" s="59" t="n">
        <v>45745</v>
      </c>
      <c r="AB26" s="59" t="n">
        <v>46566</v>
      </c>
    </row>
    <row r="27">
      <c r="D27" s="36" t="inlineStr">
        <is>
          <t>Saddlebrook at Tates Creek</t>
        </is>
      </c>
      <c r="E27" s="54" t="inlineStr">
        <is>
          <t>020</t>
        </is>
      </c>
      <c r="F27" s="54" t="inlineStr">
        <is>
          <t>stc_a3</t>
        </is>
      </c>
      <c r="G27" s="54" t="inlineStr">
        <is>
          <t>1 Bedroom</t>
        </is>
      </c>
      <c r="K27" s="36" t="inlineStr">
        <is>
          <t>Sabrina Mikula</t>
        </is>
      </c>
      <c r="L27" s="55" t="n">
        <v>987</v>
      </c>
      <c r="M27" s="56" t="n">
        <v>1</v>
      </c>
      <c r="N27" s="56" t="n"/>
      <c r="Q27" s="57" t="inlineStr">
        <is>
          <t>Occ</t>
        </is>
      </c>
      <c r="U27" s="58" t="n">
        <v>1319</v>
      </c>
      <c r="V27" s="58" t="n">
        <v>1320</v>
      </c>
      <c r="W27" s="58" t="n">
        <v>0</v>
      </c>
      <c r="X27" s="58" t="n">
        <v>0</v>
      </c>
      <c r="Y27" s="58" t="n">
        <v>66</v>
      </c>
      <c r="Z27" s="59" t="n">
        <v>45560</v>
      </c>
      <c r="AA27" s="59" t="n">
        <v>45560</v>
      </c>
      <c r="AB27" s="59" t="n">
        <v>46442</v>
      </c>
    </row>
    <row r="28">
      <c r="D28" s="36" t="inlineStr">
        <is>
          <t>Saddlebrook at Tates Creek</t>
        </is>
      </c>
      <c r="E28" s="54" t="inlineStr">
        <is>
          <t>021</t>
        </is>
      </c>
      <c r="F28" s="54" t="inlineStr">
        <is>
          <t>stc_b3</t>
        </is>
      </c>
      <c r="G28" s="54" t="inlineStr">
        <is>
          <t>2 Bedroom</t>
        </is>
      </c>
      <c r="K28" s="36" t="inlineStr">
        <is>
          <t>Cole Brown</t>
        </is>
      </c>
      <c r="L28" s="55" t="n">
        <v>1309</v>
      </c>
      <c r="M28" s="56" t="n">
        <v>2</v>
      </c>
      <c r="N28" s="56" t="n"/>
      <c r="Q28" s="57" t="inlineStr">
        <is>
          <t>Occ</t>
        </is>
      </c>
      <c r="U28" s="58" t="n">
        <v>1466</v>
      </c>
      <c r="V28" s="58" t="n">
        <v>1664</v>
      </c>
      <c r="W28" s="58" t="n">
        <v>0</v>
      </c>
      <c r="X28" s="58" t="n">
        <v>0</v>
      </c>
      <c r="Y28" s="58" t="n">
        <v>66</v>
      </c>
      <c r="Z28" s="59" t="n">
        <v>45870</v>
      </c>
      <c r="AA28" s="59" t="n">
        <v>45870</v>
      </c>
      <c r="AB28" s="59" t="n">
        <v>46234</v>
      </c>
    </row>
    <row r="29">
      <c r="D29" s="36" t="inlineStr">
        <is>
          <t>Saddlebrook at Tates Creek</t>
        </is>
      </c>
      <c r="E29" s="54" t="inlineStr">
        <is>
          <t>022</t>
        </is>
      </c>
      <c r="F29" s="54" t="inlineStr">
        <is>
          <t>stc_b1</t>
        </is>
      </c>
      <c r="G29" s="54" t="inlineStr">
        <is>
          <t>2 Bedroom</t>
        </is>
      </c>
      <c r="K29" s="36" t="inlineStr">
        <is>
          <t>Claudia Garcia</t>
        </is>
      </c>
      <c r="L29" s="55" t="n">
        <v>1204</v>
      </c>
      <c r="M29" s="56" t="n">
        <v>2</v>
      </c>
      <c r="N29" s="56" t="n"/>
      <c r="Q29" s="57" t="inlineStr">
        <is>
          <t>Occ</t>
        </is>
      </c>
      <c r="U29" s="58" t="n">
        <v>1318</v>
      </c>
      <c r="V29" s="58" t="n">
        <v>1273</v>
      </c>
      <c r="W29" s="58" t="n">
        <v>0</v>
      </c>
      <c r="X29" s="58" t="n">
        <v>0</v>
      </c>
      <c r="Y29" s="58" t="n">
        <v>32</v>
      </c>
      <c r="Z29" s="59" t="n">
        <v>43213</v>
      </c>
      <c r="AA29" s="59" t="n">
        <v>43213</v>
      </c>
      <c r="AB29" s="59" t="n">
        <v>46499</v>
      </c>
    </row>
    <row r="30">
      <c r="D30" s="36" t="inlineStr">
        <is>
          <t>Saddlebrook at Tates Creek</t>
        </is>
      </c>
      <c r="E30" s="54" t="inlineStr">
        <is>
          <t>023</t>
        </is>
      </c>
      <c r="F30" s="54" t="inlineStr">
        <is>
          <t>stc_b1</t>
        </is>
      </c>
      <c r="G30" s="54" t="inlineStr">
        <is>
          <t>2 Bedroom</t>
        </is>
      </c>
      <c r="K30" s="36" t="inlineStr">
        <is>
          <t>Emily Conner</t>
        </is>
      </c>
      <c r="L30" s="55" t="n">
        <v>1204</v>
      </c>
      <c r="M30" s="56" t="n">
        <v>2</v>
      </c>
      <c r="N30" s="56" t="n"/>
      <c r="Q30" s="57" t="inlineStr">
        <is>
          <t>Occ</t>
        </is>
      </c>
      <c r="U30" s="58" t="n">
        <v>1443</v>
      </c>
      <c r="V30" s="58" t="n">
        <v>1382</v>
      </c>
      <c r="W30" s="58" t="n">
        <v>0</v>
      </c>
      <c r="X30" s="58" t="n">
        <v>0</v>
      </c>
      <c r="Y30" s="58" t="n">
        <v>31</v>
      </c>
      <c r="Z30" s="59" t="n">
        <v>45987</v>
      </c>
      <c r="AA30" s="59" t="n">
        <v>45987</v>
      </c>
      <c r="AB30" s="59" t="n">
        <v>46412</v>
      </c>
    </row>
    <row r="31">
      <c r="D31" s="36" t="inlineStr">
        <is>
          <t>Saddlebrook at Tates Creek</t>
        </is>
      </c>
      <c r="E31" s="54" t="inlineStr">
        <is>
          <t>024</t>
        </is>
      </c>
      <c r="F31" s="54" t="inlineStr">
        <is>
          <t>stc_b1</t>
        </is>
      </c>
      <c r="G31" s="54" t="inlineStr">
        <is>
          <t>2 Bedroom</t>
        </is>
      </c>
      <c r="K31" s="36" t="inlineStr">
        <is>
          <t>Donatha Nyiramariza</t>
        </is>
      </c>
      <c r="L31" s="55" t="n">
        <v>1204</v>
      </c>
      <c r="M31" s="56" t="n">
        <v>2</v>
      </c>
      <c r="N31" s="56" t="n"/>
      <c r="Q31" s="57" t="inlineStr">
        <is>
          <t>Occ</t>
        </is>
      </c>
      <c r="U31" s="58" t="n">
        <v>1443</v>
      </c>
      <c r="V31" s="58" t="n">
        <v>1382</v>
      </c>
      <c r="W31" s="58" t="n">
        <v>0</v>
      </c>
      <c r="X31" s="58" t="n">
        <v>0</v>
      </c>
      <c r="Y31" s="58" t="n">
        <v>31</v>
      </c>
      <c r="Z31" s="59" t="n">
        <v>45959</v>
      </c>
      <c r="AA31" s="59" t="n">
        <v>45959</v>
      </c>
      <c r="AB31" s="59" t="n">
        <v>46384</v>
      </c>
    </row>
    <row r="32">
      <c r="D32" s="36" t="inlineStr">
        <is>
          <t>Saddlebrook at Tates Creek</t>
        </is>
      </c>
      <c r="E32" s="54" t="inlineStr">
        <is>
          <t>025</t>
        </is>
      </c>
      <c r="F32" s="54" t="inlineStr">
        <is>
          <t>stc_a1</t>
        </is>
      </c>
      <c r="G32" s="54" t="inlineStr">
        <is>
          <t>1 Bedroom</t>
        </is>
      </c>
      <c r="K32" s="36" t="inlineStr">
        <is>
          <t>Dustin Smith</t>
        </is>
      </c>
      <c r="L32" s="55" t="n">
        <v>731</v>
      </c>
      <c r="M32" s="56" t="n">
        <v>1</v>
      </c>
      <c r="N32" s="56" t="n"/>
      <c r="Q32" s="57" t="inlineStr">
        <is>
          <t>Occ</t>
        </is>
      </c>
      <c r="U32" s="58" t="n">
        <v>1264</v>
      </c>
      <c r="V32" s="58" t="n">
        <v>1206</v>
      </c>
      <c r="W32" s="58" t="n">
        <v>0</v>
      </c>
      <c r="X32" s="58" t="n">
        <v>0</v>
      </c>
      <c r="Y32" s="58" t="n">
        <v>54</v>
      </c>
      <c r="Z32" s="59" t="n">
        <v>45494</v>
      </c>
      <c r="AA32" s="59" t="n">
        <v>45494</v>
      </c>
      <c r="AB32" s="59" t="n">
        <v>46223</v>
      </c>
    </row>
    <row r="33">
      <c r="D33" s="36" t="inlineStr">
        <is>
          <t>Saddlebrook at Tates Creek</t>
        </is>
      </c>
      <c r="E33" s="54" t="inlineStr">
        <is>
          <t>026</t>
        </is>
      </c>
      <c r="F33" s="54" t="inlineStr">
        <is>
          <t>stc_a3</t>
        </is>
      </c>
      <c r="G33" s="54" t="inlineStr">
        <is>
          <t>1 Bedroom</t>
        </is>
      </c>
      <c r="K33" s="36" t="inlineStr">
        <is>
          <t>Vinh Nguyen</t>
        </is>
      </c>
      <c r="L33" s="55" t="n">
        <v>987</v>
      </c>
      <c r="M33" s="56" t="n">
        <v>1</v>
      </c>
      <c r="N33" s="56" t="n"/>
      <c r="Q33" s="57" t="inlineStr">
        <is>
          <t>Occ</t>
        </is>
      </c>
      <c r="U33" s="58" t="n">
        <v>1319</v>
      </c>
      <c r="V33" s="58" t="n">
        <v>1271</v>
      </c>
      <c r="W33" s="58" t="n">
        <v>0</v>
      </c>
      <c r="X33" s="58" t="n">
        <v>0</v>
      </c>
      <c r="Y33" s="58" t="n">
        <v>31</v>
      </c>
      <c r="Z33" s="59" t="n">
        <v>45036</v>
      </c>
      <c r="AA33" s="59" t="n">
        <v>45036</v>
      </c>
      <c r="AB33" s="59" t="n">
        <v>46345</v>
      </c>
    </row>
    <row r="34">
      <c r="D34" s="36" t="inlineStr">
        <is>
          <t>Saddlebrook at Tates Creek</t>
        </is>
      </c>
      <c r="E34" s="54" t="inlineStr">
        <is>
          <t>027</t>
        </is>
      </c>
      <c r="F34" s="54" t="inlineStr">
        <is>
          <t>stc_a1</t>
        </is>
      </c>
      <c r="G34" s="54" t="inlineStr">
        <is>
          <t>1 Bedroom</t>
        </is>
      </c>
      <c r="K34" s="36" t="inlineStr">
        <is>
          <t>Chloe Roberts</t>
        </is>
      </c>
      <c r="L34" s="55" t="n">
        <v>731</v>
      </c>
      <c r="M34" s="56" t="n">
        <v>1</v>
      </c>
      <c r="N34" s="56" t="n"/>
      <c r="Q34" s="57" t="inlineStr">
        <is>
          <t>Occ</t>
        </is>
      </c>
      <c r="U34" s="58" t="n">
        <v>1264</v>
      </c>
      <c r="V34" s="58" t="n">
        <v>1197</v>
      </c>
      <c r="W34" s="58" t="n">
        <v>0</v>
      </c>
      <c r="X34" s="58" t="n">
        <v>0</v>
      </c>
      <c r="Y34" s="58" t="n">
        <v>91</v>
      </c>
      <c r="Z34" s="59" t="n">
        <v>46002</v>
      </c>
      <c r="AA34" s="59" t="n">
        <v>46002</v>
      </c>
      <c r="AB34" s="59" t="n">
        <v>46397</v>
      </c>
    </row>
    <row r="35">
      <c r="D35" s="36" t="inlineStr">
        <is>
          <t>Saddlebrook at Tates Creek</t>
        </is>
      </c>
      <c r="E35" s="54" t="inlineStr">
        <is>
          <t>028</t>
        </is>
      </c>
      <c r="F35" s="54" t="inlineStr">
        <is>
          <t>stc_a3</t>
        </is>
      </c>
      <c r="G35" s="54" t="inlineStr">
        <is>
          <t>1 Bedroom</t>
        </is>
      </c>
      <c r="K35" s="36" t="inlineStr">
        <is>
          <t>Jessica Sharp</t>
        </is>
      </c>
      <c r="L35" s="55" t="n">
        <v>987</v>
      </c>
      <c r="M35" s="56" t="n">
        <v>1</v>
      </c>
      <c r="N35" s="56" t="n"/>
      <c r="Q35" s="57" t="inlineStr">
        <is>
          <t>Occ</t>
        </is>
      </c>
      <c r="U35" s="58" t="n">
        <v>1319</v>
      </c>
      <c r="V35" s="58" t="n">
        <v>1293</v>
      </c>
      <c r="W35" s="58" t="n">
        <v>0</v>
      </c>
      <c r="X35" s="58" t="n">
        <v>0</v>
      </c>
      <c r="Y35" s="58" t="n">
        <v>106</v>
      </c>
      <c r="Z35" s="59" t="n">
        <v>45313</v>
      </c>
      <c r="AA35" s="59" t="n">
        <v>45313</v>
      </c>
      <c r="AB35" s="59" t="n">
        <v>46408</v>
      </c>
    </row>
    <row r="36">
      <c r="D36" s="36" t="inlineStr">
        <is>
          <t>Saddlebrook at Tates Creek</t>
        </is>
      </c>
      <c r="E36" s="54" t="inlineStr">
        <is>
          <t>029</t>
        </is>
      </c>
      <c r="F36" s="54" t="inlineStr">
        <is>
          <t>stc_a1</t>
        </is>
      </c>
      <c r="G36" s="54" t="inlineStr">
        <is>
          <t>1 Bedroom</t>
        </is>
      </c>
      <c r="K36" s="36" t="inlineStr">
        <is>
          <t>Vacant</t>
        </is>
      </c>
      <c r="L36" s="55" t="n">
        <v>731</v>
      </c>
      <c r="M36" s="56" t="n">
        <v>1</v>
      </c>
      <c r="N36" s="56" t="n"/>
      <c r="Q36" s="57" t="inlineStr">
        <is>
          <t>Vac</t>
        </is>
      </c>
      <c r="U36" s="58" t="n">
        <v>1204</v>
      </c>
      <c r="V36" s="58" t="n">
        <v>0</v>
      </c>
      <c r="W36" s="58" t="n">
        <v>0</v>
      </c>
      <c r="X36" s="58" t="n">
        <v>0</v>
      </c>
      <c r="Y36" s="58" t="n">
        <v>0</v>
      </c>
    </row>
    <row r="37">
      <c r="D37" s="36" t="inlineStr">
        <is>
          <t>Saddlebrook at Tates Creek</t>
        </is>
      </c>
      <c r="E37" s="54" t="inlineStr">
        <is>
          <t>030</t>
        </is>
      </c>
      <c r="F37" s="54" t="inlineStr">
        <is>
          <t>stc_a3</t>
        </is>
      </c>
      <c r="G37" s="54" t="inlineStr">
        <is>
          <t>1 Bedroom</t>
        </is>
      </c>
      <c r="K37" s="36" t="inlineStr">
        <is>
          <t>Timothy Stone</t>
        </is>
      </c>
      <c r="L37" s="55" t="n">
        <v>987</v>
      </c>
      <c r="M37" s="56" t="n">
        <v>1</v>
      </c>
      <c r="N37" s="56" t="n"/>
      <c r="Q37" s="57" t="inlineStr">
        <is>
          <t>Occ</t>
        </is>
      </c>
      <c r="U37" s="58" t="n">
        <v>1319</v>
      </c>
      <c r="V37" s="58" t="n">
        <v>1276</v>
      </c>
      <c r="W37" s="58" t="n">
        <v>0</v>
      </c>
      <c r="X37" s="58" t="n">
        <v>0</v>
      </c>
      <c r="Y37" s="58" t="n">
        <v>92</v>
      </c>
      <c r="Z37" s="59" t="n">
        <v>45698</v>
      </c>
      <c r="AA37" s="59" t="n">
        <v>45698</v>
      </c>
      <c r="AB37" s="59" t="n">
        <v>46577</v>
      </c>
    </row>
    <row r="38">
      <c r="D38" s="36" t="inlineStr">
        <is>
          <t>Saddlebrook at Tates Creek</t>
        </is>
      </c>
      <c r="E38" s="54" t="inlineStr">
        <is>
          <t>031</t>
        </is>
      </c>
      <c r="F38" s="54" t="inlineStr">
        <is>
          <t>stc_a2</t>
        </is>
      </c>
      <c r="G38" s="54" t="inlineStr">
        <is>
          <t>1 Bedroom</t>
        </is>
      </c>
      <c r="K38" s="36" t="inlineStr">
        <is>
          <t>Hunter Manns</t>
        </is>
      </c>
      <c r="L38" s="55" t="n">
        <v>768</v>
      </c>
      <c r="M38" s="56" t="n">
        <v>1</v>
      </c>
      <c r="N38" s="56" t="n"/>
      <c r="Q38" s="57" t="inlineStr">
        <is>
          <t>Occ</t>
        </is>
      </c>
      <c r="U38" s="58" t="n">
        <v>1270</v>
      </c>
      <c r="V38" s="58" t="n">
        <v>1204</v>
      </c>
      <c r="W38" s="58" t="n">
        <v>0</v>
      </c>
      <c r="X38" s="58" t="n">
        <v>0</v>
      </c>
      <c r="Y38" s="58" t="n">
        <v>32</v>
      </c>
      <c r="Z38" s="59" t="n">
        <v>46112</v>
      </c>
      <c r="AA38" s="59" t="n">
        <v>46112</v>
      </c>
      <c r="AB38" s="59" t="n">
        <v>46476</v>
      </c>
    </row>
    <row r="39">
      <c r="D39" s="36" t="inlineStr">
        <is>
          <t>Saddlebrook at Tates Creek</t>
        </is>
      </c>
      <c r="E39" s="54" t="inlineStr">
        <is>
          <t>032</t>
        </is>
      </c>
      <c r="F39" s="54" t="inlineStr">
        <is>
          <t>stc_b2</t>
        </is>
      </c>
      <c r="G39" s="54" t="inlineStr">
        <is>
          <t>2 Bedroom</t>
        </is>
      </c>
      <c r="K39" s="36" t="inlineStr">
        <is>
          <t>Vacant</t>
        </is>
      </c>
      <c r="L39" s="55" t="n">
        <v>1214</v>
      </c>
      <c r="M39" s="56" t="n">
        <v>2</v>
      </c>
      <c r="N39" s="56" t="n"/>
      <c r="Q39" s="57" t="inlineStr">
        <is>
          <t>Vac</t>
        </is>
      </c>
      <c r="U39" s="58" t="n">
        <v>1541</v>
      </c>
      <c r="V39" s="58" t="n">
        <v>0</v>
      </c>
      <c r="W39" s="58" t="n">
        <v>0</v>
      </c>
      <c r="X39" s="58" t="n">
        <v>0</v>
      </c>
      <c r="Y39" s="58" t="n">
        <v>0</v>
      </c>
    </row>
    <row r="40">
      <c r="D40" s="36" t="inlineStr">
        <is>
          <t>Saddlebrook at Tates Creek</t>
        </is>
      </c>
      <c r="E40" s="54" t="inlineStr">
        <is>
          <t>033</t>
        </is>
      </c>
      <c r="F40" s="54" t="inlineStr">
        <is>
          <t>stc_b3</t>
        </is>
      </c>
      <c r="G40" s="54" t="inlineStr">
        <is>
          <t>2 Bedroom</t>
        </is>
      </c>
      <c r="K40" s="36" t="inlineStr">
        <is>
          <t>Caitlin Wright</t>
        </is>
      </c>
      <c r="L40" s="55" t="n">
        <v>1309</v>
      </c>
      <c r="M40" s="56" t="n">
        <v>2</v>
      </c>
      <c r="N40" s="56" t="n"/>
      <c r="Q40" s="57" t="inlineStr">
        <is>
          <t>Occ</t>
        </is>
      </c>
      <c r="U40" s="58" t="n">
        <v>1466</v>
      </c>
      <c r="V40" s="58" t="n">
        <v>1490</v>
      </c>
      <c r="W40" s="58" t="n">
        <v>0</v>
      </c>
      <c r="X40" s="58" t="n">
        <v>0</v>
      </c>
      <c r="Y40" s="58" t="n">
        <v>82</v>
      </c>
      <c r="Z40" s="59" t="n">
        <v>45647</v>
      </c>
      <c r="AA40" s="59" t="n">
        <v>45647</v>
      </c>
      <c r="AB40" s="59" t="n">
        <v>46466</v>
      </c>
    </row>
    <row r="41">
      <c r="D41" s="36" t="inlineStr">
        <is>
          <t>Saddlebrook at Tates Creek</t>
        </is>
      </c>
      <c r="E41" s="54" t="inlineStr">
        <is>
          <t>034</t>
        </is>
      </c>
      <c r="F41" s="54" t="inlineStr">
        <is>
          <t>stc_b1</t>
        </is>
      </c>
      <c r="G41" s="54" t="inlineStr">
        <is>
          <t>2 Bedroom</t>
        </is>
      </c>
      <c r="K41" s="36" t="inlineStr">
        <is>
          <t>Haley Horne</t>
        </is>
      </c>
      <c r="L41" s="55" t="n">
        <v>1204</v>
      </c>
      <c r="M41" s="56" t="n">
        <v>2</v>
      </c>
      <c r="N41" s="56" t="n"/>
      <c r="Q41" s="57" t="inlineStr">
        <is>
          <t>Occ</t>
        </is>
      </c>
      <c r="U41" s="58" t="n">
        <v>1443</v>
      </c>
      <c r="V41" s="58" t="n">
        <v>1424</v>
      </c>
      <c r="W41" s="58" t="n">
        <v>0</v>
      </c>
      <c r="X41" s="58" t="n">
        <v>0</v>
      </c>
      <c r="Y41" s="58" t="n">
        <v>31</v>
      </c>
      <c r="Z41" s="59" t="n">
        <v>45918</v>
      </c>
      <c r="AA41" s="59" t="n">
        <v>45918</v>
      </c>
      <c r="AB41" s="59" t="n">
        <v>46282</v>
      </c>
    </row>
    <row r="42">
      <c r="D42" s="36" t="inlineStr">
        <is>
          <t>Saddlebrook at Tates Creek</t>
        </is>
      </c>
      <c r="E42" s="54" t="inlineStr">
        <is>
          <t>035</t>
        </is>
      </c>
      <c r="F42" s="54" t="inlineStr">
        <is>
          <t>stc_b1</t>
        </is>
      </c>
      <c r="G42" s="54" t="inlineStr">
        <is>
          <t>2 Bedroom</t>
        </is>
      </c>
      <c r="K42" s="36" t="inlineStr">
        <is>
          <t>Lauren Wilson</t>
        </is>
      </c>
      <c r="L42" s="55" t="n">
        <v>1204</v>
      </c>
      <c r="M42" s="56" t="n">
        <v>2</v>
      </c>
      <c r="N42" s="56" t="n"/>
      <c r="Q42" s="57" t="inlineStr">
        <is>
          <t>Occ</t>
        </is>
      </c>
      <c r="U42" s="58" t="n">
        <v>1443</v>
      </c>
      <c r="V42" s="58" t="n">
        <v>1531</v>
      </c>
      <c r="W42" s="58" t="n">
        <v>0</v>
      </c>
      <c r="X42" s="58" t="n">
        <v>0</v>
      </c>
      <c r="Y42" s="58" t="n">
        <v>127</v>
      </c>
      <c r="Z42" s="59" t="n">
        <v>44954</v>
      </c>
      <c r="AA42" s="59" t="n">
        <v>44954</v>
      </c>
      <c r="AB42" s="59" t="n">
        <v>46534</v>
      </c>
    </row>
    <row r="43">
      <c r="D43" s="36" t="inlineStr">
        <is>
          <t>Saddlebrook at Tates Creek</t>
        </is>
      </c>
      <c r="E43" s="54" t="inlineStr">
        <is>
          <t>036</t>
        </is>
      </c>
      <c r="F43" s="54" t="inlineStr">
        <is>
          <t>stc_b1</t>
        </is>
      </c>
      <c r="G43" s="54" t="inlineStr">
        <is>
          <t>2 Bedroom</t>
        </is>
      </c>
      <c r="K43" s="36" t="inlineStr">
        <is>
          <t>Travis Reams</t>
        </is>
      </c>
      <c r="L43" s="55" t="n">
        <v>1204</v>
      </c>
      <c r="M43" s="56" t="n">
        <v>2</v>
      </c>
      <c r="N43" s="56" t="n"/>
      <c r="Q43" s="57" t="inlineStr">
        <is>
          <t>Occ</t>
        </is>
      </c>
      <c r="U43" s="58" t="n">
        <v>1443</v>
      </c>
      <c r="V43" s="58" t="n">
        <v>1408</v>
      </c>
      <c r="W43" s="58" t="n">
        <v>0</v>
      </c>
      <c r="X43" s="58" t="n">
        <v>0</v>
      </c>
      <c r="Y43" s="58" t="n">
        <v>31</v>
      </c>
      <c r="Z43" s="59" t="n">
        <v>44239</v>
      </c>
      <c r="AA43" s="59" t="n">
        <v>44239</v>
      </c>
      <c r="AB43" s="59" t="n">
        <v>46214</v>
      </c>
    </row>
    <row r="44">
      <c r="D44" s="36" t="inlineStr">
        <is>
          <t>Saddlebrook at Tates Creek</t>
        </is>
      </c>
      <c r="E44" s="54" t="inlineStr">
        <is>
          <t>037</t>
        </is>
      </c>
      <c r="F44" s="54" t="inlineStr">
        <is>
          <t>stc_b1</t>
        </is>
      </c>
      <c r="G44" s="54" t="inlineStr">
        <is>
          <t>2 Bedroom</t>
        </is>
      </c>
      <c r="K44" s="36" t="inlineStr">
        <is>
          <t>Vance Waddle</t>
        </is>
      </c>
      <c r="L44" s="55" t="n">
        <v>1204</v>
      </c>
      <c r="M44" s="56" t="n">
        <v>2</v>
      </c>
      <c r="N44" s="56" t="n"/>
      <c r="Q44" s="57" t="inlineStr">
        <is>
          <t>Occ</t>
        </is>
      </c>
      <c r="U44" s="58" t="n">
        <v>1318</v>
      </c>
      <c r="V44" s="58" t="n">
        <v>1387</v>
      </c>
      <c r="W44" s="58" t="n">
        <v>0</v>
      </c>
      <c r="X44" s="58" t="n">
        <v>0</v>
      </c>
      <c r="Y44" s="58" t="n">
        <v>31</v>
      </c>
      <c r="Z44" s="59" t="n">
        <v>39022</v>
      </c>
      <c r="AA44" s="59" t="n">
        <v>39022</v>
      </c>
      <c r="AB44" s="59" t="n">
        <v>46326</v>
      </c>
    </row>
    <row r="45">
      <c r="D45" s="36" t="inlineStr">
        <is>
          <t>Saddlebrook at Tates Creek</t>
        </is>
      </c>
      <c r="E45" s="54" t="inlineStr">
        <is>
          <t>038</t>
        </is>
      </c>
      <c r="F45" s="54" t="inlineStr">
        <is>
          <t>stc_b1</t>
        </is>
      </c>
      <c r="G45" s="54" t="inlineStr">
        <is>
          <t>2 Bedroom</t>
        </is>
      </c>
      <c r="K45" s="36" t="inlineStr">
        <is>
          <t>Isabel DiFiore</t>
        </is>
      </c>
      <c r="L45" s="55" t="n">
        <v>1204</v>
      </c>
      <c r="M45" s="56" t="n">
        <v>2</v>
      </c>
      <c r="N45" s="56" t="n"/>
      <c r="Q45" s="57" t="inlineStr">
        <is>
          <t>Occ</t>
        </is>
      </c>
      <c r="U45" s="58" t="n">
        <v>1443</v>
      </c>
      <c r="V45" s="58" t="n">
        <v>1395</v>
      </c>
      <c r="W45" s="58" t="n">
        <v>0</v>
      </c>
      <c r="X45" s="58" t="n">
        <v>0</v>
      </c>
      <c r="Y45" s="58" t="n">
        <v>32</v>
      </c>
      <c r="Z45" s="59" t="n">
        <v>46165</v>
      </c>
      <c r="AA45" s="59" t="n">
        <v>46165</v>
      </c>
      <c r="AB45" s="59" t="n">
        <v>46529</v>
      </c>
    </row>
    <row r="46">
      <c r="D46" s="36" t="inlineStr">
        <is>
          <t>Saddlebrook at Tates Creek</t>
        </is>
      </c>
      <c r="E46" s="54" t="inlineStr">
        <is>
          <t>039</t>
        </is>
      </c>
      <c r="F46" s="54" t="inlineStr">
        <is>
          <t>stc_a1</t>
        </is>
      </c>
      <c r="G46" s="54" t="inlineStr">
        <is>
          <t>1 Bedroom</t>
        </is>
      </c>
      <c r="K46" s="36" t="inlineStr">
        <is>
          <t>Danial Paeinmahalli</t>
        </is>
      </c>
      <c r="L46" s="55" t="n">
        <v>731</v>
      </c>
      <c r="M46" s="56" t="n">
        <v>1</v>
      </c>
      <c r="N46" s="56" t="n"/>
      <c r="Q46" s="57" t="inlineStr">
        <is>
          <t>Occ</t>
        </is>
      </c>
      <c r="U46" s="58" t="n">
        <v>1139</v>
      </c>
      <c r="V46" s="58" t="n">
        <v>961</v>
      </c>
      <c r="W46" s="58" t="n">
        <v>0</v>
      </c>
      <c r="X46" s="58" t="n">
        <v>0</v>
      </c>
      <c r="Y46" s="58" t="n">
        <v>32</v>
      </c>
      <c r="Z46" s="59" t="n">
        <v>45738</v>
      </c>
      <c r="AA46" s="59" t="n">
        <v>45738</v>
      </c>
      <c r="AB46" s="59" t="n">
        <v>46589</v>
      </c>
    </row>
    <row r="47">
      <c r="D47" s="36" t="inlineStr">
        <is>
          <t>Saddlebrook at Tates Creek</t>
        </is>
      </c>
      <c r="E47" s="54" t="inlineStr">
        <is>
          <t>040</t>
        </is>
      </c>
      <c r="F47" s="54" t="inlineStr">
        <is>
          <t>stc_a3</t>
        </is>
      </c>
      <c r="G47" s="54" t="inlineStr">
        <is>
          <t>1 Bedroom</t>
        </is>
      </c>
      <c r="K47" s="36" t="inlineStr">
        <is>
          <t>Hayley Sparks</t>
        </is>
      </c>
      <c r="L47" s="55" t="n">
        <v>987</v>
      </c>
      <c r="M47" s="56" t="n">
        <v>1</v>
      </c>
      <c r="N47" s="56" t="n"/>
      <c r="Q47" s="57" t="inlineStr">
        <is>
          <t>Occ</t>
        </is>
      </c>
      <c r="U47" s="58" t="n">
        <v>1319</v>
      </c>
      <c r="V47" s="58" t="n">
        <v>1295</v>
      </c>
      <c r="W47" s="58" t="n">
        <v>0</v>
      </c>
      <c r="X47" s="58" t="n">
        <v>0</v>
      </c>
      <c r="Y47" s="58" t="n">
        <v>32</v>
      </c>
      <c r="Z47" s="59" t="n">
        <v>45352</v>
      </c>
      <c r="AA47" s="59" t="n">
        <v>45352</v>
      </c>
      <c r="AB47" s="59" t="n">
        <v>46568</v>
      </c>
    </row>
    <row r="48">
      <c r="D48" s="36" t="inlineStr">
        <is>
          <t>Saddlebrook at Tates Creek</t>
        </is>
      </c>
      <c r="E48" s="54" t="inlineStr">
        <is>
          <t>041</t>
        </is>
      </c>
      <c r="F48" s="54" t="inlineStr">
        <is>
          <t>stc_a1</t>
        </is>
      </c>
      <c r="G48" s="54" t="inlineStr">
        <is>
          <t>1 Bedroom</t>
        </is>
      </c>
      <c r="K48" s="36" t="inlineStr">
        <is>
          <t>Ian Boggs</t>
        </is>
      </c>
      <c r="L48" s="55" t="n">
        <v>731</v>
      </c>
      <c r="M48" s="56" t="n">
        <v>1</v>
      </c>
      <c r="N48" s="56" t="n"/>
      <c r="Q48" s="57" t="inlineStr">
        <is>
          <t>Occ</t>
        </is>
      </c>
      <c r="U48" s="58" t="n">
        <v>1264</v>
      </c>
      <c r="V48" s="58" t="n">
        <v>1261</v>
      </c>
      <c r="W48" s="58" t="n">
        <v>0</v>
      </c>
      <c r="X48" s="58" t="n">
        <v>0</v>
      </c>
      <c r="Y48" s="58" t="n">
        <v>67</v>
      </c>
      <c r="Z48" s="59" t="n">
        <v>45765</v>
      </c>
      <c r="AA48" s="59" t="n">
        <v>45765</v>
      </c>
      <c r="AB48" s="59" t="n">
        <v>46494</v>
      </c>
    </row>
    <row r="49">
      <c r="D49" s="36" t="inlineStr">
        <is>
          <t>Saddlebrook at Tates Creek</t>
        </is>
      </c>
      <c r="E49" s="54" t="inlineStr">
        <is>
          <t>042</t>
        </is>
      </c>
      <c r="F49" s="54" t="inlineStr">
        <is>
          <t>stc_a3</t>
        </is>
      </c>
      <c r="G49" s="54" t="inlineStr">
        <is>
          <t>1 Bedroom</t>
        </is>
      </c>
      <c r="K49" s="36" t="inlineStr">
        <is>
          <t>Richard Saland</t>
        </is>
      </c>
      <c r="L49" s="55" t="n">
        <v>987</v>
      </c>
      <c r="M49" s="56" t="n">
        <v>1</v>
      </c>
      <c r="N49" s="56" t="n"/>
      <c r="Q49" s="57" t="inlineStr">
        <is>
          <t>Occ</t>
        </is>
      </c>
      <c r="U49" s="58" t="n">
        <v>1194</v>
      </c>
      <c r="V49" s="58" t="n">
        <v>1344</v>
      </c>
      <c r="W49" s="58" t="n">
        <v>0</v>
      </c>
      <c r="X49" s="58" t="n">
        <v>0</v>
      </c>
      <c r="Y49" s="58" t="n">
        <v>46</v>
      </c>
      <c r="Z49" s="59" t="n">
        <v>36039</v>
      </c>
      <c r="AA49" s="59" t="n">
        <v>36039</v>
      </c>
      <c r="AB49" s="59" t="n">
        <v>46295</v>
      </c>
    </row>
    <row r="50">
      <c r="D50" s="36" t="inlineStr">
        <is>
          <t>Saddlebrook at Tates Creek</t>
        </is>
      </c>
      <c r="E50" s="54" t="inlineStr">
        <is>
          <t>043</t>
        </is>
      </c>
      <c r="F50" s="54" t="inlineStr">
        <is>
          <t>stc_b1</t>
        </is>
      </c>
      <c r="G50" s="54" t="inlineStr">
        <is>
          <t>2 Bedroom</t>
        </is>
      </c>
      <c r="K50" s="36" t="inlineStr">
        <is>
          <t>Jamie Russell</t>
        </is>
      </c>
      <c r="L50" s="55" t="n">
        <v>1204</v>
      </c>
      <c r="M50" s="56" t="n">
        <v>2</v>
      </c>
      <c r="N50" s="56" t="n"/>
      <c r="Q50" s="57" t="inlineStr">
        <is>
          <t>Occ</t>
        </is>
      </c>
      <c r="U50" s="58" t="n">
        <v>1443</v>
      </c>
      <c r="V50" s="58" t="n">
        <v>1536</v>
      </c>
      <c r="W50" s="58" t="n">
        <v>0</v>
      </c>
      <c r="X50" s="58" t="n">
        <v>0</v>
      </c>
      <c r="Y50" s="58" t="n">
        <v>91</v>
      </c>
      <c r="Z50" s="59" t="n">
        <v>44224</v>
      </c>
      <c r="AA50" s="59" t="n">
        <v>44224</v>
      </c>
      <c r="AB50" s="59" t="n">
        <v>46353</v>
      </c>
    </row>
    <row r="51">
      <c r="D51" s="36" t="inlineStr">
        <is>
          <t>Saddlebrook at Tates Creek</t>
        </is>
      </c>
      <c r="E51" s="54" t="inlineStr">
        <is>
          <t>044</t>
        </is>
      </c>
      <c r="F51" s="54" t="inlineStr">
        <is>
          <t>stc_b1</t>
        </is>
      </c>
      <c r="G51" s="54" t="inlineStr">
        <is>
          <t>2 Bedroom</t>
        </is>
      </c>
      <c r="K51" s="36" t="inlineStr">
        <is>
          <t>Christopher Arnett</t>
        </is>
      </c>
      <c r="L51" s="55" t="n">
        <v>1204</v>
      </c>
      <c r="M51" s="56" t="n">
        <v>2</v>
      </c>
      <c r="N51" s="56" t="n"/>
      <c r="Q51" s="57" t="inlineStr">
        <is>
          <t>Occ</t>
        </is>
      </c>
      <c r="U51" s="58" t="n">
        <v>1443</v>
      </c>
      <c r="V51" s="58" t="n">
        <v>1558</v>
      </c>
      <c r="W51" s="58" t="n">
        <v>0</v>
      </c>
      <c r="X51" s="58" t="n">
        <v>0</v>
      </c>
      <c r="Y51" s="58" t="n">
        <v>31</v>
      </c>
      <c r="Z51" s="59" t="n">
        <v>46010</v>
      </c>
      <c r="AA51" s="59" t="n">
        <v>46010</v>
      </c>
      <c r="AB51" s="59" t="n">
        <v>46436</v>
      </c>
    </row>
    <row r="52">
      <c r="D52" s="36" t="inlineStr">
        <is>
          <t>Saddlebrook at Tates Creek</t>
        </is>
      </c>
      <c r="E52" s="54" t="inlineStr">
        <is>
          <t>045</t>
        </is>
      </c>
      <c r="F52" s="54" t="inlineStr">
        <is>
          <t>stc_b1</t>
        </is>
      </c>
      <c r="G52" s="54" t="inlineStr">
        <is>
          <t>2 Bedroom</t>
        </is>
      </c>
      <c r="K52" s="36" t="inlineStr">
        <is>
          <t>Suzanne Crombie</t>
        </is>
      </c>
      <c r="L52" s="55" t="n">
        <v>1204</v>
      </c>
      <c r="M52" s="56" t="n">
        <v>2</v>
      </c>
      <c r="N52" s="56" t="n"/>
      <c r="Q52" s="57" t="inlineStr">
        <is>
          <t>Occ</t>
        </is>
      </c>
      <c r="U52" s="58" t="n">
        <v>1348</v>
      </c>
      <c r="V52" s="58" t="n">
        <v>1344</v>
      </c>
      <c r="W52" s="58" t="n">
        <v>0</v>
      </c>
      <c r="X52" s="58" t="n">
        <v>0</v>
      </c>
      <c r="Y52" s="58" t="n">
        <v>91</v>
      </c>
      <c r="Z52" s="59" t="n">
        <v>45649</v>
      </c>
      <c r="AA52" s="59" t="n">
        <v>45649</v>
      </c>
      <c r="AB52" s="59" t="n">
        <v>46440</v>
      </c>
    </row>
    <row r="53">
      <c r="D53" s="36" t="inlineStr">
        <is>
          <t>Saddlebrook at Tates Creek</t>
        </is>
      </c>
      <c r="E53" s="54" t="inlineStr">
        <is>
          <t>046</t>
        </is>
      </c>
      <c r="F53" s="54" t="inlineStr">
        <is>
          <t>stc_b3</t>
        </is>
      </c>
      <c r="G53" s="54" t="inlineStr">
        <is>
          <t>2 Bedroom</t>
        </is>
      </c>
      <c r="K53" s="36" t="inlineStr">
        <is>
          <t>Rafeh Safdar</t>
        </is>
      </c>
      <c r="L53" s="55" t="n">
        <v>1309</v>
      </c>
      <c r="M53" s="56" t="n">
        <v>2</v>
      </c>
      <c r="N53" s="56" t="n"/>
      <c r="Q53" s="57" t="inlineStr">
        <is>
          <t>Occ</t>
        </is>
      </c>
      <c r="U53" s="58" t="n">
        <v>1466</v>
      </c>
      <c r="V53" s="58" t="n">
        <v>1592</v>
      </c>
      <c r="W53" s="58" t="n">
        <v>0</v>
      </c>
      <c r="X53" s="58" t="n">
        <v>0</v>
      </c>
      <c r="Y53" s="58" t="n">
        <v>66</v>
      </c>
      <c r="Z53" s="59" t="n">
        <v>45476</v>
      </c>
      <c r="AA53" s="59" t="n">
        <v>45476</v>
      </c>
      <c r="AB53" s="59" t="n">
        <v>46205</v>
      </c>
    </row>
    <row r="54">
      <c r="D54" s="36" t="inlineStr">
        <is>
          <t>Saddlebrook at Tates Creek</t>
        </is>
      </c>
      <c r="E54" s="54" t="inlineStr">
        <is>
          <t>047</t>
        </is>
      </c>
      <c r="F54" s="54" t="inlineStr">
        <is>
          <t>stc_b1</t>
        </is>
      </c>
      <c r="G54" s="54" t="inlineStr">
        <is>
          <t>2 Bedroom</t>
        </is>
      </c>
      <c r="K54" s="36" t="inlineStr">
        <is>
          <t>Melanie Rudy</t>
        </is>
      </c>
      <c r="L54" s="55" t="n">
        <v>1204</v>
      </c>
      <c r="M54" s="56" t="n">
        <v>2</v>
      </c>
      <c r="N54" s="56" t="n"/>
      <c r="Q54" s="57" t="inlineStr">
        <is>
          <t>Occ</t>
        </is>
      </c>
      <c r="U54" s="58" t="n">
        <v>1443</v>
      </c>
      <c r="V54" s="58" t="n">
        <v>1546</v>
      </c>
      <c r="W54" s="58" t="n">
        <v>0</v>
      </c>
      <c r="X54" s="58" t="n">
        <v>0</v>
      </c>
      <c r="Y54" s="58" t="n">
        <v>91</v>
      </c>
      <c r="Z54" s="59" t="n">
        <v>45478</v>
      </c>
      <c r="AA54" s="59" t="n">
        <v>45478</v>
      </c>
      <c r="AB54" s="59" t="n">
        <v>46238</v>
      </c>
    </row>
    <row r="55">
      <c r="D55" s="36" t="inlineStr">
        <is>
          <t>Saddlebrook at Tates Creek</t>
        </is>
      </c>
      <c r="E55" s="54" t="inlineStr">
        <is>
          <t>048</t>
        </is>
      </c>
      <c r="F55" s="54" t="inlineStr">
        <is>
          <t>stc_b1</t>
        </is>
      </c>
      <c r="G55" s="54" t="inlineStr">
        <is>
          <t>2 Bedroom</t>
        </is>
      </c>
      <c r="K55" s="36" t="inlineStr">
        <is>
          <t>Alexander Suffridge</t>
        </is>
      </c>
      <c r="L55" s="55" t="n">
        <v>1204</v>
      </c>
      <c r="M55" s="56" t="n">
        <v>2</v>
      </c>
      <c r="N55" s="56" t="n"/>
      <c r="Q55" s="57" t="inlineStr">
        <is>
          <t>Occ</t>
        </is>
      </c>
      <c r="U55" s="58" t="n">
        <v>1443</v>
      </c>
      <c r="V55" s="58" t="n">
        <v>1490</v>
      </c>
      <c r="W55" s="58" t="n">
        <v>0</v>
      </c>
      <c r="X55" s="58" t="n">
        <v>0</v>
      </c>
      <c r="Y55" s="58" t="n">
        <v>91</v>
      </c>
      <c r="Z55" s="59" t="n">
        <v>44690</v>
      </c>
      <c r="AA55" s="59" t="n">
        <v>44690</v>
      </c>
      <c r="AB55" s="59" t="n">
        <v>46334</v>
      </c>
    </row>
    <row r="56">
      <c r="D56" s="36" t="inlineStr">
        <is>
          <t>Saddlebrook at Tates Creek</t>
        </is>
      </c>
      <c r="E56" s="54" t="inlineStr">
        <is>
          <t>049</t>
        </is>
      </c>
      <c r="F56" s="54" t="inlineStr">
        <is>
          <t>stc_a2</t>
        </is>
      </c>
      <c r="G56" s="54" t="inlineStr">
        <is>
          <t>1 Bedroom</t>
        </is>
      </c>
      <c r="K56" s="36" t="inlineStr">
        <is>
          <t>Vacant</t>
        </is>
      </c>
      <c r="L56" s="55" t="n">
        <v>768</v>
      </c>
      <c r="M56" s="56" t="n">
        <v>1</v>
      </c>
      <c r="N56" s="56" t="n"/>
      <c r="Q56" s="57" t="inlineStr">
        <is>
          <t>Vac</t>
        </is>
      </c>
      <c r="U56" s="58" t="n">
        <v>1199</v>
      </c>
      <c r="V56" s="58" t="n">
        <v>0</v>
      </c>
      <c r="W56" s="58" t="n">
        <v>0</v>
      </c>
      <c r="X56" s="58" t="n">
        <v>0</v>
      </c>
      <c r="Y56" s="58" t="n">
        <v>0</v>
      </c>
    </row>
    <row r="57">
      <c r="D57" s="36" t="inlineStr">
        <is>
          <t>Saddlebrook at Tates Creek</t>
        </is>
      </c>
      <c r="E57" s="54" t="inlineStr">
        <is>
          <t>050</t>
        </is>
      </c>
      <c r="F57" s="54" t="inlineStr">
        <is>
          <t>stc_b2</t>
        </is>
      </c>
      <c r="G57" s="54" t="inlineStr">
        <is>
          <t>2 Bedroom</t>
        </is>
      </c>
      <c r="K57" s="36" t="inlineStr">
        <is>
          <t>Kathleen Moore</t>
        </is>
      </c>
      <c r="L57" s="55" t="n">
        <v>1214</v>
      </c>
      <c r="M57" s="56" t="n">
        <v>2</v>
      </c>
      <c r="N57" s="56" t="n"/>
      <c r="Q57" s="57" t="inlineStr">
        <is>
          <t>Occ</t>
        </is>
      </c>
      <c r="U57" s="58" t="n">
        <v>1466</v>
      </c>
      <c r="V57" s="58" t="n">
        <v>1541</v>
      </c>
      <c r="W57" s="58" t="n">
        <v>0</v>
      </c>
      <c r="X57" s="58" t="n">
        <v>0</v>
      </c>
      <c r="Y57" s="58" t="n">
        <v>31</v>
      </c>
      <c r="Z57" s="59" t="n">
        <v>46192</v>
      </c>
      <c r="AA57" s="59" t="n">
        <v>46192</v>
      </c>
      <c r="AB57" s="59" t="n">
        <v>46556</v>
      </c>
    </row>
    <row r="58">
      <c r="D58" s="36" t="inlineStr">
        <is>
          <t>Saddlebrook at Tates Creek</t>
        </is>
      </c>
      <c r="E58" s="54" t="inlineStr">
        <is>
          <t>051</t>
        </is>
      </c>
      <c r="F58" s="54" t="inlineStr">
        <is>
          <t>stc_a1</t>
        </is>
      </c>
      <c r="G58" s="54" t="inlineStr">
        <is>
          <t>1 Bedroom</t>
        </is>
      </c>
      <c r="K58" s="36" t="inlineStr">
        <is>
          <t>Elijah Moore</t>
        </is>
      </c>
      <c r="L58" s="55" t="n">
        <v>731</v>
      </c>
      <c r="M58" s="56" t="n">
        <v>1</v>
      </c>
      <c r="N58" s="56" t="n"/>
      <c r="Q58" s="57" t="inlineStr">
        <is>
          <t>Occ</t>
        </is>
      </c>
      <c r="U58" s="58" t="n">
        <v>1264</v>
      </c>
      <c r="V58" s="58" t="n">
        <v>1260</v>
      </c>
      <c r="W58" s="58" t="n">
        <v>0</v>
      </c>
      <c r="X58" s="58" t="n">
        <v>0</v>
      </c>
      <c r="Y58" s="58" t="n">
        <v>32</v>
      </c>
      <c r="Z58" s="59" t="n">
        <v>46170</v>
      </c>
      <c r="AA58" s="59" t="n">
        <v>46170</v>
      </c>
      <c r="AB58" s="59" t="n">
        <v>46565</v>
      </c>
    </row>
    <row r="59">
      <c r="D59" s="36" t="inlineStr">
        <is>
          <t>Saddlebrook at Tates Creek</t>
        </is>
      </c>
      <c r="E59" s="54" t="inlineStr">
        <is>
          <t>052</t>
        </is>
      </c>
      <c r="F59" s="54" t="inlineStr">
        <is>
          <t>stc_a3</t>
        </is>
      </c>
      <c r="G59" s="54" t="inlineStr">
        <is>
          <t>1 Bedroom</t>
        </is>
      </c>
      <c r="K59" s="36" t="inlineStr">
        <is>
          <t>Sydney McDonald</t>
        </is>
      </c>
      <c r="L59" s="55" t="n">
        <v>987</v>
      </c>
      <c r="M59" s="56" t="n">
        <v>1</v>
      </c>
      <c r="N59" s="56" t="n"/>
      <c r="Q59" s="57" t="inlineStr">
        <is>
          <t>Occ</t>
        </is>
      </c>
      <c r="U59" s="58" t="n">
        <v>1319</v>
      </c>
      <c r="V59" s="58" t="n">
        <v>1349</v>
      </c>
      <c r="W59" s="58" t="n">
        <v>0</v>
      </c>
      <c r="X59" s="58" t="n">
        <v>0</v>
      </c>
      <c r="Y59" s="58" t="n">
        <v>116</v>
      </c>
      <c r="Z59" s="59" t="n">
        <v>46002</v>
      </c>
      <c r="AA59" s="59" t="n">
        <v>46002</v>
      </c>
      <c r="AB59" s="59" t="n">
        <v>46428</v>
      </c>
    </row>
    <row r="60">
      <c r="D60" s="36" t="inlineStr">
        <is>
          <t>Saddlebrook at Tates Creek</t>
        </is>
      </c>
      <c r="E60" s="54" t="inlineStr">
        <is>
          <t>053</t>
        </is>
      </c>
      <c r="F60" s="54" t="inlineStr">
        <is>
          <t>stc_a1</t>
        </is>
      </c>
      <c r="G60" s="54" t="inlineStr">
        <is>
          <t>1 Bedroom</t>
        </is>
      </c>
      <c r="K60" s="36" t="inlineStr">
        <is>
          <t>Jim Blackburn</t>
        </is>
      </c>
      <c r="L60" s="55" t="n">
        <v>731</v>
      </c>
      <c r="M60" s="56" t="n">
        <v>1</v>
      </c>
      <c r="N60" s="56" t="n"/>
      <c r="Q60" s="57" t="inlineStr">
        <is>
          <t>Occ</t>
        </is>
      </c>
      <c r="U60" s="58" t="n">
        <v>1139</v>
      </c>
      <c r="V60" s="58" t="n">
        <v>1040</v>
      </c>
      <c r="W60" s="58" t="n">
        <v>0</v>
      </c>
      <c r="X60" s="58" t="n">
        <v>0</v>
      </c>
      <c r="Y60" s="58" t="n">
        <v>66</v>
      </c>
      <c r="Z60" s="59" t="n">
        <v>40949</v>
      </c>
      <c r="AA60" s="59" t="n">
        <v>40949</v>
      </c>
      <c r="AB60" s="59" t="n">
        <v>46212</v>
      </c>
    </row>
    <row r="61">
      <c r="D61" s="36" t="inlineStr">
        <is>
          <t>Saddlebrook at Tates Creek</t>
        </is>
      </c>
      <c r="E61" s="54" t="inlineStr">
        <is>
          <t>054</t>
        </is>
      </c>
      <c r="F61" s="54" t="inlineStr">
        <is>
          <t>stc_a3</t>
        </is>
      </c>
      <c r="G61" s="54" t="inlineStr">
        <is>
          <t>1 Bedroom</t>
        </is>
      </c>
      <c r="K61" s="36" t="inlineStr">
        <is>
          <t>Brian Claridge</t>
        </is>
      </c>
      <c r="L61" s="55" t="n">
        <v>987</v>
      </c>
      <c r="M61" s="56" t="n">
        <v>1</v>
      </c>
      <c r="N61" s="56" t="n"/>
      <c r="Q61" s="57" t="inlineStr">
        <is>
          <t>Occ</t>
        </is>
      </c>
      <c r="U61" s="58" t="n">
        <v>1319</v>
      </c>
      <c r="V61" s="58" t="n">
        <v>1280</v>
      </c>
      <c r="W61" s="58" t="n">
        <v>0</v>
      </c>
      <c r="X61" s="58" t="n">
        <v>0</v>
      </c>
      <c r="Y61" s="58" t="n">
        <v>67</v>
      </c>
      <c r="Z61" s="59" t="n">
        <v>45730</v>
      </c>
      <c r="AA61" s="59" t="n">
        <v>45730</v>
      </c>
      <c r="AB61" s="59" t="n">
        <v>46459</v>
      </c>
    </row>
    <row r="62">
      <c r="D62" s="36" t="inlineStr">
        <is>
          <t>Saddlebrook at Tates Creek</t>
        </is>
      </c>
      <c r="E62" s="54" t="inlineStr">
        <is>
          <t>055</t>
        </is>
      </c>
      <c r="F62" s="54" t="inlineStr">
        <is>
          <t>stc_a1</t>
        </is>
      </c>
      <c r="G62" s="54" t="inlineStr">
        <is>
          <t>1 Bedroom</t>
        </is>
      </c>
      <c r="K62" s="36" t="inlineStr">
        <is>
          <t>Karly Dadisman</t>
        </is>
      </c>
      <c r="L62" s="55" t="n">
        <v>731</v>
      </c>
      <c r="M62" s="56" t="n">
        <v>1</v>
      </c>
      <c r="N62" s="56" t="n"/>
      <c r="Q62" s="57" t="inlineStr">
        <is>
          <t>Occ</t>
        </is>
      </c>
      <c r="U62" s="58" t="n">
        <v>1264</v>
      </c>
      <c r="V62" s="58" t="n">
        <v>1165</v>
      </c>
      <c r="W62" s="58" t="n">
        <v>0</v>
      </c>
      <c r="X62" s="58" t="n">
        <v>0</v>
      </c>
      <c r="Y62" s="58" t="n">
        <v>71</v>
      </c>
      <c r="Z62" s="59" t="n">
        <v>45876</v>
      </c>
      <c r="AA62" s="59" t="n">
        <v>45876</v>
      </c>
      <c r="AB62" s="59" t="n">
        <v>46301</v>
      </c>
    </row>
    <row r="63">
      <c r="D63" s="36" t="inlineStr">
        <is>
          <t>Saddlebrook at Tates Creek</t>
        </is>
      </c>
      <c r="E63" s="54" t="inlineStr">
        <is>
          <t>056</t>
        </is>
      </c>
      <c r="F63" s="54" t="inlineStr">
        <is>
          <t>stc_a3</t>
        </is>
      </c>
      <c r="G63" s="54" t="inlineStr">
        <is>
          <t>1 Bedroom</t>
        </is>
      </c>
      <c r="K63" s="36" t="inlineStr">
        <is>
          <t>Ziad Alkhamis</t>
        </is>
      </c>
      <c r="L63" s="55" t="n">
        <v>987</v>
      </c>
      <c r="M63" s="56" t="n">
        <v>1</v>
      </c>
      <c r="N63" s="56" t="n"/>
      <c r="Q63" s="57" t="inlineStr">
        <is>
          <t>Occ</t>
        </is>
      </c>
      <c r="U63" s="58" t="n">
        <v>1319</v>
      </c>
      <c r="V63" s="58" t="n">
        <v>1387</v>
      </c>
      <c r="W63" s="58" t="n">
        <v>0</v>
      </c>
      <c r="X63" s="58" t="n">
        <v>0</v>
      </c>
      <c r="Y63" s="58" t="n">
        <v>32</v>
      </c>
      <c r="Z63" s="59" t="n">
        <v>46157</v>
      </c>
      <c r="AA63" s="59" t="n">
        <v>46157</v>
      </c>
      <c r="AB63" s="59" t="n">
        <v>46401</v>
      </c>
    </row>
    <row r="64">
      <c r="D64" s="36" t="inlineStr">
        <is>
          <t>Saddlebrook at Tates Creek</t>
        </is>
      </c>
      <c r="E64" s="54" t="inlineStr">
        <is>
          <t>057</t>
        </is>
      </c>
      <c r="F64" s="54" t="inlineStr">
        <is>
          <t>stc_a1</t>
        </is>
      </c>
      <c r="G64" s="54" t="inlineStr">
        <is>
          <t>1 Bedroom</t>
        </is>
      </c>
      <c r="K64" s="36" t="inlineStr">
        <is>
          <t>Emerson Taulbee</t>
        </is>
      </c>
      <c r="L64" s="55" t="n">
        <v>731</v>
      </c>
      <c r="M64" s="56" t="n">
        <v>1</v>
      </c>
      <c r="N64" s="56" t="n"/>
      <c r="Q64" s="57" t="inlineStr">
        <is>
          <t>Occ</t>
        </is>
      </c>
      <c r="U64" s="58" t="n">
        <v>1264</v>
      </c>
      <c r="V64" s="58" t="n">
        <v>1328</v>
      </c>
      <c r="W64" s="58" t="n">
        <v>0</v>
      </c>
      <c r="X64" s="58" t="n">
        <v>0</v>
      </c>
      <c r="Y64" s="58" t="n">
        <v>67</v>
      </c>
      <c r="Z64" s="59" t="n">
        <v>46173</v>
      </c>
      <c r="AA64" s="59" t="n">
        <v>46173</v>
      </c>
      <c r="AB64" s="59" t="n">
        <v>46537</v>
      </c>
    </row>
    <row r="65">
      <c r="D65" s="36" t="inlineStr">
        <is>
          <t>Saddlebrook at Tates Creek</t>
        </is>
      </c>
      <c r="E65" s="54" t="inlineStr">
        <is>
          <t>058</t>
        </is>
      </c>
      <c r="F65" s="54" t="inlineStr">
        <is>
          <t>stc_a3</t>
        </is>
      </c>
      <c r="G65" s="54" t="inlineStr">
        <is>
          <t>1 Bedroom</t>
        </is>
      </c>
      <c r="K65" s="36" t="inlineStr">
        <is>
          <t>Alexis Mertz</t>
        </is>
      </c>
      <c r="L65" s="55" t="n">
        <v>987</v>
      </c>
      <c r="M65" s="56" t="n">
        <v>1</v>
      </c>
      <c r="N65" s="56" t="n"/>
      <c r="Q65" s="57" t="inlineStr">
        <is>
          <t>Occ</t>
        </is>
      </c>
      <c r="U65" s="58" t="n">
        <v>1319</v>
      </c>
      <c r="V65" s="58" t="n">
        <v>1375</v>
      </c>
      <c r="W65" s="58" t="n">
        <v>0</v>
      </c>
      <c r="X65" s="58" t="n">
        <v>0</v>
      </c>
      <c r="Y65" s="58" t="n">
        <v>91</v>
      </c>
      <c r="Z65" s="59" t="n">
        <v>45482</v>
      </c>
      <c r="AA65" s="59" t="n">
        <v>45482</v>
      </c>
      <c r="AB65" s="59" t="n">
        <v>46242</v>
      </c>
    </row>
    <row r="66">
      <c r="D66" s="36" t="inlineStr">
        <is>
          <t>Saddlebrook at Tates Creek</t>
        </is>
      </c>
      <c r="E66" s="54" t="inlineStr">
        <is>
          <t>059</t>
        </is>
      </c>
      <c r="F66" s="54" t="inlineStr">
        <is>
          <t>stc_a1</t>
        </is>
      </c>
      <c r="G66" s="54" t="inlineStr">
        <is>
          <t>1 Bedroom</t>
        </is>
      </c>
      <c r="K66" s="36" t="inlineStr">
        <is>
          <t>Annie Cox</t>
        </is>
      </c>
      <c r="L66" s="55" t="n">
        <v>731</v>
      </c>
      <c r="M66" s="56" t="n">
        <v>1</v>
      </c>
      <c r="N66" s="56" t="n"/>
      <c r="Q66" s="57" t="inlineStr">
        <is>
          <t>Occ</t>
        </is>
      </c>
      <c r="U66" s="58" t="n">
        <v>1264</v>
      </c>
      <c r="V66" s="58" t="n">
        <v>1141</v>
      </c>
      <c r="W66" s="58" t="n">
        <v>0</v>
      </c>
      <c r="X66" s="58" t="n">
        <v>0</v>
      </c>
      <c r="Y66" s="58" t="n">
        <v>31</v>
      </c>
      <c r="Z66" s="59" t="n">
        <v>43995</v>
      </c>
      <c r="AA66" s="59" t="n">
        <v>43995</v>
      </c>
      <c r="AB66" s="59" t="n">
        <v>46215</v>
      </c>
    </row>
    <row r="67">
      <c r="D67" s="36" t="inlineStr">
        <is>
          <t>Saddlebrook at Tates Creek</t>
        </is>
      </c>
      <c r="E67" s="54" t="inlineStr">
        <is>
          <t>060</t>
        </is>
      </c>
      <c r="F67" s="54" t="inlineStr">
        <is>
          <t>stc_a3</t>
        </is>
      </c>
      <c r="G67" s="54" t="inlineStr">
        <is>
          <t>1 Bedroom</t>
        </is>
      </c>
      <c r="K67" s="36" t="inlineStr">
        <is>
          <t>Kristin Worth</t>
        </is>
      </c>
      <c r="L67" s="55" t="n">
        <v>987</v>
      </c>
      <c r="M67" s="56" t="n">
        <v>1</v>
      </c>
      <c r="N67" s="56" t="n"/>
      <c r="Q67" s="57" t="inlineStr">
        <is>
          <t>Occ</t>
        </is>
      </c>
      <c r="U67" s="58" t="n">
        <v>1194</v>
      </c>
      <c r="V67" s="58" t="n">
        <v>1281</v>
      </c>
      <c r="W67" s="58" t="n">
        <v>0</v>
      </c>
      <c r="X67" s="58" t="n">
        <v>0</v>
      </c>
      <c r="Y67" s="58" t="n">
        <v>32</v>
      </c>
      <c r="Z67" s="59" t="n">
        <v>44044</v>
      </c>
      <c r="AA67" s="59" t="n">
        <v>44044</v>
      </c>
      <c r="AB67" s="59" t="n">
        <v>46538</v>
      </c>
    </row>
    <row r="68">
      <c r="D68" s="36" t="inlineStr">
        <is>
          <t>Saddlebrook at Tates Creek</t>
        </is>
      </c>
      <c r="E68" s="54" t="inlineStr">
        <is>
          <t>061</t>
        </is>
      </c>
      <c r="F68" s="54" t="inlineStr">
        <is>
          <t>stc_a1</t>
        </is>
      </c>
      <c r="G68" s="54" t="inlineStr">
        <is>
          <t>1 Bedroom</t>
        </is>
      </c>
      <c r="K68" s="36" t="inlineStr">
        <is>
          <t>Ryann Walden</t>
        </is>
      </c>
      <c r="L68" s="55" t="n">
        <v>731</v>
      </c>
      <c r="M68" s="56" t="n">
        <v>1</v>
      </c>
      <c r="N68" s="56" t="n"/>
      <c r="Q68" s="57" t="inlineStr">
        <is>
          <t>Occ</t>
        </is>
      </c>
      <c r="U68" s="58" t="n">
        <v>1264</v>
      </c>
      <c r="V68" s="58" t="n">
        <v>1177</v>
      </c>
      <c r="W68" s="58" t="n">
        <v>0</v>
      </c>
      <c r="X68" s="58" t="n">
        <v>0</v>
      </c>
      <c r="Y68" s="58" t="n">
        <v>89</v>
      </c>
      <c r="Z68" s="59" t="n">
        <v>45762</v>
      </c>
      <c r="AA68" s="59" t="n">
        <v>45762</v>
      </c>
      <c r="AB68" s="59" t="n">
        <v>46217</v>
      </c>
    </row>
    <row r="69">
      <c r="D69" s="36" t="inlineStr">
        <is>
          <t>Saddlebrook at Tates Creek</t>
        </is>
      </c>
      <c r="E69" s="54" t="inlineStr">
        <is>
          <t>062</t>
        </is>
      </c>
      <c r="F69" s="54" t="inlineStr">
        <is>
          <t>stc_a3</t>
        </is>
      </c>
      <c r="G69" s="54" t="inlineStr">
        <is>
          <t>1 Bedroom</t>
        </is>
      </c>
      <c r="K69" s="36" t="inlineStr">
        <is>
          <t>Adeline Back</t>
        </is>
      </c>
      <c r="L69" s="55" t="n">
        <v>987</v>
      </c>
      <c r="M69" s="56" t="n">
        <v>1</v>
      </c>
      <c r="N69" s="56" t="n"/>
      <c r="Q69" s="57" t="inlineStr">
        <is>
          <t>Occ</t>
        </is>
      </c>
      <c r="U69" s="58" t="n">
        <v>1319</v>
      </c>
      <c r="V69" s="58" t="n">
        <v>1323</v>
      </c>
      <c r="W69" s="58" t="n">
        <v>0</v>
      </c>
      <c r="X69" s="58" t="n">
        <v>0</v>
      </c>
      <c r="Y69" s="58" t="n">
        <v>31</v>
      </c>
      <c r="Z69" s="59" t="n">
        <v>45908</v>
      </c>
      <c r="AA69" s="59" t="n">
        <v>45908</v>
      </c>
      <c r="AB69" s="59" t="n">
        <v>46272</v>
      </c>
    </row>
    <row r="70">
      <c r="D70" s="36" t="inlineStr">
        <is>
          <t>Saddlebrook at Tates Creek</t>
        </is>
      </c>
      <c r="E70" s="54" t="inlineStr">
        <is>
          <t>063</t>
        </is>
      </c>
      <c r="F70" s="54" t="inlineStr">
        <is>
          <t>stc_a2</t>
        </is>
      </c>
      <c r="G70" s="54" t="inlineStr">
        <is>
          <t>1 Bedroom</t>
        </is>
      </c>
      <c r="K70" s="36" t="inlineStr">
        <is>
          <t>Emily Yeager</t>
        </is>
      </c>
      <c r="L70" s="55" t="n">
        <v>768</v>
      </c>
      <c r="M70" s="56" t="n">
        <v>1</v>
      </c>
      <c r="N70" s="56" t="n"/>
      <c r="Q70" s="57" t="inlineStr">
        <is>
          <t>Occ</t>
        </is>
      </c>
      <c r="U70" s="58" t="n">
        <v>1270</v>
      </c>
      <c r="V70" s="58" t="n">
        <v>1080</v>
      </c>
      <c r="W70" s="58" t="n">
        <v>0</v>
      </c>
      <c r="X70" s="58" t="n">
        <v>0</v>
      </c>
      <c r="Y70" s="58" t="n">
        <v>31</v>
      </c>
      <c r="Z70" s="59" t="n">
        <v>45829</v>
      </c>
      <c r="AA70" s="59" t="n">
        <v>45829</v>
      </c>
      <c r="AB70" s="59" t="n">
        <v>46254</v>
      </c>
    </row>
    <row r="71">
      <c r="D71" s="36" t="inlineStr">
        <is>
          <t>Saddlebrook at Tates Creek</t>
        </is>
      </c>
      <c r="E71" s="54" t="inlineStr">
        <is>
          <t>064</t>
        </is>
      </c>
      <c r="F71" s="54" t="inlineStr">
        <is>
          <t>stc_b2</t>
        </is>
      </c>
      <c r="G71" s="54" t="inlineStr">
        <is>
          <t>2 Bedroom</t>
        </is>
      </c>
      <c r="K71" s="36" t="inlineStr">
        <is>
          <t>Ann Lloyd</t>
        </is>
      </c>
      <c r="L71" s="55" t="n">
        <v>1214</v>
      </c>
      <c r="M71" s="56" t="n">
        <v>2</v>
      </c>
      <c r="N71" s="56" t="n"/>
      <c r="Q71" s="57" t="inlineStr">
        <is>
          <t>Occ</t>
        </is>
      </c>
      <c r="U71" s="58" t="n">
        <v>1466</v>
      </c>
      <c r="V71" s="58" t="n">
        <v>1678</v>
      </c>
      <c r="W71" s="58" t="n">
        <v>0</v>
      </c>
      <c r="X71" s="58" t="n">
        <v>0</v>
      </c>
      <c r="Y71" s="58" t="n">
        <v>142</v>
      </c>
      <c r="Z71" s="59" t="n">
        <v>44170</v>
      </c>
      <c r="AA71" s="59" t="n">
        <v>44170</v>
      </c>
      <c r="AB71" s="59" t="n">
        <v>46511</v>
      </c>
    </row>
    <row r="72">
      <c r="D72" s="36" t="inlineStr">
        <is>
          <t>Saddlebrook at Tates Creek</t>
        </is>
      </c>
      <c r="E72" s="54" t="inlineStr">
        <is>
          <t>065</t>
        </is>
      </c>
      <c r="F72" s="54" t="inlineStr">
        <is>
          <t>stc_b1</t>
        </is>
      </c>
      <c r="G72" s="54" t="inlineStr">
        <is>
          <t>2 Bedroom</t>
        </is>
      </c>
      <c r="K72" s="36" t="inlineStr">
        <is>
          <t>Caleb Landis</t>
        </is>
      </c>
      <c r="L72" s="55" t="n">
        <v>1204</v>
      </c>
      <c r="M72" s="56" t="n">
        <v>2</v>
      </c>
      <c r="N72" s="56" t="n"/>
      <c r="Q72" s="57" t="inlineStr">
        <is>
          <t>Occ</t>
        </is>
      </c>
      <c r="U72" s="58" t="n">
        <v>1443</v>
      </c>
      <c r="V72" s="58" t="n">
        <v>1471</v>
      </c>
      <c r="W72" s="58" t="n">
        <v>0</v>
      </c>
      <c r="X72" s="58" t="n">
        <v>0</v>
      </c>
      <c r="Y72" s="58" t="n">
        <v>31</v>
      </c>
      <c r="Z72" s="59" t="n">
        <v>44072</v>
      </c>
      <c r="AA72" s="59" t="n">
        <v>44072</v>
      </c>
      <c r="AB72" s="59" t="n">
        <v>46231</v>
      </c>
    </row>
    <row r="73">
      <c r="D73" s="36" t="inlineStr">
        <is>
          <t>Saddlebrook at Tates Creek</t>
        </is>
      </c>
      <c r="E73" s="54" t="inlineStr">
        <is>
          <t>066</t>
        </is>
      </c>
      <c r="F73" s="54" t="inlineStr">
        <is>
          <t>stc_b1</t>
        </is>
      </c>
      <c r="G73" s="54" t="inlineStr">
        <is>
          <t>2 Bedroom</t>
        </is>
      </c>
      <c r="K73" s="36" t="inlineStr">
        <is>
          <t>Cyuzuzo Ganza</t>
        </is>
      </c>
      <c r="L73" s="55" t="n">
        <v>1204</v>
      </c>
      <c r="M73" s="56" t="n">
        <v>2</v>
      </c>
      <c r="N73" s="56" t="n"/>
      <c r="Q73" s="57" t="inlineStr">
        <is>
          <t>Occ</t>
        </is>
      </c>
      <c r="U73" s="58" t="n">
        <v>1443</v>
      </c>
      <c r="V73" s="58" t="n">
        <v>1531</v>
      </c>
      <c r="W73" s="58" t="n">
        <v>0</v>
      </c>
      <c r="X73" s="58" t="n">
        <v>0</v>
      </c>
      <c r="Y73" s="58" t="n">
        <v>32</v>
      </c>
      <c r="Z73" s="59" t="n">
        <v>45709</v>
      </c>
      <c r="AA73" s="59" t="n">
        <v>45709</v>
      </c>
      <c r="AB73" s="59" t="n">
        <v>46527</v>
      </c>
    </row>
    <row r="74">
      <c r="D74" s="36" t="inlineStr">
        <is>
          <t>Saddlebrook at Tates Creek</t>
        </is>
      </c>
      <c r="E74" s="54" t="inlineStr">
        <is>
          <t>067</t>
        </is>
      </c>
      <c r="F74" s="54" t="inlineStr">
        <is>
          <t>stc_b1</t>
        </is>
      </c>
      <c r="G74" s="54" t="inlineStr">
        <is>
          <t>2 Bedroom</t>
        </is>
      </c>
      <c r="K74" s="36" t="inlineStr">
        <is>
          <t>Maria Vazquez</t>
        </is>
      </c>
      <c r="L74" s="55" t="n">
        <v>1204</v>
      </c>
      <c r="M74" s="56" t="n">
        <v>2</v>
      </c>
      <c r="N74" s="56" t="n"/>
      <c r="Q74" s="57" t="inlineStr">
        <is>
          <t>Occ</t>
        </is>
      </c>
      <c r="U74" s="58" t="n">
        <v>1443</v>
      </c>
      <c r="V74" s="58" t="n">
        <v>1399</v>
      </c>
      <c r="W74" s="58" t="n">
        <v>0</v>
      </c>
      <c r="X74" s="58" t="n">
        <v>0</v>
      </c>
      <c r="Y74" s="58" t="n">
        <v>81</v>
      </c>
      <c r="Z74" s="59" t="n">
        <v>45915</v>
      </c>
      <c r="AA74" s="59" t="n">
        <v>45915</v>
      </c>
      <c r="AB74" s="59" t="n">
        <v>46340</v>
      </c>
    </row>
    <row r="75">
      <c r="D75" s="36" t="inlineStr">
        <is>
          <t>Saddlebrook at Tates Creek</t>
        </is>
      </c>
      <c r="E75" s="54" t="inlineStr">
        <is>
          <t>068</t>
        </is>
      </c>
      <c r="F75" s="54" t="inlineStr">
        <is>
          <t>stc_b3</t>
        </is>
      </c>
      <c r="G75" s="54" t="inlineStr">
        <is>
          <t>2 Bedroom</t>
        </is>
      </c>
      <c r="K75" s="36" t="inlineStr">
        <is>
          <t>Allen Shelton</t>
        </is>
      </c>
      <c r="L75" s="55" t="n">
        <v>1309</v>
      </c>
      <c r="M75" s="56" t="n">
        <v>2</v>
      </c>
      <c r="N75" s="56" t="n"/>
      <c r="Q75" s="57" t="inlineStr">
        <is>
          <t>Occ</t>
        </is>
      </c>
      <c r="U75" s="58" t="n">
        <v>1466</v>
      </c>
      <c r="V75" s="58" t="n">
        <v>1466</v>
      </c>
      <c r="W75" s="58" t="n">
        <v>0</v>
      </c>
      <c r="X75" s="58" t="n">
        <v>0</v>
      </c>
      <c r="Y75" s="58" t="n">
        <v>32</v>
      </c>
      <c r="Z75" s="59" t="n">
        <v>46145</v>
      </c>
      <c r="AA75" s="59" t="n">
        <v>46145</v>
      </c>
      <c r="AB75" s="59" t="n">
        <v>46247</v>
      </c>
    </row>
    <row r="76">
      <c r="D76" s="36" t="inlineStr">
        <is>
          <t>Saddlebrook at Tates Creek</t>
        </is>
      </c>
      <c r="E76" s="54" t="inlineStr">
        <is>
          <t>069</t>
        </is>
      </c>
      <c r="F76" s="54" t="inlineStr">
        <is>
          <t>stc_b1</t>
        </is>
      </c>
      <c r="G76" s="54" t="inlineStr">
        <is>
          <t>2 Bedroom</t>
        </is>
      </c>
      <c r="K76" s="36" t="inlineStr">
        <is>
          <t>Scott Jordan</t>
        </is>
      </c>
      <c r="L76" s="55" t="n">
        <v>1204</v>
      </c>
      <c r="M76" s="56" t="n">
        <v>2</v>
      </c>
      <c r="N76" s="56" t="n"/>
      <c r="Q76" s="57" t="inlineStr">
        <is>
          <t>Occ</t>
        </is>
      </c>
      <c r="U76" s="58" t="n">
        <v>1443</v>
      </c>
      <c r="V76" s="58" t="n">
        <v>1331</v>
      </c>
      <c r="W76" s="58" t="n">
        <v>0</v>
      </c>
      <c r="X76" s="58" t="n">
        <v>0</v>
      </c>
      <c r="Y76" s="58" t="n">
        <v>61</v>
      </c>
      <c r="Z76" s="59" t="n">
        <v>43911</v>
      </c>
      <c r="AA76" s="59" t="n">
        <v>43911</v>
      </c>
      <c r="AB76" s="59" t="n">
        <v>46407</v>
      </c>
    </row>
    <row r="77">
      <c r="D77" s="36" t="inlineStr">
        <is>
          <t>Saddlebrook at Tates Creek</t>
        </is>
      </c>
      <c r="E77" s="54" t="inlineStr">
        <is>
          <t>070</t>
        </is>
      </c>
      <c r="F77" s="54" t="inlineStr">
        <is>
          <t>stc_b1</t>
        </is>
      </c>
      <c r="G77" s="54" t="inlineStr">
        <is>
          <t>2 Bedroom</t>
        </is>
      </c>
      <c r="K77" s="36" t="inlineStr">
        <is>
          <t>Emily Dunagan</t>
        </is>
      </c>
      <c r="L77" s="55" t="n">
        <v>1204</v>
      </c>
      <c r="M77" s="56" t="n">
        <v>2</v>
      </c>
      <c r="N77" s="56" t="n"/>
      <c r="Q77" s="57" t="inlineStr">
        <is>
          <t>Occ</t>
        </is>
      </c>
      <c r="U77" s="58" t="n">
        <v>1443</v>
      </c>
      <c r="V77" s="58" t="n">
        <v>1667</v>
      </c>
      <c r="W77" s="58" t="n">
        <v>0</v>
      </c>
      <c r="X77" s="58" t="n">
        <v>0</v>
      </c>
      <c r="Y77" s="58" t="n">
        <v>66</v>
      </c>
      <c r="Z77" s="59" t="n">
        <v>45427</v>
      </c>
      <c r="AA77" s="59" t="n">
        <v>45427</v>
      </c>
      <c r="AB77" s="59" t="n">
        <v>46309</v>
      </c>
    </row>
    <row r="78">
      <c r="D78" s="36" t="inlineStr">
        <is>
          <t>Saddlebrook at Tates Creek</t>
        </is>
      </c>
      <c r="E78" s="54" t="inlineStr">
        <is>
          <t>071</t>
        </is>
      </c>
      <c r="F78" s="54" t="inlineStr">
        <is>
          <t>stc_a1</t>
        </is>
      </c>
      <c r="G78" s="54" t="inlineStr">
        <is>
          <t>1 Bedroom</t>
        </is>
      </c>
      <c r="K78" s="36" t="inlineStr">
        <is>
          <t>Alicia Wheeler</t>
        </is>
      </c>
      <c r="L78" s="55" t="n">
        <v>731</v>
      </c>
      <c r="M78" s="56" t="n">
        <v>1</v>
      </c>
      <c r="N78" s="56" t="n"/>
      <c r="Q78" s="57" t="inlineStr">
        <is>
          <t>Occ</t>
        </is>
      </c>
      <c r="U78" s="58" t="n">
        <v>1264</v>
      </c>
      <c r="V78" s="58" t="n">
        <v>1162</v>
      </c>
      <c r="W78" s="58" t="n">
        <v>0</v>
      </c>
      <c r="X78" s="58" t="n">
        <v>0</v>
      </c>
      <c r="Y78" s="58" t="n">
        <v>31</v>
      </c>
      <c r="Z78" s="59" t="n">
        <v>45950</v>
      </c>
      <c r="AA78" s="59" t="n">
        <v>45950</v>
      </c>
      <c r="AB78" s="59" t="n">
        <v>46314</v>
      </c>
    </row>
    <row r="79">
      <c r="D79" s="36" t="inlineStr">
        <is>
          <t>Saddlebrook at Tates Creek</t>
        </is>
      </c>
      <c r="E79" s="54" t="inlineStr">
        <is>
          <t>072</t>
        </is>
      </c>
      <c r="F79" s="54" t="inlineStr">
        <is>
          <t>stc_a3</t>
        </is>
      </c>
      <c r="G79" s="54" t="inlineStr">
        <is>
          <t>1 Bedroom</t>
        </is>
      </c>
      <c r="K79" s="36" t="inlineStr">
        <is>
          <t>Mark Williams</t>
        </is>
      </c>
      <c r="L79" s="55" t="n">
        <v>987</v>
      </c>
      <c r="M79" s="56" t="n">
        <v>1</v>
      </c>
      <c r="N79" s="56" t="n"/>
      <c r="Q79" s="57" t="inlineStr">
        <is>
          <t>Occ</t>
        </is>
      </c>
      <c r="U79" s="58" t="n">
        <v>1319</v>
      </c>
      <c r="V79" s="58" t="n">
        <v>1358</v>
      </c>
      <c r="W79" s="58" t="n">
        <v>0</v>
      </c>
      <c r="X79" s="58" t="n">
        <v>0</v>
      </c>
      <c r="Y79" s="58" t="n">
        <v>106</v>
      </c>
      <c r="Z79" s="59" t="n">
        <v>45939</v>
      </c>
      <c r="AA79" s="59" t="n">
        <v>45939</v>
      </c>
      <c r="AB79" s="59" t="n">
        <v>46303</v>
      </c>
    </row>
    <row r="80">
      <c r="D80" s="36" t="inlineStr">
        <is>
          <t>Saddlebrook at Tates Creek</t>
        </is>
      </c>
      <c r="E80" s="54" t="inlineStr">
        <is>
          <t>073</t>
        </is>
      </c>
      <c r="F80" s="54" t="inlineStr">
        <is>
          <t>stc_a1</t>
        </is>
      </c>
      <c r="G80" s="54" t="inlineStr">
        <is>
          <t>1 Bedroom</t>
        </is>
      </c>
      <c r="K80" s="36" t="inlineStr">
        <is>
          <t>Ian Sethi</t>
        </is>
      </c>
      <c r="L80" s="55" t="n">
        <v>731</v>
      </c>
      <c r="M80" s="56" t="n">
        <v>1</v>
      </c>
      <c r="N80" s="56" t="n"/>
      <c r="Q80" s="57" t="inlineStr">
        <is>
          <t>Occ</t>
        </is>
      </c>
      <c r="U80" s="58" t="n">
        <v>1264</v>
      </c>
      <c r="V80" s="58" t="n">
        <v>1231</v>
      </c>
      <c r="W80" s="58" t="n">
        <v>0</v>
      </c>
      <c r="X80" s="58" t="n">
        <v>0</v>
      </c>
      <c r="Y80" s="58" t="n">
        <v>66</v>
      </c>
      <c r="Z80" s="59" t="n">
        <v>44804</v>
      </c>
      <c r="AA80" s="59" t="n">
        <v>44804</v>
      </c>
      <c r="AB80" s="59" t="n">
        <v>46356</v>
      </c>
    </row>
    <row r="81">
      <c r="D81" s="36" t="inlineStr">
        <is>
          <t>Saddlebrook at Tates Creek</t>
        </is>
      </c>
      <c r="E81" s="54" t="inlineStr">
        <is>
          <t>074</t>
        </is>
      </c>
      <c r="F81" s="54" t="inlineStr">
        <is>
          <t>stc_a3</t>
        </is>
      </c>
      <c r="G81" s="54" t="inlineStr">
        <is>
          <t>1 Bedroom</t>
        </is>
      </c>
      <c r="K81" s="36" t="inlineStr">
        <is>
          <t>Sandra Sanchez</t>
        </is>
      </c>
      <c r="L81" s="55" t="n">
        <v>987</v>
      </c>
      <c r="M81" s="56" t="n">
        <v>1</v>
      </c>
      <c r="N81" s="56" t="n"/>
      <c r="Q81" s="57" t="inlineStr">
        <is>
          <t>Occ</t>
        </is>
      </c>
      <c r="U81" s="58" t="n">
        <v>1319</v>
      </c>
      <c r="V81" s="58" t="n">
        <v>1315</v>
      </c>
      <c r="W81" s="58" t="n">
        <v>0</v>
      </c>
      <c r="X81" s="58" t="n">
        <v>0</v>
      </c>
      <c r="Y81" s="58" t="n">
        <v>72</v>
      </c>
      <c r="Z81" s="59" t="n">
        <v>44494</v>
      </c>
      <c r="AA81" s="59" t="n">
        <v>44494</v>
      </c>
      <c r="AB81" s="59" t="n">
        <v>46592</v>
      </c>
    </row>
    <row r="82">
      <c r="D82" s="36" t="inlineStr">
        <is>
          <t>Saddlebrook at Tates Creek</t>
        </is>
      </c>
      <c r="E82" s="54" t="inlineStr">
        <is>
          <t>075</t>
        </is>
      </c>
      <c r="F82" s="54" t="inlineStr">
        <is>
          <t>stc_b3</t>
        </is>
      </c>
      <c r="G82" s="54" t="inlineStr">
        <is>
          <t>2 Bedroom</t>
        </is>
      </c>
      <c r="K82" s="36" t="inlineStr">
        <is>
          <t>Megan Spadoni</t>
        </is>
      </c>
      <c r="L82" s="55" t="n">
        <v>1309</v>
      </c>
      <c r="M82" s="56" t="n">
        <v>2</v>
      </c>
      <c r="N82" s="56" t="n"/>
      <c r="Q82" s="57" t="inlineStr">
        <is>
          <t>Occ</t>
        </is>
      </c>
      <c r="U82" s="58" t="n">
        <v>1391</v>
      </c>
      <c r="V82" s="58" t="n">
        <v>1424</v>
      </c>
      <c r="W82" s="58" t="n">
        <v>0</v>
      </c>
      <c r="X82" s="58" t="n">
        <v>0</v>
      </c>
      <c r="Y82" s="58" t="n">
        <v>171</v>
      </c>
      <c r="Z82" s="59" t="n">
        <v>43134</v>
      </c>
      <c r="AA82" s="59" t="n">
        <v>43134</v>
      </c>
      <c r="AB82" s="59" t="n">
        <v>46236</v>
      </c>
    </row>
    <row r="83">
      <c r="D83" s="36" t="inlineStr">
        <is>
          <t>Saddlebrook at Tates Creek</t>
        </is>
      </c>
      <c r="E83" s="54" t="inlineStr">
        <is>
          <t>076</t>
        </is>
      </c>
      <c r="F83" s="54" t="inlineStr">
        <is>
          <t>stc_b4</t>
        </is>
      </c>
      <c r="G83" s="54" t="inlineStr">
        <is>
          <t>2 Bedroom</t>
        </is>
      </c>
      <c r="K83" s="36" t="inlineStr">
        <is>
          <t>William (Keagan) Ransdell</t>
        </is>
      </c>
      <c r="L83" s="55" t="n">
        <v>1405</v>
      </c>
      <c r="M83" s="56" t="n">
        <v>2</v>
      </c>
      <c r="N83" s="56" t="n"/>
      <c r="Q83" s="57" t="inlineStr">
        <is>
          <t>Occ</t>
        </is>
      </c>
      <c r="U83" s="58" t="n">
        <v>1522</v>
      </c>
      <c r="V83" s="58" t="n">
        <v>1590</v>
      </c>
      <c r="W83" s="58" t="n">
        <v>0</v>
      </c>
      <c r="X83" s="58" t="n">
        <v>-795</v>
      </c>
      <c r="Y83" s="58" t="n">
        <v>31</v>
      </c>
      <c r="Z83" s="59" t="n">
        <v>44805</v>
      </c>
      <c r="AA83" s="59" t="n">
        <v>44805</v>
      </c>
      <c r="AB83" s="59" t="n">
        <v>46387</v>
      </c>
    </row>
    <row r="84">
      <c r="D84" s="36" t="inlineStr">
        <is>
          <t>Saddlebrook at Tates Creek</t>
        </is>
      </c>
      <c r="E84" s="54" t="inlineStr">
        <is>
          <t>077</t>
        </is>
      </c>
      <c r="F84" s="54" t="inlineStr">
        <is>
          <t>stc_b1</t>
        </is>
      </c>
      <c r="G84" s="54" t="inlineStr">
        <is>
          <t>2 Bedroom</t>
        </is>
      </c>
      <c r="K84" s="36" t="inlineStr">
        <is>
          <t>Lily Wilson</t>
        </is>
      </c>
      <c r="L84" s="55" t="n">
        <v>1204</v>
      </c>
      <c r="M84" s="56" t="n">
        <v>2</v>
      </c>
      <c r="N84" s="56" t="n"/>
      <c r="Q84" s="57" t="inlineStr">
        <is>
          <t>Occ</t>
        </is>
      </c>
      <c r="U84" s="58" t="n">
        <v>1463</v>
      </c>
      <c r="V84" s="58" t="n">
        <v>1528</v>
      </c>
      <c r="W84" s="58" t="n">
        <v>0</v>
      </c>
      <c r="X84" s="58" t="n">
        <v>0</v>
      </c>
      <c r="Y84" s="58" t="n">
        <v>32</v>
      </c>
      <c r="Z84" s="59" t="n">
        <v>45660</v>
      </c>
      <c r="AA84" s="59" t="n">
        <v>45660</v>
      </c>
      <c r="AB84" s="59" t="n">
        <v>46540</v>
      </c>
    </row>
    <row r="85">
      <c r="D85" s="36" t="inlineStr">
        <is>
          <t>Saddlebrook at Tates Creek</t>
        </is>
      </c>
      <c r="E85" s="54" t="inlineStr">
        <is>
          <t>078</t>
        </is>
      </c>
      <c r="F85" s="54" t="inlineStr">
        <is>
          <t>stc_b4</t>
        </is>
      </c>
      <c r="G85" s="54" t="inlineStr">
        <is>
          <t>2 Bedroom</t>
        </is>
      </c>
      <c r="K85" s="36" t="inlineStr">
        <is>
          <t>Madeline Davis</t>
        </is>
      </c>
      <c r="L85" s="55" t="n">
        <v>1405</v>
      </c>
      <c r="M85" s="56" t="n">
        <v>2</v>
      </c>
      <c r="N85" s="56" t="n"/>
      <c r="Q85" s="57" t="inlineStr">
        <is>
          <t>Occ</t>
        </is>
      </c>
      <c r="U85" s="58" t="n">
        <v>1542</v>
      </c>
      <c r="V85" s="58" t="n">
        <v>1698</v>
      </c>
      <c r="W85" s="58" t="n">
        <v>0</v>
      </c>
      <c r="X85" s="58" t="n">
        <v>0</v>
      </c>
      <c r="Y85" s="58" t="n">
        <v>116</v>
      </c>
      <c r="Z85" s="59" t="n">
        <v>46007</v>
      </c>
      <c r="AA85" s="59" t="n">
        <v>46007</v>
      </c>
      <c r="AB85" s="59" t="n">
        <v>46433</v>
      </c>
    </row>
    <row r="86">
      <c r="D86" s="36" t="inlineStr">
        <is>
          <t>Saddlebrook at Tates Creek</t>
        </is>
      </c>
      <c r="E86" s="54" t="inlineStr">
        <is>
          <t>079</t>
        </is>
      </c>
      <c r="F86" s="54" t="inlineStr">
        <is>
          <t>stc_a2</t>
        </is>
      </c>
      <c r="G86" s="54" t="inlineStr">
        <is>
          <t>1 Bedroom</t>
        </is>
      </c>
      <c r="K86" s="36" t="inlineStr">
        <is>
          <t>Emily Goertz</t>
        </is>
      </c>
      <c r="L86" s="55" t="n">
        <v>768</v>
      </c>
      <c r="M86" s="56" t="n">
        <v>1</v>
      </c>
      <c r="N86" s="56" t="n"/>
      <c r="Q86" s="57" t="inlineStr">
        <is>
          <t>Occ</t>
        </is>
      </c>
      <c r="U86" s="58" t="n">
        <v>1290</v>
      </c>
      <c r="V86" s="58" t="n">
        <v>1199</v>
      </c>
      <c r="W86" s="58" t="n">
        <v>0</v>
      </c>
      <c r="X86" s="58" t="n">
        <v>0</v>
      </c>
      <c r="Y86" s="58" t="n">
        <v>32</v>
      </c>
      <c r="Z86" s="59" t="n">
        <v>46128</v>
      </c>
      <c r="AA86" s="59" t="n">
        <v>46128</v>
      </c>
      <c r="AB86" s="59" t="n">
        <v>46487</v>
      </c>
    </row>
    <row r="87">
      <c r="D87" s="36" t="inlineStr">
        <is>
          <t>Saddlebrook at Tates Creek</t>
        </is>
      </c>
      <c r="E87" s="54" t="inlineStr">
        <is>
          <t>080</t>
        </is>
      </c>
      <c r="F87" s="54" t="inlineStr">
        <is>
          <t>stc_b2</t>
        </is>
      </c>
      <c r="G87" s="54" t="inlineStr">
        <is>
          <t>2 Bedroom</t>
        </is>
      </c>
      <c r="K87" s="36" t="inlineStr">
        <is>
          <t>William Blane</t>
        </is>
      </c>
      <c r="L87" s="55" t="n">
        <v>1214</v>
      </c>
      <c r="M87" s="56" t="n">
        <v>2</v>
      </c>
      <c r="N87" s="56" t="n"/>
      <c r="Q87" s="57" t="inlineStr">
        <is>
          <t>Occ</t>
        </is>
      </c>
      <c r="U87" s="58" t="n">
        <v>1486</v>
      </c>
      <c r="V87" s="58" t="n">
        <v>1627</v>
      </c>
      <c r="W87" s="58" t="n">
        <v>0</v>
      </c>
      <c r="X87" s="58" t="n">
        <v>0</v>
      </c>
      <c r="Y87" s="58" t="n">
        <v>71</v>
      </c>
      <c r="Z87" s="59" t="n">
        <v>45860</v>
      </c>
      <c r="AA87" s="59" t="n">
        <v>45860</v>
      </c>
      <c r="AB87" s="59" t="n">
        <v>46224</v>
      </c>
    </row>
    <row r="88">
      <c r="D88" s="36" t="inlineStr">
        <is>
          <t>Saddlebrook at Tates Creek</t>
        </is>
      </c>
      <c r="E88" s="54" t="inlineStr">
        <is>
          <t>081</t>
        </is>
      </c>
      <c r="F88" s="54" t="inlineStr">
        <is>
          <t>stc_a1</t>
        </is>
      </c>
      <c r="G88" s="54" t="inlineStr">
        <is>
          <t>1 Bedroom</t>
        </is>
      </c>
      <c r="K88" s="36" t="inlineStr">
        <is>
          <t>Jennifer Glissman</t>
        </is>
      </c>
      <c r="L88" s="55" t="n">
        <v>731</v>
      </c>
      <c r="M88" s="56" t="n">
        <v>1</v>
      </c>
      <c r="N88" s="56" t="n"/>
      <c r="Q88" s="57" t="inlineStr">
        <is>
          <t>Occ</t>
        </is>
      </c>
      <c r="U88" s="58" t="n">
        <v>1264</v>
      </c>
      <c r="V88" s="58" t="n">
        <v>1058</v>
      </c>
      <c r="W88" s="58" t="n">
        <v>0</v>
      </c>
      <c r="X88" s="58" t="n">
        <v>0</v>
      </c>
      <c r="Y88" s="58" t="n">
        <v>71</v>
      </c>
      <c r="Z88" s="59" t="n">
        <v>45057</v>
      </c>
      <c r="AA88" s="59" t="n">
        <v>45057</v>
      </c>
      <c r="AB88" s="59" t="n">
        <v>46336</v>
      </c>
    </row>
    <row r="89">
      <c r="D89" s="36" t="inlineStr">
        <is>
          <t>Saddlebrook at Tates Creek</t>
        </is>
      </c>
      <c r="E89" s="54" t="inlineStr">
        <is>
          <t>082</t>
        </is>
      </c>
      <c r="F89" s="54" t="inlineStr">
        <is>
          <t>stc_a3</t>
        </is>
      </c>
      <c r="G89" s="54" t="inlineStr">
        <is>
          <t>1 Bedroom</t>
        </is>
      </c>
      <c r="K89" s="36" t="inlineStr">
        <is>
          <t>Nicholas Coffman</t>
        </is>
      </c>
      <c r="L89" s="55" t="n">
        <v>987</v>
      </c>
      <c r="M89" s="56" t="n">
        <v>1</v>
      </c>
      <c r="N89" s="56" t="n"/>
      <c r="Q89" s="57" t="inlineStr">
        <is>
          <t>Occ</t>
        </is>
      </c>
      <c r="U89" s="58" t="n">
        <v>1319</v>
      </c>
      <c r="V89" s="58" t="n">
        <v>1450</v>
      </c>
      <c r="W89" s="58" t="n">
        <v>0</v>
      </c>
      <c r="X89" s="58" t="n">
        <v>0</v>
      </c>
      <c r="Y89" s="58" t="n">
        <v>31</v>
      </c>
      <c r="Z89" s="59" t="n">
        <v>45853</v>
      </c>
      <c r="AA89" s="59" t="n">
        <v>45853</v>
      </c>
      <c r="AB89" s="59" t="n">
        <v>46248</v>
      </c>
    </row>
    <row r="90">
      <c r="D90" s="36" t="inlineStr">
        <is>
          <t>Saddlebrook at Tates Creek</t>
        </is>
      </c>
      <c r="E90" s="54" t="inlineStr">
        <is>
          <t>083</t>
        </is>
      </c>
      <c r="F90" s="54" t="inlineStr">
        <is>
          <t>stc_a1</t>
        </is>
      </c>
      <c r="G90" s="54" t="inlineStr">
        <is>
          <t>1 Bedroom</t>
        </is>
      </c>
      <c r="K90" s="36" t="inlineStr">
        <is>
          <t>Randall Finch</t>
        </is>
      </c>
      <c r="L90" s="55" t="n">
        <v>731</v>
      </c>
      <c r="M90" s="56" t="n">
        <v>1</v>
      </c>
      <c r="N90" s="56" t="n"/>
      <c r="Q90" s="57" t="inlineStr">
        <is>
          <t>Occ</t>
        </is>
      </c>
      <c r="U90" s="58" t="n">
        <v>1264</v>
      </c>
      <c r="V90" s="58" t="n">
        <v>1162</v>
      </c>
      <c r="W90" s="58" t="n">
        <v>0</v>
      </c>
      <c r="X90" s="58" t="n">
        <v>0</v>
      </c>
      <c r="Y90" s="58" t="n">
        <v>31</v>
      </c>
      <c r="Z90" s="59" t="n">
        <v>45955</v>
      </c>
      <c r="AA90" s="59" t="n">
        <v>45955</v>
      </c>
      <c r="AB90" s="59" t="n">
        <v>46319</v>
      </c>
    </row>
    <row r="91">
      <c r="D91" s="36" t="inlineStr">
        <is>
          <t>Saddlebrook at Tates Creek</t>
        </is>
      </c>
      <c r="E91" s="54" t="inlineStr">
        <is>
          <t>084</t>
        </is>
      </c>
      <c r="F91" s="54" t="inlineStr">
        <is>
          <t>stc_a3</t>
        </is>
      </c>
      <c r="G91" s="54" t="inlineStr">
        <is>
          <t>1 Bedroom</t>
        </is>
      </c>
      <c r="K91" s="36" t="inlineStr">
        <is>
          <t>Michael Miller</t>
        </is>
      </c>
      <c r="L91" s="55" t="n">
        <v>987</v>
      </c>
      <c r="M91" s="56" t="n">
        <v>1</v>
      </c>
      <c r="N91" s="56" t="n"/>
      <c r="Q91" s="57" t="inlineStr">
        <is>
          <t>Occ</t>
        </is>
      </c>
      <c r="U91" s="58" t="n">
        <v>1194</v>
      </c>
      <c r="V91" s="58" t="n">
        <v>1102</v>
      </c>
      <c r="W91" s="58" t="n">
        <v>0</v>
      </c>
      <c r="X91" s="58" t="n">
        <v>0</v>
      </c>
      <c r="Y91" s="58" t="n">
        <v>31</v>
      </c>
      <c r="Z91" s="59" t="n">
        <v>39022</v>
      </c>
      <c r="AA91" s="59" t="n">
        <v>39022</v>
      </c>
      <c r="AB91" s="59" t="n">
        <v>46477</v>
      </c>
    </row>
    <row r="92">
      <c r="D92" s="36" t="inlineStr">
        <is>
          <t>Saddlebrook at Tates Creek</t>
        </is>
      </c>
      <c r="E92" s="54" t="inlineStr">
        <is>
          <t>085</t>
        </is>
      </c>
      <c r="F92" s="54" t="inlineStr">
        <is>
          <t>stc_a1</t>
        </is>
      </c>
      <c r="G92" s="54" t="inlineStr">
        <is>
          <t>1 Bedroom</t>
        </is>
      </c>
      <c r="K92" s="36" t="inlineStr">
        <is>
          <t>Kate Milner</t>
        </is>
      </c>
      <c r="L92" s="55" t="n">
        <v>731</v>
      </c>
      <c r="M92" s="56" t="n">
        <v>1</v>
      </c>
      <c r="N92" s="56" t="n"/>
      <c r="Q92" s="57" t="inlineStr">
        <is>
          <t>Occ</t>
        </is>
      </c>
      <c r="U92" s="58" t="n">
        <v>1169</v>
      </c>
      <c r="V92" s="58" t="n">
        <v>1112</v>
      </c>
      <c r="W92" s="58" t="n">
        <v>0</v>
      </c>
      <c r="X92" s="58" t="n">
        <v>0</v>
      </c>
      <c r="Y92" s="58" t="n">
        <v>104</v>
      </c>
      <c r="Z92" s="59" t="n">
        <v>45230</v>
      </c>
      <c r="AA92" s="59" t="n">
        <v>45230</v>
      </c>
      <c r="AB92" s="59" t="n">
        <v>46599</v>
      </c>
    </row>
    <row r="93">
      <c r="D93" s="36" t="inlineStr">
        <is>
          <t>Saddlebrook at Tates Creek</t>
        </is>
      </c>
      <c r="E93" s="54" t="inlineStr">
        <is>
          <t>086</t>
        </is>
      </c>
      <c r="F93" s="54" t="inlineStr">
        <is>
          <t>stc_a3</t>
        </is>
      </c>
      <c r="G93" s="54" t="inlineStr">
        <is>
          <t>1 Bedroom</t>
        </is>
      </c>
      <c r="K93" s="36" t="inlineStr">
        <is>
          <t>Rebecca Miner</t>
        </is>
      </c>
      <c r="L93" s="55" t="n">
        <v>987</v>
      </c>
      <c r="M93" s="56" t="n">
        <v>1</v>
      </c>
      <c r="N93" s="56" t="n"/>
      <c r="Q93" s="57" t="inlineStr">
        <is>
          <t>Occ</t>
        </is>
      </c>
      <c r="U93" s="58" t="n">
        <v>1319</v>
      </c>
      <c r="V93" s="58" t="n">
        <v>1356</v>
      </c>
      <c r="W93" s="58" t="n">
        <v>0</v>
      </c>
      <c r="X93" s="58" t="n">
        <v>0</v>
      </c>
      <c r="Y93" s="58" t="n">
        <v>71</v>
      </c>
      <c r="Z93" s="59" t="n">
        <v>45815</v>
      </c>
      <c r="AA93" s="59" t="n">
        <v>45815</v>
      </c>
      <c r="AB93" s="59" t="n">
        <v>46271</v>
      </c>
    </row>
    <row r="94">
      <c r="D94" s="36" t="inlineStr">
        <is>
          <t>Saddlebrook at Tates Creek</t>
        </is>
      </c>
      <c r="E94" s="54" t="inlineStr">
        <is>
          <t>087</t>
        </is>
      </c>
      <c r="F94" s="54" t="inlineStr">
        <is>
          <t>stc_a1</t>
        </is>
      </c>
      <c r="G94" s="54" t="inlineStr">
        <is>
          <t>1 Bedroom</t>
        </is>
      </c>
      <c r="K94" s="36" t="inlineStr">
        <is>
          <t>Zachary Brangers</t>
        </is>
      </c>
      <c r="L94" s="55" t="n">
        <v>731</v>
      </c>
      <c r="M94" s="56" t="n">
        <v>1</v>
      </c>
      <c r="N94" s="56" t="n"/>
      <c r="Q94" s="57" t="inlineStr">
        <is>
          <t>Occ</t>
        </is>
      </c>
      <c r="U94" s="58" t="n">
        <v>1264</v>
      </c>
      <c r="V94" s="58" t="n">
        <v>1272</v>
      </c>
      <c r="W94" s="58" t="n">
        <v>0</v>
      </c>
      <c r="X94" s="58" t="n">
        <v>0</v>
      </c>
      <c r="Y94" s="58" t="n">
        <v>32</v>
      </c>
      <c r="Z94" s="59" t="n">
        <v>46148</v>
      </c>
      <c r="AA94" s="59" t="n">
        <v>46148</v>
      </c>
      <c r="AB94" s="59" t="n">
        <v>46512</v>
      </c>
    </row>
    <row r="95">
      <c r="D95" s="36" t="inlineStr">
        <is>
          <t>Saddlebrook at Tates Creek</t>
        </is>
      </c>
      <c r="E95" s="54" t="inlineStr">
        <is>
          <t>088</t>
        </is>
      </c>
      <c r="F95" s="54" t="inlineStr">
        <is>
          <t>stc_a3</t>
        </is>
      </c>
      <c r="G95" s="54" t="inlineStr">
        <is>
          <t>1 Bedroom</t>
        </is>
      </c>
      <c r="K95" s="36" t="inlineStr">
        <is>
          <t>David Meharg</t>
        </is>
      </c>
      <c r="L95" s="55" t="n">
        <v>987</v>
      </c>
      <c r="M95" s="56" t="n">
        <v>1</v>
      </c>
      <c r="N95" s="56" t="n"/>
      <c r="Q95" s="57" t="inlineStr">
        <is>
          <t>Occ</t>
        </is>
      </c>
      <c r="U95" s="58" t="n">
        <v>1194</v>
      </c>
      <c r="V95" s="58" t="n">
        <v>1049</v>
      </c>
      <c r="W95" s="58" t="n">
        <v>0</v>
      </c>
      <c r="X95" s="58" t="n">
        <v>0</v>
      </c>
      <c r="Y95" s="58" t="n">
        <v>71</v>
      </c>
      <c r="Z95" s="59" t="n">
        <v>38991</v>
      </c>
      <c r="AA95" s="59" t="n">
        <v>38991</v>
      </c>
      <c r="AB95" s="59" t="n">
        <v>46265</v>
      </c>
    </row>
    <row r="96">
      <c r="D96" s="36" t="inlineStr">
        <is>
          <t>Saddlebrook at Tates Creek</t>
        </is>
      </c>
      <c r="E96" s="54" t="inlineStr">
        <is>
          <t>089</t>
        </is>
      </c>
      <c r="F96" s="54" t="inlineStr">
        <is>
          <t>stc_a1</t>
        </is>
      </c>
      <c r="G96" s="54" t="inlineStr">
        <is>
          <t>1 Bedroom</t>
        </is>
      </c>
      <c r="K96" s="36" t="inlineStr">
        <is>
          <t>Nicholas Meade</t>
        </is>
      </c>
      <c r="L96" s="55" t="n">
        <v>731</v>
      </c>
      <c r="M96" s="56" t="n">
        <v>1</v>
      </c>
      <c r="N96" s="56" t="n"/>
      <c r="Q96" s="57" t="inlineStr">
        <is>
          <t>Occ</t>
        </is>
      </c>
      <c r="U96" s="58" t="n">
        <v>1264</v>
      </c>
      <c r="V96" s="58" t="n">
        <v>1249</v>
      </c>
      <c r="W96" s="58" t="n">
        <v>0</v>
      </c>
      <c r="X96" s="58" t="n">
        <v>0</v>
      </c>
      <c r="Y96" s="58" t="n">
        <v>31</v>
      </c>
      <c r="Z96" s="59" t="n">
        <v>45093</v>
      </c>
      <c r="AA96" s="59" t="n">
        <v>45093</v>
      </c>
      <c r="AB96" s="59" t="n">
        <v>46249</v>
      </c>
    </row>
    <row r="97">
      <c r="D97" s="36" t="inlineStr">
        <is>
          <t>Saddlebrook at Tates Creek</t>
        </is>
      </c>
      <c r="E97" s="54" t="inlineStr">
        <is>
          <t>090</t>
        </is>
      </c>
      <c r="F97" s="54" t="inlineStr">
        <is>
          <t>stc_a3</t>
        </is>
      </c>
      <c r="G97" s="54" t="inlineStr">
        <is>
          <t>1 Bedroom</t>
        </is>
      </c>
      <c r="K97" s="36" t="inlineStr">
        <is>
          <t>Mary Schmid</t>
        </is>
      </c>
      <c r="L97" s="55" t="n">
        <v>987</v>
      </c>
      <c r="M97" s="56" t="n">
        <v>1</v>
      </c>
      <c r="N97" s="56" t="n"/>
      <c r="Q97" s="57" t="inlineStr">
        <is>
          <t>Occ</t>
        </is>
      </c>
      <c r="U97" s="58" t="n">
        <v>1319</v>
      </c>
      <c r="V97" s="58" t="n">
        <v>1372</v>
      </c>
      <c r="W97" s="58" t="n">
        <v>0</v>
      </c>
      <c r="X97" s="58" t="n">
        <v>0</v>
      </c>
      <c r="Y97" s="58" t="n">
        <v>106</v>
      </c>
      <c r="Z97" s="59" t="n">
        <v>46003</v>
      </c>
      <c r="AA97" s="59" t="n">
        <v>46003</v>
      </c>
      <c r="AB97" s="59" t="n">
        <v>46429</v>
      </c>
    </row>
    <row r="98">
      <c r="D98" s="36" t="inlineStr">
        <is>
          <t>Saddlebrook at Tates Creek</t>
        </is>
      </c>
      <c r="E98" s="54" t="inlineStr">
        <is>
          <t>091</t>
        </is>
      </c>
      <c r="F98" s="54" t="inlineStr">
        <is>
          <t>stc_a1</t>
        </is>
      </c>
      <c r="G98" s="54" t="inlineStr">
        <is>
          <t>1 Bedroom</t>
        </is>
      </c>
      <c r="K98" s="36" t="inlineStr">
        <is>
          <t>Eli Mitchell</t>
        </is>
      </c>
      <c r="L98" s="55" t="n">
        <v>731</v>
      </c>
      <c r="M98" s="56" t="n">
        <v>1</v>
      </c>
      <c r="N98" s="56" t="n"/>
      <c r="Q98" s="57" t="inlineStr">
        <is>
          <t>Occ</t>
        </is>
      </c>
      <c r="U98" s="58" t="n">
        <v>1139</v>
      </c>
      <c r="V98" s="58" t="n">
        <v>1145</v>
      </c>
      <c r="W98" s="58" t="n">
        <v>0</v>
      </c>
      <c r="X98" s="58" t="n">
        <v>0</v>
      </c>
      <c r="Y98" s="58" t="n">
        <v>71</v>
      </c>
      <c r="Z98" s="59" t="n">
        <v>45607</v>
      </c>
      <c r="AA98" s="59" t="n">
        <v>45607</v>
      </c>
      <c r="AB98" s="59" t="n">
        <v>46336</v>
      </c>
    </row>
    <row r="99">
      <c r="D99" s="36" t="inlineStr">
        <is>
          <t>Saddlebrook at Tates Creek</t>
        </is>
      </c>
      <c r="E99" s="54" t="inlineStr">
        <is>
          <t>092</t>
        </is>
      </c>
      <c r="F99" s="54" t="inlineStr">
        <is>
          <t>stc_a3</t>
        </is>
      </c>
      <c r="G99" s="54" t="inlineStr">
        <is>
          <t>1 Bedroom</t>
        </is>
      </c>
      <c r="K99" s="36" t="inlineStr">
        <is>
          <t>Model</t>
        </is>
      </c>
      <c r="L99" s="55" t="n">
        <v>987</v>
      </c>
      <c r="M99" s="56" t="n">
        <v>1</v>
      </c>
      <c r="N99" s="56" t="n"/>
      <c r="Q99" s="57" t="inlineStr">
        <is>
          <t>Model</t>
        </is>
      </c>
      <c r="U99" s="58" t="n">
        <v>1319</v>
      </c>
      <c r="V99" s="58" t="n">
        <v>1319</v>
      </c>
      <c r="W99" s="58" t="n">
        <v>-1319</v>
      </c>
      <c r="X99" s="58" t="n">
        <v>0</v>
      </c>
      <c r="Y99" s="58" t="n">
        <v>0</v>
      </c>
    </row>
    <row r="100">
      <c r="D100" s="36" t="inlineStr">
        <is>
          <t>Saddlebrook at Tates Creek</t>
        </is>
      </c>
      <c r="E100" s="54" t="inlineStr">
        <is>
          <t>093</t>
        </is>
      </c>
      <c r="F100" s="54" t="inlineStr">
        <is>
          <t>stc_a2</t>
        </is>
      </c>
      <c r="G100" s="54" t="inlineStr">
        <is>
          <t>1 Bedroom</t>
        </is>
      </c>
      <c r="K100" s="36" t="inlineStr">
        <is>
          <t>Emily Watkins</t>
        </is>
      </c>
      <c r="L100" s="55" t="n">
        <v>768</v>
      </c>
      <c r="M100" s="56" t="n">
        <v>1</v>
      </c>
      <c r="N100" s="56" t="n"/>
      <c r="Q100" s="57" t="inlineStr">
        <is>
          <t>Occ</t>
        </is>
      </c>
      <c r="U100" s="58" t="n">
        <v>1195</v>
      </c>
      <c r="V100" s="58" t="n">
        <v>1165</v>
      </c>
      <c r="W100" s="58" t="n">
        <v>0</v>
      </c>
      <c r="X100" s="58" t="n">
        <v>0</v>
      </c>
      <c r="Y100" s="58" t="n">
        <v>31</v>
      </c>
      <c r="Z100" s="59" t="n">
        <v>45884</v>
      </c>
      <c r="AA100" s="59" t="n">
        <v>45884</v>
      </c>
      <c r="AB100" s="59" t="n">
        <v>46248</v>
      </c>
    </row>
    <row r="101">
      <c r="D101" s="36" t="inlineStr">
        <is>
          <t>Saddlebrook at Tates Creek</t>
        </is>
      </c>
      <c r="E101" s="54" t="inlineStr">
        <is>
          <t>094</t>
        </is>
      </c>
      <c r="F101" s="54" t="inlineStr">
        <is>
          <t>stc_b2</t>
        </is>
      </c>
      <c r="G101" s="54" t="inlineStr">
        <is>
          <t>2 Bedroom</t>
        </is>
      </c>
      <c r="K101" s="36" t="inlineStr">
        <is>
          <t>Vacant</t>
        </is>
      </c>
      <c r="L101" s="55" t="n">
        <v>1214</v>
      </c>
      <c r="M101" s="56" t="n">
        <v>2</v>
      </c>
      <c r="N101" s="56" t="n"/>
      <c r="Q101" s="57" t="inlineStr">
        <is>
          <t>Vac</t>
        </is>
      </c>
      <c r="U101" s="58" t="n">
        <v>1541</v>
      </c>
      <c r="V101" s="58" t="n">
        <v>0</v>
      </c>
      <c r="W101" s="58" t="n">
        <v>0</v>
      </c>
      <c r="X101" s="58" t="n">
        <v>0</v>
      </c>
      <c r="Y101" s="58" t="n">
        <v>0</v>
      </c>
    </row>
    <row r="102">
      <c r="D102" s="36" t="inlineStr">
        <is>
          <t>Saddlebrook at Tates Creek</t>
        </is>
      </c>
      <c r="E102" s="54" t="inlineStr">
        <is>
          <t>095</t>
        </is>
      </c>
      <c r="F102" s="54" t="inlineStr">
        <is>
          <t>stc_b3</t>
        </is>
      </c>
      <c r="G102" s="54" t="inlineStr">
        <is>
          <t>2 Bedroom</t>
        </is>
      </c>
      <c r="K102" s="36" t="inlineStr">
        <is>
          <t>Hannah Kitt</t>
        </is>
      </c>
      <c r="L102" s="55" t="n">
        <v>1309</v>
      </c>
      <c r="M102" s="56" t="n">
        <v>2</v>
      </c>
      <c r="N102" s="56" t="n"/>
      <c r="Q102" s="57" t="inlineStr">
        <is>
          <t>Occ</t>
        </is>
      </c>
      <c r="U102" s="58" t="n">
        <v>1486</v>
      </c>
      <c r="V102" s="58" t="n">
        <v>1542</v>
      </c>
      <c r="W102" s="58" t="n">
        <v>0</v>
      </c>
      <c r="X102" s="58" t="n">
        <v>0</v>
      </c>
      <c r="Y102" s="58" t="n">
        <v>57</v>
      </c>
      <c r="Z102" s="59" t="n">
        <v>45828</v>
      </c>
      <c r="AA102" s="59" t="n">
        <v>45828</v>
      </c>
      <c r="AB102" s="59" t="n">
        <v>46557</v>
      </c>
    </row>
    <row r="103">
      <c r="D103" s="36" t="inlineStr">
        <is>
          <t>Saddlebrook at Tates Creek</t>
        </is>
      </c>
      <c r="E103" s="54" t="inlineStr">
        <is>
          <t>096</t>
        </is>
      </c>
      <c r="F103" s="54" t="inlineStr">
        <is>
          <t>stc_b1</t>
        </is>
      </c>
      <c r="G103" s="54" t="inlineStr">
        <is>
          <t>2 Bedroom</t>
        </is>
      </c>
      <c r="K103" s="36" t="inlineStr">
        <is>
          <t>Paige Mallon</t>
        </is>
      </c>
      <c r="L103" s="55" t="n">
        <v>1204</v>
      </c>
      <c r="M103" s="56" t="n">
        <v>2</v>
      </c>
      <c r="N103" s="56" t="n"/>
      <c r="Q103" s="57" t="inlineStr">
        <is>
          <t>Occ</t>
        </is>
      </c>
      <c r="U103" s="58" t="n">
        <v>1463</v>
      </c>
      <c r="V103" s="58" t="n">
        <v>1510</v>
      </c>
      <c r="W103" s="58" t="n">
        <v>0</v>
      </c>
      <c r="X103" s="58" t="n">
        <v>0</v>
      </c>
      <c r="Y103" s="58" t="n">
        <v>31</v>
      </c>
      <c r="Z103" s="59" t="n">
        <v>46205</v>
      </c>
      <c r="AA103" s="59" t="n">
        <v>46205</v>
      </c>
      <c r="AB103" s="59" t="n">
        <v>46569</v>
      </c>
    </row>
    <row r="104">
      <c r="D104" s="36" t="inlineStr">
        <is>
          <t>Saddlebrook at Tates Creek</t>
        </is>
      </c>
      <c r="E104" s="54" t="inlineStr">
        <is>
          <t>097</t>
        </is>
      </c>
      <c r="F104" s="54" t="inlineStr">
        <is>
          <t>stc_b4</t>
        </is>
      </c>
      <c r="G104" s="54" t="inlineStr">
        <is>
          <t>2 Bedroom</t>
        </is>
      </c>
      <c r="K104" s="36" t="inlineStr">
        <is>
          <t>Camille Diaz Feliciano</t>
        </is>
      </c>
      <c r="L104" s="55" t="n">
        <v>1405</v>
      </c>
      <c r="M104" s="56" t="n">
        <v>2</v>
      </c>
      <c r="N104" s="56" t="n"/>
      <c r="Q104" s="57" t="inlineStr">
        <is>
          <t>Occ</t>
        </is>
      </c>
      <c r="U104" s="58" t="n">
        <v>1562</v>
      </c>
      <c r="V104" s="58" t="n">
        <v>1541</v>
      </c>
      <c r="W104" s="58" t="n">
        <v>0</v>
      </c>
      <c r="X104" s="58" t="n">
        <v>0</v>
      </c>
      <c r="Y104" s="58" t="n">
        <v>56</v>
      </c>
      <c r="Z104" s="59" t="n">
        <v>46010</v>
      </c>
      <c r="AA104" s="59" t="n">
        <v>46010</v>
      </c>
      <c r="AB104" s="59" t="n">
        <v>46436</v>
      </c>
    </row>
    <row r="105">
      <c r="D105" s="36" t="inlineStr">
        <is>
          <t>Saddlebrook at Tates Creek</t>
        </is>
      </c>
      <c r="E105" s="54" t="inlineStr">
        <is>
          <t>098</t>
        </is>
      </c>
      <c r="F105" s="54" t="inlineStr">
        <is>
          <t>stc_b3</t>
        </is>
      </c>
      <c r="G105" s="54" t="inlineStr">
        <is>
          <t>2 Bedroom</t>
        </is>
      </c>
      <c r="K105" s="36" t="inlineStr">
        <is>
          <t>Grant Holsinger</t>
        </is>
      </c>
      <c r="L105" s="55" t="n">
        <v>1309</v>
      </c>
      <c r="M105" s="56" t="n">
        <v>2</v>
      </c>
      <c r="N105" s="56" t="n"/>
      <c r="Q105" s="57" t="inlineStr">
        <is>
          <t>Occ</t>
        </is>
      </c>
      <c r="U105" s="58" t="n">
        <v>1486</v>
      </c>
      <c r="V105" s="58" t="n">
        <v>1603</v>
      </c>
      <c r="W105" s="58" t="n">
        <v>0</v>
      </c>
      <c r="X105" s="58" t="n">
        <v>0</v>
      </c>
      <c r="Y105" s="58" t="n">
        <v>66</v>
      </c>
      <c r="Z105" s="59" t="n">
        <v>45800</v>
      </c>
      <c r="AA105" s="59" t="n">
        <v>45800</v>
      </c>
      <c r="AB105" s="59" t="n">
        <v>46256</v>
      </c>
    </row>
    <row r="106">
      <c r="D106" s="36" t="inlineStr">
        <is>
          <t>Saddlebrook at Tates Creek</t>
        </is>
      </c>
      <c r="E106" s="54" t="inlineStr">
        <is>
          <t>099</t>
        </is>
      </c>
      <c r="F106" s="54" t="inlineStr">
        <is>
          <t>stc_b1</t>
        </is>
      </c>
      <c r="G106" s="54" t="inlineStr">
        <is>
          <t>2 Bedroom</t>
        </is>
      </c>
      <c r="K106" s="36" t="inlineStr">
        <is>
          <t>Seddik Benaissa</t>
        </is>
      </c>
      <c r="L106" s="55" t="n">
        <v>1204</v>
      </c>
      <c r="M106" s="56" t="n">
        <v>2</v>
      </c>
      <c r="N106" s="56" t="n"/>
      <c r="Q106" s="57" t="inlineStr">
        <is>
          <t>Occ</t>
        </is>
      </c>
      <c r="U106" s="58" t="n">
        <v>1338</v>
      </c>
      <c r="V106" s="58" t="n">
        <v>1566</v>
      </c>
      <c r="W106" s="58" t="n">
        <v>0</v>
      </c>
      <c r="X106" s="58" t="n">
        <v>0</v>
      </c>
      <c r="Y106" s="58" t="n">
        <v>32</v>
      </c>
      <c r="Z106" s="59" t="n">
        <v>45660</v>
      </c>
      <c r="AA106" s="59" t="n">
        <v>45660</v>
      </c>
      <c r="AB106" s="59" t="n">
        <v>46267</v>
      </c>
    </row>
    <row r="107">
      <c r="D107" s="36" t="inlineStr">
        <is>
          <t>Saddlebrook at Tates Creek</t>
        </is>
      </c>
      <c r="E107" s="54" t="inlineStr">
        <is>
          <t>100</t>
        </is>
      </c>
      <c r="F107" s="54" t="inlineStr">
        <is>
          <t>stc_b4</t>
        </is>
      </c>
      <c r="G107" s="54" t="inlineStr">
        <is>
          <t>2 Bedroom</t>
        </is>
      </c>
      <c r="K107" s="36" t="inlineStr">
        <is>
          <t>Charles Hackbart</t>
        </is>
      </c>
      <c r="L107" s="55" t="n">
        <v>1405</v>
      </c>
      <c r="M107" s="56" t="n">
        <v>2</v>
      </c>
      <c r="N107" s="56" t="n"/>
      <c r="Q107" s="57" t="inlineStr">
        <is>
          <t>Occ</t>
        </is>
      </c>
      <c r="U107" s="58" t="n">
        <v>1417</v>
      </c>
      <c r="V107" s="58" t="n">
        <v>3106</v>
      </c>
      <c r="W107" s="58" t="n">
        <v>0</v>
      </c>
      <c r="X107" s="58" t="n">
        <v>0</v>
      </c>
      <c r="Y107" s="58" t="n">
        <v>67</v>
      </c>
      <c r="Z107" s="59" t="n">
        <v>46180</v>
      </c>
      <c r="AA107" s="59" t="n">
        <v>46180</v>
      </c>
      <c r="AB107" s="59" t="n">
        <v>46564</v>
      </c>
    </row>
    <row r="108">
      <c r="D108" s="36" t="inlineStr">
        <is>
          <t>Saddlebrook at Tates Creek</t>
        </is>
      </c>
      <c r="E108" s="54" t="inlineStr">
        <is>
          <t>101</t>
        </is>
      </c>
      <c r="F108" s="54" t="inlineStr">
        <is>
          <t>stc_b3</t>
        </is>
      </c>
      <c r="G108" s="54" t="inlineStr">
        <is>
          <t>2 Bedroom</t>
        </is>
      </c>
      <c r="K108" s="36" t="inlineStr">
        <is>
          <t>Fernando Hernandez Gomez</t>
        </is>
      </c>
      <c r="L108" s="55" t="n">
        <v>1309</v>
      </c>
      <c r="M108" s="56" t="n">
        <v>2</v>
      </c>
      <c r="N108" s="56" t="n"/>
      <c r="Q108" s="57" t="inlineStr">
        <is>
          <t>Occ</t>
        </is>
      </c>
      <c r="U108" s="58" t="n">
        <v>1361</v>
      </c>
      <c r="V108" s="58" t="n">
        <v>1492</v>
      </c>
      <c r="W108" s="58" t="n">
        <v>0</v>
      </c>
      <c r="X108" s="58" t="n">
        <v>0</v>
      </c>
      <c r="Y108" s="58" t="n">
        <v>107</v>
      </c>
      <c r="Z108" s="59" t="n">
        <v>45691</v>
      </c>
      <c r="AA108" s="59" t="n">
        <v>45691</v>
      </c>
      <c r="AB108" s="59" t="n">
        <v>46540</v>
      </c>
    </row>
    <row r="109">
      <c r="D109" s="36" t="inlineStr">
        <is>
          <t>Saddlebrook at Tates Creek</t>
        </is>
      </c>
      <c r="E109" s="54" t="inlineStr">
        <is>
          <t>102</t>
        </is>
      </c>
      <c r="F109" s="54" t="inlineStr">
        <is>
          <t>stc_b1</t>
        </is>
      </c>
      <c r="G109" s="54" t="inlineStr">
        <is>
          <t>2 Bedroom</t>
        </is>
      </c>
      <c r="K109" s="36" t="inlineStr">
        <is>
          <t>Matthew Smith</t>
        </is>
      </c>
      <c r="L109" s="55" t="n">
        <v>1204</v>
      </c>
      <c r="M109" s="56" t="n">
        <v>2</v>
      </c>
      <c r="N109" s="56" t="n"/>
      <c r="Q109" s="57" t="inlineStr">
        <is>
          <t>Occ</t>
        </is>
      </c>
      <c r="U109" s="58" t="n">
        <v>1338</v>
      </c>
      <c r="V109" s="58" t="n">
        <v>1248</v>
      </c>
      <c r="W109" s="58" t="n">
        <v>0</v>
      </c>
      <c r="X109" s="58" t="n">
        <v>0</v>
      </c>
      <c r="Y109" s="58" t="n">
        <v>27</v>
      </c>
      <c r="Z109" s="59" t="n">
        <v>41867</v>
      </c>
      <c r="AA109" s="59" t="n">
        <v>41867</v>
      </c>
      <c r="AB109" s="59" t="n">
        <v>45915</v>
      </c>
    </row>
    <row r="110">
      <c r="D110" s="36" t="inlineStr">
        <is>
          <t>Saddlebrook at Tates Creek</t>
        </is>
      </c>
      <c r="E110" s="54" t="inlineStr">
        <is>
          <t>103</t>
        </is>
      </c>
      <c r="F110" s="54" t="inlineStr">
        <is>
          <t>stc_b4</t>
        </is>
      </c>
      <c r="G110" s="54" t="inlineStr">
        <is>
          <t>2 Bedroom</t>
        </is>
      </c>
      <c r="K110" s="36" t="inlineStr">
        <is>
          <t>Alfred Russell</t>
        </is>
      </c>
      <c r="L110" s="55" t="n">
        <v>1405</v>
      </c>
      <c r="M110" s="56" t="n">
        <v>2</v>
      </c>
      <c r="N110" s="56" t="n"/>
      <c r="Q110" s="57" t="inlineStr">
        <is>
          <t>Occ</t>
        </is>
      </c>
      <c r="U110" s="58" t="n">
        <v>1417</v>
      </c>
      <c r="V110" s="58" t="n">
        <v>1425</v>
      </c>
      <c r="W110" s="58" t="n">
        <v>0</v>
      </c>
      <c r="X110" s="58" t="n">
        <v>0</v>
      </c>
      <c r="Y110" s="58" t="n">
        <v>82</v>
      </c>
      <c r="Z110" s="59" t="n">
        <v>43449</v>
      </c>
      <c r="AA110" s="59" t="n">
        <v>43449</v>
      </c>
      <c r="AB110" s="59" t="n">
        <v>46490</v>
      </c>
    </row>
    <row r="111">
      <c r="D111" s="36" t="inlineStr">
        <is>
          <t>Saddlebrook at Tates Creek</t>
        </is>
      </c>
      <c r="E111" s="54" t="inlineStr">
        <is>
          <t>104</t>
        </is>
      </c>
      <c r="F111" s="54" t="inlineStr">
        <is>
          <t>stc_b1</t>
        </is>
      </c>
      <c r="G111" s="54" t="inlineStr">
        <is>
          <t>2 Bedroom</t>
        </is>
      </c>
      <c r="K111" s="36" t="inlineStr">
        <is>
          <t>Isaac Session</t>
        </is>
      </c>
      <c r="L111" s="55" t="n">
        <v>1204</v>
      </c>
      <c r="M111" s="56" t="n">
        <v>2</v>
      </c>
      <c r="N111" s="56" t="n"/>
      <c r="Q111" s="57" t="inlineStr">
        <is>
          <t>Occ</t>
        </is>
      </c>
      <c r="U111" s="58" t="n">
        <v>1463</v>
      </c>
      <c r="V111" s="58" t="n">
        <v>1455</v>
      </c>
      <c r="W111" s="58" t="n">
        <v>0</v>
      </c>
      <c r="X111" s="58" t="n">
        <v>0</v>
      </c>
      <c r="Y111" s="58" t="n">
        <v>31</v>
      </c>
      <c r="Z111" s="59" t="n">
        <v>45945</v>
      </c>
      <c r="AA111" s="59" t="n">
        <v>45945</v>
      </c>
      <c r="AB111" s="59" t="n">
        <v>46370</v>
      </c>
    </row>
    <row r="112">
      <c r="D112" s="36" t="inlineStr">
        <is>
          <t>Saddlebrook at Tates Creek</t>
        </is>
      </c>
      <c r="E112" s="54" t="inlineStr">
        <is>
          <t>105</t>
        </is>
      </c>
      <c r="F112" s="54" t="inlineStr">
        <is>
          <t>stc_b1</t>
        </is>
      </c>
      <c r="G112" s="54" t="inlineStr">
        <is>
          <t>2 Bedroom</t>
        </is>
      </c>
      <c r="K112" s="36" t="inlineStr">
        <is>
          <t>Austin Wilkins</t>
        </is>
      </c>
      <c r="L112" s="55" t="n">
        <v>1204</v>
      </c>
      <c r="M112" s="56" t="n">
        <v>2</v>
      </c>
      <c r="N112" s="56" t="n"/>
      <c r="Q112" s="57" t="inlineStr">
        <is>
          <t>Occ</t>
        </is>
      </c>
      <c r="U112" s="58" t="n">
        <v>1547</v>
      </c>
      <c r="V112" s="58" t="n">
        <v>1666</v>
      </c>
      <c r="W112" s="58" t="n">
        <v>0</v>
      </c>
      <c r="X112" s="58" t="n">
        <v>0</v>
      </c>
      <c r="Y112" s="58" t="n">
        <v>132</v>
      </c>
      <c r="Z112" s="59" t="n">
        <v>45702</v>
      </c>
      <c r="AA112" s="59" t="n">
        <v>45702</v>
      </c>
      <c r="AB112" s="59" t="n">
        <v>46581</v>
      </c>
    </row>
    <row r="113">
      <c r="D113" s="36" t="inlineStr">
        <is>
          <t>Saddlebrook at Tates Creek</t>
        </is>
      </c>
      <c r="E113" s="54" t="inlineStr">
        <is>
          <t>106</t>
        </is>
      </c>
      <c r="F113" s="54" t="inlineStr">
        <is>
          <t>stc_b4</t>
        </is>
      </c>
      <c r="G113" s="54" t="inlineStr">
        <is>
          <t>2 Bedroom</t>
        </is>
      </c>
      <c r="K113" s="36" t="inlineStr">
        <is>
          <t>Sydney Langdon</t>
        </is>
      </c>
      <c r="L113" s="55" t="n">
        <v>1405</v>
      </c>
      <c r="M113" s="56" t="n">
        <v>2</v>
      </c>
      <c r="N113" s="56" t="n"/>
      <c r="Q113" s="57" t="inlineStr">
        <is>
          <t>Occ</t>
        </is>
      </c>
      <c r="U113" s="58" t="n">
        <v>1447</v>
      </c>
      <c r="V113" s="58" t="n">
        <v>1588</v>
      </c>
      <c r="W113" s="58" t="n">
        <v>0</v>
      </c>
      <c r="X113" s="58" t="n">
        <v>0</v>
      </c>
      <c r="Y113" s="58" t="n">
        <v>31</v>
      </c>
      <c r="Z113" s="59" t="n">
        <v>45511</v>
      </c>
      <c r="AA113" s="59" t="n">
        <v>45511</v>
      </c>
      <c r="AB113" s="59" t="n">
        <v>46240</v>
      </c>
    </row>
    <row r="114">
      <c r="D114" s="36" t="inlineStr">
        <is>
          <t>Saddlebrook at Tates Creek</t>
        </is>
      </c>
      <c r="E114" s="54" t="inlineStr">
        <is>
          <t>107</t>
        </is>
      </c>
      <c r="F114" s="54" t="inlineStr">
        <is>
          <t>stc_a1</t>
        </is>
      </c>
      <c r="G114" s="54" t="inlineStr">
        <is>
          <t>1 Bedroom</t>
        </is>
      </c>
      <c r="K114" s="36" t="inlineStr">
        <is>
          <t>Leah Blevins</t>
        </is>
      </c>
      <c r="L114" s="55" t="n">
        <v>731</v>
      </c>
      <c r="M114" s="56" t="n">
        <v>1</v>
      </c>
      <c r="N114" s="56" t="n"/>
      <c r="Q114" s="57" t="inlineStr">
        <is>
          <t>Occ</t>
        </is>
      </c>
      <c r="U114" s="58" t="n">
        <v>1139</v>
      </c>
      <c r="V114" s="58" t="n">
        <v>1081</v>
      </c>
      <c r="W114" s="58" t="n">
        <v>0</v>
      </c>
      <c r="X114" s="58" t="n">
        <v>0</v>
      </c>
      <c r="Y114" s="58" t="n">
        <v>31</v>
      </c>
      <c r="Z114" s="59" t="n">
        <v>45862</v>
      </c>
      <c r="AA114" s="59" t="n">
        <v>45862</v>
      </c>
      <c r="AB114" s="59" t="n">
        <v>46226</v>
      </c>
    </row>
    <row r="115">
      <c r="D115" s="36" t="inlineStr">
        <is>
          <t>Saddlebrook at Tates Creek</t>
        </is>
      </c>
      <c r="E115" s="54" t="inlineStr">
        <is>
          <t>108</t>
        </is>
      </c>
      <c r="F115" s="54" t="inlineStr">
        <is>
          <t>stc_a3</t>
        </is>
      </c>
      <c r="G115" s="54" t="inlineStr">
        <is>
          <t>1 Bedroom</t>
        </is>
      </c>
      <c r="K115" s="36" t="inlineStr">
        <is>
          <t>Alicia Thompson</t>
        </is>
      </c>
      <c r="L115" s="55" t="n">
        <v>987</v>
      </c>
      <c r="M115" s="56" t="n">
        <v>1</v>
      </c>
      <c r="N115" s="56" t="n"/>
      <c r="Q115" s="57" t="inlineStr">
        <is>
          <t>Occ</t>
        </is>
      </c>
      <c r="U115" s="58" t="n">
        <v>1319</v>
      </c>
      <c r="V115" s="58" t="n">
        <v>1816</v>
      </c>
      <c r="W115" s="58" t="n">
        <v>0</v>
      </c>
      <c r="X115" s="58" t="n">
        <v>0</v>
      </c>
      <c r="Y115" s="58" t="n">
        <v>32</v>
      </c>
      <c r="Z115" s="59" t="n">
        <v>44431</v>
      </c>
      <c r="AA115" s="59" t="n">
        <v>44431</v>
      </c>
      <c r="AB115" s="59" t="n">
        <v>46256</v>
      </c>
    </row>
    <row r="116">
      <c r="D116" s="36" t="inlineStr">
        <is>
          <t>Saddlebrook at Tates Creek</t>
        </is>
      </c>
      <c r="E116" s="54" t="inlineStr">
        <is>
          <t>109</t>
        </is>
      </c>
      <c r="F116" s="54" t="inlineStr">
        <is>
          <t>stc_a1</t>
        </is>
      </c>
      <c r="G116" s="54" t="inlineStr">
        <is>
          <t>1 Bedroom</t>
        </is>
      </c>
      <c r="K116" s="36" t="inlineStr">
        <is>
          <t>Kendyl Phillips</t>
        </is>
      </c>
      <c r="L116" s="55" t="n">
        <v>731</v>
      </c>
      <c r="M116" s="56" t="n">
        <v>1</v>
      </c>
      <c r="N116" s="56" t="n"/>
      <c r="Q116" s="57" t="inlineStr">
        <is>
          <t>Occ</t>
        </is>
      </c>
      <c r="U116" s="58" t="n">
        <v>1264</v>
      </c>
      <c r="V116" s="58" t="n">
        <v>999</v>
      </c>
      <c r="W116" s="58" t="n">
        <v>0</v>
      </c>
      <c r="X116" s="58" t="n">
        <v>0</v>
      </c>
      <c r="Y116" s="58" t="n">
        <v>29</v>
      </c>
      <c r="Z116" s="59" t="n">
        <v>45759</v>
      </c>
      <c r="AA116" s="59" t="n">
        <v>45759</v>
      </c>
      <c r="AB116" s="59" t="n">
        <v>46214</v>
      </c>
    </row>
    <row r="117">
      <c r="D117" s="36" t="inlineStr">
        <is>
          <t>Saddlebrook at Tates Creek</t>
        </is>
      </c>
      <c r="E117" s="54" t="inlineStr">
        <is>
          <t>110</t>
        </is>
      </c>
      <c r="F117" s="54" t="inlineStr">
        <is>
          <t>stc_a3</t>
        </is>
      </c>
      <c r="G117" s="54" t="inlineStr">
        <is>
          <t>1 Bedroom</t>
        </is>
      </c>
      <c r="K117" s="36" t="inlineStr">
        <is>
          <t>Spenser Adkins</t>
        </is>
      </c>
      <c r="L117" s="55" t="n">
        <v>987</v>
      </c>
      <c r="M117" s="56" t="n">
        <v>1</v>
      </c>
      <c r="N117" s="56" t="n"/>
      <c r="Q117" s="57" t="inlineStr">
        <is>
          <t>Occ</t>
        </is>
      </c>
      <c r="U117" s="58" t="n">
        <v>1319</v>
      </c>
      <c r="V117" s="58" t="n">
        <v>1304</v>
      </c>
      <c r="W117" s="58" t="n">
        <v>0</v>
      </c>
      <c r="X117" s="58" t="n">
        <v>0</v>
      </c>
      <c r="Y117" s="58" t="n">
        <v>66</v>
      </c>
      <c r="Z117" s="59" t="n">
        <v>46022</v>
      </c>
      <c r="AA117" s="59" t="n">
        <v>46022</v>
      </c>
      <c r="AB117" s="59" t="n">
        <v>46417</v>
      </c>
    </row>
    <row r="118">
      <c r="D118" s="36" t="inlineStr">
        <is>
          <t>Saddlebrook at Tates Creek</t>
        </is>
      </c>
      <c r="E118" s="54" t="inlineStr">
        <is>
          <t>111</t>
        </is>
      </c>
      <c r="F118" s="54" t="inlineStr">
        <is>
          <t>stc_b1</t>
        </is>
      </c>
      <c r="G118" s="54" t="inlineStr">
        <is>
          <t>2 Bedroom</t>
        </is>
      </c>
      <c r="K118" s="36" t="inlineStr">
        <is>
          <t>Alexis Brown</t>
        </is>
      </c>
      <c r="L118" s="55" t="n">
        <v>1204</v>
      </c>
      <c r="M118" s="56" t="n">
        <v>2</v>
      </c>
      <c r="N118" s="56" t="n"/>
      <c r="Q118" s="57" t="inlineStr">
        <is>
          <t>Occ</t>
        </is>
      </c>
      <c r="U118" s="58" t="n">
        <v>1443</v>
      </c>
      <c r="V118" s="58" t="n">
        <v>1498</v>
      </c>
      <c r="W118" s="58" t="n">
        <v>0</v>
      </c>
      <c r="X118" s="58" t="n">
        <v>0</v>
      </c>
      <c r="Y118" s="58" t="n">
        <v>32</v>
      </c>
      <c r="Z118" s="59" t="n">
        <v>46176</v>
      </c>
      <c r="AA118" s="59" t="n">
        <v>46176</v>
      </c>
      <c r="AB118" s="59" t="n">
        <v>46365</v>
      </c>
    </row>
    <row r="119">
      <c r="D119" s="36" t="inlineStr">
        <is>
          <t>Saddlebrook at Tates Creek</t>
        </is>
      </c>
      <c r="E119" s="54" t="inlineStr">
        <is>
          <t>112</t>
        </is>
      </c>
      <c r="F119" s="54" t="inlineStr">
        <is>
          <t>stc_b1</t>
        </is>
      </c>
      <c r="G119" s="54" t="inlineStr">
        <is>
          <t>2 Bedroom</t>
        </is>
      </c>
      <c r="K119" s="36" t="inlineStr">
        <is>
          <t>Chloe Ditka</t>
        </is>
      </c>
      <c r="L119" s="55" t="n">
        <v>1204</v>
      </c>
      <c r="M119" s="56" t="n">
        <v>2</v>
      </c>
      <c r="N119" s="56" t="n"/>
      <c r="Q119" s="57" t="inlineStr">
        <is>
          <t>Occ</t>
        </is>
      </c>
      <c r="U119" s="58" t="n">
        <v>1463</v>
      </c>
      <c r="V119" s="58" t="n">
        <v>1485</v>
      </c>
      <c r="W119" s="58" t="n">
        <v>0</v>
      </c>
      <c r="X119" s="58" t="n">
        <v>0</v>
      </c>
      <c r="Y119" s="58" t="n">
        <v>147</v>
      </c>
      <c r="Z119" s="59" t="n">
        <v>45391</v>
      </c>
      <c r="AA119" s="59" t="n">
        <v>45391</v>
      </c>
      <c r="AB119" s="59" t="n">
        <v>46546</v>
      </c>
    </row>
    <row r="120">
      <c r="D120" s="36" t="inlineStr">
        <is>
          <t>Saddlebrook at Tates Creek</t>
        </is>
      </c>
      <c r="E120" s="54" t="inlineStr">
        <is>
          <t>113</t>
        </is>
      </c>
      <c r="F120" s="54" t="inlineStr">
        <is>
          <t>stc_b4</t>
        </is>
      </c>
      <c r="G120" s="54" t="inlineStr">
        <is>
          <t>2 Bedroom</t>
        </is>
      </c>
      <c r="K120" s="36" t="inlineStr">
        <is>
          <t>Jonathann Jones</t>
        </is>
      </c>
      <c r="L120" s="55" t="n">
        <v>1405</v>
      </c>
      <c r="M120" s="56" t="n">
        <v>2</v>
      </c>
      <c r="N120" s="56" t="n"/>
      <c r="Q120" s="57" t="inlineStr">
        <is>
          <t>Occ</t>
        </is>
      </c>
      <c r="U120" s="58" t="n">
        <v>1542</v>
      </c>
      <c r="V120" s="58" t="n">
        <v>1060</v>
      </c>
      <c r="W120" s="58" t="n">
        <v>0</v>
      </c>
      <c r="X120" s="58" t="n">
        <v>-1060</v>
      </c>
      <c r="Y120" s="58" t="n">
        <v>151</v>
      </c>
      <c r="Z120" s="59" t="n">
        <v>45244</v>
      </c>
      <c r="AA120" s="59" t="n">
        <v>45244</v>
      </c>
      <c r="AB120" s="59" t="n">
        <v>46387</v>
      </c>
    </row>
    <row r="121">
      <c r="D121" s="36" t="inlineStr">
        <is>
          <t>Saddlebrook at Tates Creek</t>
        </is>
      </c>
      <c r="E121" s="54" t="inlineStr">
        <is>
          <t>114</t>
        </is>
      </c>
      <c r="F121" s="54" t="inlineStr">
        <is>
          <t>stc_b3</t>
        </is>
      </c>
      <c r="G121" s="54" t="inlineStr">
        <is>
          <t>2 Bedroom</t>
        </is>
      </c>
      <c r="K121" s="36" t="inlineStr">
        <is>
          <t>Melissa Biddle</t>
        </is>
      </c>
      <c r="L121" s="55" t="n">
        <v>1309</v>
      </c>
      <c r="M121" s="56" t="n">
        <v>2</v>
      </c>
      <c r="N121" s="56" t="n"/>
      <c r="Q121" s="57" t="inlineStr">
        <is>
          <t>Occ</t>
        </is>
      </c>
      <c r="U121" s="58" t="n">
        <v>1486</v>
      </c>
      <c r="V121" s="58" t="n">
        <v>1399</v>
      </c>
      <c r="W121" s="58" t="n">
        <v>0</v>
      </c>
      <c r="X121" s="58" t="n">
        <v>0</v>
      </c>
      <c r="Y121" s="58" t="n">
        <v>111</v>
      </c>
      <c r="Z121" s="59" t="n">
        <v>45649</v>
      </c>
      <c r="AA121" s="59" t="n">
        <v>45649</v>
      </c>
      <c r="AB121" s="59" t="n">
        <v>46378</v>
      </c>
    </row>
    <row r="122">
      <c r="D122" s="36" t="inlineStr">
        <is>
          <t>Saddlebrook at Tates Creek</t>
        </is>
      </c>
      <c r="E122" s="54" t="inlineStr">
        <is>
          <t>115</t>
        </is>
      </c>
      <c r="F122" s="54" t="inlineStr">
        <is>
          <t>stc_b1</t>
        </is>
      </c>
      <c r="G122" s="54" t="inlineStr">
        <is>
          <t>2 Bedroom</t>
        </is>
      </c>
      <c r="K122" s="36" t="inlineStr">
        <is>
          <t>Muhammad Sipes</t>
        </is>
      </c>
      <c r="L122" s="55" t="n">
        <v>1204</v>
      </c>
      <c r="M122" s="56" t="n">
        <v>2</v>
      </c>
      <c r="N122" s="56" t="n"/>
      <c r="Q122" s="57" t="inlineStr">
        <is>
          <t>Occ</t>
        </is>
      </c>
      <c r="U122" s="58" t="n">
        <v>1463</v>
      </c>
      <c r="V122" s="58" t="n">
        <v>1490</v>
      </c>
      <c r="W122" s="58" t="n">
        <v>0</v>
      </c>
      <c r="X122" s="58" t="n">
        <v>0</v>
      </c>
      <c r="Y122" s="58" t="n">
        <v>31</v>
      </c>
      <c r="Z122" s="59" t="n">
        <v>46178</v>
      </c>
      <c r="AA122" s="59" t="n">
        <v>46178</v>
      </c>
      <c r="AB122" s="59" t="n">
        <v>46542</v>
      </c>
    </row>
    <row r="123">
      <c r="D123" s="36" t="inlineStr">
        <is>
          <t>Saddlebrook at Tates Creek</t>
        </is>
      </c>
      <c r="E123" s="54" t="inlineStr">
        <is>
          <t>116</t>
        </is>
      </c>
      <c r="F123" s="54" t="inlineStr">
        <is>
          <t>stc_b4</t>
        </is>
      </c>
      <c r="G123" s="54" t="inlineStr">
        <is>
          <t>2 Bedroom</t>
        </is>
      </c>
      <c r="K123" s="36" t="inlineStr">
        <is>
          <t>Paige Hensley</t>
        </is>
      </c>
      <c r="L123" s="55" t="n">
        <v>1405</v>
      </c>
      <c r="M123" s="56" t="n">
        <v>2</v>
      </c>
      <c r="N123" s="56" t="n"/>
      <c r="Q123" s="57" t="inlineStr">
        <is>
          <t>Occ</t>
        </is>
      </c>
      <c r="U123" s="58" t="n">
        <v>1542</v>
      </c>
      <c r="V123" s="58" t="n">
        <v>1599</v>
      </c>
      <c r="W123" s="58" t="n">
        <v>0</v>
      </c>
      <c r="X123" s="58" t="n">
        <v>0</v>
      </c>
      <c r="Y123" s="58" t="n">
        <v>66</v>
      </c>
      <c r="Z123" s="59" t="n">
        <v>45918</v>
      </c>
      <c r="AA123" s="59" t="n">
        <v>45918</v>
      </c>
      <c r="AB123" s="59" t="n">
        <v>46282</v>
      </c>
    </row>
    <row r="124">
      <c r="D124" s="36" t="inlineStr">
        <is>
          <t>Saddlebrook at Tates Creek</t>
        </is>
      </c>
      <c r="E124" s="54" t="inlineStr">
        <is>
          <t>117</t>
        </is>
      </c>
      <c r="F124" s="54" t="inlineStr">
        <is>
          <t>stc_a2</t>
        </is>
      </c>
      <c r="G124" s="54" t="inlineStr">
        <is>
          <t>1 Bedroom</t>
        </is>
      </c>
      <c r="K124" s="36" t="inlineStr">
        <is>
          <t>Sydney Hornsby</t>
        </is>
      </c>
      <c r="L124" s="55" t="n">
        <v>768</v>
      </c>
      <c r="M124" s="56" t="n">
        <v>1</v>
      </c>
      <c r="N124" s="56" t="n"/>
      <c r="Q124" s="57" t="inlineStr">
        <is>
          <t>Occ</t>
        </is>
      </c>
      <c r="U124" s="58" t="n">
        <v>1270</v>
      </c>
      <c r="V124" s="58" t="n">
        <v>1174</v>
      </c>
      <c r="W124" s="58" t="n">
        <v>0</v>
      </c>
      <c r="X124" s="58" t="n">
        <v>0</v>
      </c>
      <c r="Y124" s="58" t="n">
        <v>71</v>
      </c>
      <c r="Z124" s="59" t="n">
        <v>45135</v>
      </c>
      <c r="AA124" s="59" t="n">
        <v>45135</v>
      </c>
      <c r="AB124" s="59" t="n">
        <v>46322</v>
      </c>
    </row>
    <row r="125">
      <c r="D125" s="36" t="inlineStr">
        <is>
          <t>Saddlebrook at Tates Creek</t>
        </is>
      </c>
      <c r="E125" s="54" t="inlineStr">
        <is>
          <t>118</t>
        </is>
      </c>
      <c r="F125" s="54" t="inlineStr">
        <is>
          <t>stc_b2</t>
        </is>
      </c>
      <c r="G125" s="54" t="inlineStr">
        <is>
          <t>2 Bedroom</t>
        </is>
      </c>
      <c r="K125" s="36" t="inlineStr">
        <is>
          <t>Morgan Black</t>
        </is>
      </c>
      <c r="L125" s="55" t="n">
        <v>1214</v>
      </c>
      <c r="M125" s="56" t="n">
        <v>2</v>
      </c>
      <c r="N125" s="56" t="n"/>
      <c r="Q125" s="57" t="inlineStr">
        <is>
          <t>Occ</t>
        </is>
      </c>
      <c r="U125" s="58" t="n">
        <v>1341</v>
      </c>
      <c r="V125" s="58" t="n">
        <v>1340</v>
      </c>
      <c r="W125" s="58" t="n">
        <v>0</v>
      </c>
      <c r="X125" s="58" t="n">
        <v>0</v>
      </c>
      <c r="Y125" s="58" t="n">
        <v>92</v>
      </c>
      <c r="Z125" s="59" t="n">
        <v>43511</v>
      </c>
      <c r="AA125" s="59" t="n">
        <v>43511</v>
      </c>
      <c r="AB125" s="59" t="n">
        <v>46484</v>
      </c>
    </row>
    <row r="126">
      <c r="D126" s="36" t="inlineStr">
        <is>
          <t>Saddlebrook at Tates Creek</t>
        </is>
      </c>
      <c r="E126" s="54" t="inlineStr">
        <is>
          <t>119</t>
        </is>
      </c>
      <c r="F126" s="54" t="inlineStr">
        <is>
          <t>stc_a1</t>
        </is>
      </c>
      <c r="G126" s="54" t="inlineStr">
        <is>
          <t>1 Bedroom</t>
        </is>
      </c>
      <c r="K126" s="36" t="inlineStr">
        <is>
          <t>Chloe Snow</t>
        </is>
      </c>
      <c r="L126" s="55" t="n">
        <v>731</v>
      </c>
      <c r="M126" s="56" t="n">
        <v>1</v>
      </c>
      <c r="N126" s="56" t="n"/>
      <c r="Q126" s="57" t="inlineStr">
        <is>
          <t>Occ</t>
        </is>
      </c>
      <c r="U126" s="58" t="n">
        <v>1264</v>
      </c>
      <c r="V126" s="58" t="n">
        <v>1361</v>
      </c>
      <c r="W126" s="58" t="n">
        <v>0</v>
      </c>
      <c r="X126" s="58" t="n">
        <v>0</v>
      </c>
      <c r="Y126" s="58" t="n">
        <v>32</v>
      </c>
      <c r="Z126" s="59" t="n">
        <v>46191</v>
      </c>
      <c r="AA126" s="59" t="n">
        <v>46191</v>
      </c>
      <c r="AB126" s="59" t="n">
        <v>46555</v>
      </c>
    </row>
    <row r="127">
      <c r="D127" s="36" t="inlineStr">
        <is>
          <t>Saddlebrook at Tates Creek</t>
        </is>
      </c>
      <c r="E127" s="54" t="inlineStr">
        <is>
          <t>120</t>
        </is>
      </c>
      <c r="F127" s="54" t="inlineStr">
        <is>
          <t>stc_a3</t>
        </is>
      </c>
      <c r="G127" s="54" t="inlineStr">
        <is>
          <t>1 Bedroom</t>
        </is>
      </c>
      <c r="K127" s="36" t="inlineStr">
        <is>
          <t>Daniel Corsmeier</t>
        </is>
      </c>
      <c r="L127" s="55" t="n">
        <v>987</v>
      </c>
      <c r="M127" s="56" t="n">
        <v>1</v>
      </c>
      <c r="N127" s="56" t="n"/>
      <c r="Q127" s="57" t="inlineStr">
        <is>
          <t>Occ</t>
        </is>
      </c>
      <c r="U127" s="58" t="n">
        <v>1319</v>
      </c>
      <c r="V127" s="58" t="n">
        <v>1092</v>
      </c>
      <c r="W127" s="58" t="n">
        <v>0</v>
      </c>
      <c r="X127" s="58" t="n">
        <v>0</v>
      </c>
      <c r="Y127" s="58" t="n">
        <v>31</v>
      </c>
      <c r="Z127" s="59" t="n">
        <v>43706</v>
      </c>
      <c r="AA127" s="59" t="n">
        <v>43706</v>
      </c>
      <c r="AB127" s="59" t="n">
        <v>46477</v>
      </c>
    </row>
    <row r="128">
      <c r="D128" s="36" t="inlineStr">
        <is>
          <t>Saddlebrook at Tates Creek</t>
        </is>
      </c>
      <c r="E128" s="54" t="inlineStr">
        <is>
          <t>121</t>
        </is>
      </c>
      <c r="F128" s="54" t="inlineStr">
        <is>
          <t>stc_a1</t>
        </is>
      </c>
      <c r="G128" s="54" t="inlineStr">
        <is>
          <t>1 Bedroom</t>
        </is>
      </c>
      <c r="K128" s="36" t="inlineStr">
        <is>
          <t>Bella Vincent</t>
        </is>
      </c>
      <c r="L128" s="55" t="n">
        <v>731</v>
      </c>
      <c r="M128" s="56" t="n">
        <v>1</v>
      </c>
      <c r="N128" s="56" t="n"/>
      <c r="Q128" s="57" t="inlineStr">
        <is>
          <t>Occ</t>
        </is>
      </c>
      <c r="U128" s="58" t="n">
        <v>1264</v>
      </c>
      <c r="V128" s="58" t="n">
        <v>1200</v>
      </c>
      <c r="W128" s="58" t="n">
        <v>0</v>
      </c>
      <c r="X128" s="58" t="n">
        <v>0</v>
      </c>
      <c r="Y128" s="58" t="n">
        <v>66</v>
      </c>
      <c r="Z128" s="59" t="n">
        <v>45833</v>
      </c>
      <c r="AA128" s="59" t="n">
        <v>45833</v>
      </c>
      <c r="AB128" s="59" t="n">
        <v>46258</v>
      </c>
    </row>
    <row r="129">
      <c r="D129" s="36" t="inlineStr">
        <is>
          <t>Saddlebrook at Tates Creek</t>
        </is>
      </c>
      <c r="E129" s="54" t="inlineStr">
        <is>
          <t>122</t>
        </is>
      </c>
      <c r="F129" s="54" t="inlineStr">
        <is>
          <t>stc_a3</t>
        </is>
      </c>
      <c r="G129" s="54" t="inlineStr">
        <is>
          <t>1 Bedroom</t>
        </is>
      </c>
      <c r="K129" s="36" t="inlineStr">
        <is>
          <t>Hunter Jones</t>
        </is>
      </c>
      <c r="L129" s="55" t="n">
        <v>987</v>
      </c>
      <c r="M129" s="56" t="n">
        <v>1</v>
      </c>
      <c r="N129" s="56" t="n"/>
      <c r="Q129" s="57" t="inlineStr">
        <is>
          <t>Occ</t>
        </is>
      </c>
      <c r="U129" s="58" t="n">
        <v>1194</v>
      </c>
      <c r="V129" s="58" t="n">
        <v>1164</v>
      </c>
      <c r="W129" s="58" t="n">
        <v>0</v>
      </c>
      <c r="X129" s="58" t="n">
        <v>0</v>
      </c>
      <c r="Y129" s="58" t="n">
        <v>32</v>
      </c>
      <c r="Z129" s="59" t="n">
        <v>45331</v>
      </c>
      <c r="AA129" s="59" t="n">
        <v>45331</v>
      </c>
      <c r="AB129" s="59" t="n">
        <v>46546</v>
      </c>
    </row>
    <row r="130">
      <c r="D130" s="36" t="inlineStr">
        <is>
          <t>Saddlebrook at Tates Creek</t>
        </is>
      </c>
      <c r="E130" s="54" t="inlineStr">
        <is>
          <t>123</t>
        </is>
      </c>
      <c r="F130" s="54" t="inlineStr">
        <is>
          <t>stc_a1</t>
        </is>
      </c>
      <c r="G130" s="54" t="inlineStr">
        <is>
          <t>1 Bedroom</t>
        </is>
      </c>
      <c r="K130" s="36" t="inlineStr">
        <is>
          <t>Samuel Stayton</t>
        </is>
      </c>
      <c r="L130" s="55" t="n">
        <v>731</v>
      </c>
      <c r="M130" s="56" t="n">
        <v>1</v>
      </c>
      <c r="N130" s="56" t="n"/>
      <c r="Q130" s="57" t="inlineStr">
        <is>
          <t>Occ</t>
        </is>
      </c>
      <c r="U130" s="58" t="n">
        <v>1264</v>
      </c>
      <c r="V130" s="58" t="n">
        <v>1249</v>
      </c>
      <c r="W130" s="58" t="n">
        <v>0</v>
      </c>
      <c r="X130" s="58" t="n">
        <v>0</v>
      </c>
      <c r="Y130" s="58" t="n">
        <v>92</v>
      </c>
      <c r="Z130" s="59" t="n">
        <v>45813</v>
      </c>
      <c r="AA130" s="59" t="n">
        <v>45813</v>
      </c>
      <c r="AB130" s="59" t="n">
        <v>46542</v>
      </c>
    </row>
    <row r="131">
      <c r="D131" s="36" t="inlineStr">
        <is>
          <t>Saddlebrook at Tates Creek</t>
        </is>
      </c>
      <c r="E131" s="54" t="inlineStr">
        <is>
          <t>124</t>
        </is>
      </c>
      <c r="F131" s="54" t="inlineStr">
        <is>
          <t>stc_a3</t>
        </is>
      </c>
      <c r="G131" s="54" t="inlineStr">
        <is>
          <t>1 Bedroom</t>
        </is>
      </c>
      <c r="K131" s="36" t="inlineStr">
        <is>
          <t>Kennedy Keller</t>
        </is>
      </c>
      <c r="L131" s="55" t="n">
        <v>987</v>
      </c>
      <c r="M131" s="56" t="n">
        <v>1</v>
      </c>
      <c r="N131" s="56" t="n"/>
      <c r="Q131" s="57" t="inlineStr">
        <is>
          <t>Occ</t>
        </is>
      </c>
      <c r="U131" s="58" t="n">
        <v>1319</v>
      </c>
      <c r="V131" s="58" t="n">
        <v>1419</v>
      </c>
      <c r="W131" s="58" t="n">
        <v>0</v>
      </c>
      <c r="X131" s="58" t="n">
        <v>0</v>
      </c>
      <c r="Y131" s="58" t="n">
        <v>71</v>
      </c>
      <c r="Z131" s="59" t="n">
        <v>45856</v>
      </c>
      <c r="AA131" s="59" t="n">
        <v>45856</v>
      </c>
      <c r="AB131" s="59" t="n">
        <v>46251</v>
      </c>
    </row>
    <row r="132">
      <c r="D132" s="36" t="inlineStr">
        <is>
          <t>Saddlebrook at Tates Creek</t>
        </is>
      </c>
      <c r="E132" s="54" t="inlineStr">
        <is>
          <t>125</t>
        </is>
      </c>
      <c r="F132" s="54" t="inlineStr">
        <is>
          <t>stc_a1</t>
        </is>
      </c>
      <c r="G132" s="54" t="inlineStr">
        <is>
          <t>1 Bedroom</t>
        </is>
      </c>
      <c r="K132" s="36" t="inlineStr">
        <is>
          <t>Rosa Elena López</t>
        </is>
      </c>
      <c r="L132" s="55" t="n">
        <v>731</v>
      </c>
      <c r="M132" s="56" t="n">
        <v>1</v>
      </c>
      <c r="N132" s="56" t="n"/>
      <c r="Q132" s="57" t="inlineStr">
        <is>
          <t>Occ</t>
        </is>
      </c>
      <c r="U132" s="58" t="n">
        <v>1264</v>
      </c>
      <c r="V132" s="58" t="n">
        <v>999</v>
      </c>
      <c r="W132" s="58" t="n">
        <v>0</v>
      </c>
      <c r="X132" s="58" t="n">
        <v>0</v>
      </c>
      <c r="Y132" s="58" t="n">
        <v>29</v>
      </c>
      <c r="Z132" s="59" t="n">
        <v>45754</v>
      </c>
      <c r="AA132" s="59" t="n">
        <v>45754</v>
      </c>
      <c r="AB132" s="59" t="n">
        <v>46209</v>
      </c>
    </row>
    <row r="133">
      <c r="D133" s="36" t="inlineStr">
        <is>
          <t>Saddlebrook at Tates Creek</t>
        </is>
      </c>
      <c r="E133" s="54" t="inlineStr">
        <is>
          <t>126</t>
        </is>
      </c>
      <c r="F133" s="54" t="inlineStr">
        <is>
          <t>stc_a3</t>
        </is>
      </c>
      <c r="G133" s="54" t="inlineStr">
        <is>
          <t>1 Bedroom</t>
        </is>
      </c>
      <c r="K133" s="36" t="inlineStr">
        <is>
          <t>Edward Ziembroski</t>
        </is>
      </c>
      <c r="L133" s="55" t="n">
        <v>987</v>
      </c>
      <c r="M133" s="56" t="n">
        <v>1</v>
      </c>
      <c r="N133" s="56" t="n"/>
      <c r="Q133" s="57" t="inlineStr">
        <is>
          <t>Occ</t>
        </is>
      </c>
      <c r="U133" s="58" t="n">
        <v>1319</v>
      </c>
      <c r="V133" s="58" t="n">
        <v>1254</v>
      </c>
      <c r="W133" s="58" t="n">
        <v>0</v>
      </c>
      <c r="X133" s="58" t="n">
        <v>0</v>
      </c>
      <c r="Y133" s="58" t="n">
        <v>117</v>
      </c>
      <c r="Z133" s="59" t="n">
        <v>45680</v>
      </c>
      <c r="AA133" s="59" t="n">
        <v>45680</v>
      </c>
      <c r="AB133" s="59" t="n">
        <v>46529</v>
      </c>
    </row>
    <row r="134">
      <c r="D134" s="36" t="inlineStr">
        <is>
          <t>Saddlebrook at Tates Creek</t>
        </is>
      </c>
      <c r="E134" s="54" t="inlineStr">
        <is>
          <t>127</t>
        </is>
      </c>
      <c r="F134" s="54" t="inlineStr">
        <is>
          <t>stc_a1</t>
        </is>
      </c>
      <c r="G134" s="54" t="inlineStr">
        <is>
          <t>1 Bedroom</t>
        </is>
      </c>
      <c r="K134" s="36" t="inlineStr">
        <is>
          <t>Amara Sharp</t>
        </is>
      </c>
      <c r="L134" s="55" t="n">
        <v>731</v>
      </c>
      <c r="M134" s="56" t="n">
        <v>1</v>
      </c>
      <c r="N134" s="56" t="n"/>
      <c r="Q134" s="57" t="inlineStr">
        <is>
          <t>Occ</t>
        </is>
      </c>
      <c r="U134" s="58" t="n">
        <v>1139</v>
      </c>
      <c r="V134" s="58" t="n">
        <v>1129</v>
      </c>
      <c r="W134" s="58" t="n">
        <v>0</v>
      </c>
      <c r="X134" s="58" t="n">
        <v>0</v>
      </c>
      <c r="Y134" s="58" t="n">
        <v>32</v>
      </c>
      <c r="Z134" s="59" t="n">
        <v>45094</v>
      </c>
      <c r="AA134" s="59" t="n">
        <v>45094</v>
      </c>
      <c r="AB134" s="59" t="n">
        <v>46554</v>
      </c>
    </row>
    <row r="135">
      <c r="D135" s="36" t="inlineStr">
        <is>
          <t>Saddlebrook at Tates Creek</t>
        </is>
      </c>
      <c r="E135" s="54" t="inlineStr">
        <is>
          <t>128</t>
        </is>
      </c>
      <c r="F135" s="54" t="inlineStr">
        <is>
          <t>stc_a3</t>
        </is>
      </c>
      <c r="G135" s="54" t="inlineStr">
        <is>
          <t>1 Bedroom</t>
        </is>
      </c>
      <c r="K135" s="36" t="inlineStr">
        <is>
          <t>Jason Peck</t>
        </is>
      </c>
      <c r="L135" s="55" t="n">
        <v>987</v>
      </c>
      <c r="M135" s="56" t="n">
        <v>1</v>
      </c>
      <c r="N135" s="56" t="n"/>
      <c r="Q135" s="57" t="inlineStr">
        <is>
          <t>Occ</t>
        </is>
      </c>
      <c r="U135" s="58" t="n">
        <v>1319</v>
      </c>
      <c r="V135" s="58" t="n">
        <v>1315</v>
      </c>
      <c r="W135" s="58" t="n">
        <v>0</v>
      </c>
      <c r="X135" s="58" t="n">
        <v>0</v>
      </c>
      <c r="Y135" s="58" t="n">
        <v>147</v>
      </c>
      <c r="Z135" s="59" t="n">
        <v>45401</v>
      </c>
      <c r="AA135" s="59" t="n">
        <v>45401</v>
      </c>
      <c r="AB135" s="59" t="n">
        <v>46525</v>
      </c>
    </row>
    <row r="136">
      <c r="D136" s="36" t="inlineStr">
        <is>
          <t>Saddlebrook at Tates Creek</t>
        </is>
      </c>
      <c r="E136" s="54" t="inlineStr">
        <is>
          <t>129</t>
        </is>
      </c>
      <c r="F136" s="54" t="inlineStr">
        <is>
          <t>stc_a1</t>
        </is>
      </c>
      <c r="G136" s="54" t="inlineStr">
        <is>
          <t>1 Bedroom</t>
        </is>
      </c>
      <c r="K136" s="36" t="inlineStr">
        <is>
          <t>Vacant</t>
        </is>
      </c>
      <c r="L136" s="55" t="n">
        <v>731</v>
      </c>
      <c r="M136" s="56" t="n">
        <v>1</v>
      </c>
      <c r="N136" s="56" t="n"/>
      <c r="Q136" s="57" t="inlineStr">
        <is>
          <t>Vac</t>
        </is>
      </c>
      <c r="U136" s="58" t="n">
        <v>1204</v>
      </c>
      <c r="V136" s="58" t="n">
        <v>0</v>
      </c>
      <c r="W136" s="58" t="n">
        <v>0</v>
      </c>
      <c r="X136" s="58" t="n">
        <v>0</v>
      </c>
      <c r="Y136" s="58" t="n">
        <v>0</v>
      </c>
    </row>
    <row r="137">
      <c r="D137" s="36" t="inlineStr">
        <is>
          <t>Saddlebrook at Tates Creek</t>
        </is>
      </c>
      <c r="E137" s="54" t="inlineStr">
        <is>
          <t>130</t>
        </is>
      </c>
      <c r="F137" s="54" t="inlineStr">
        <is>
          <t>stc_a3</t>
        </is>
      </c>
      <c r="G137" s="54" t="inlineStr">
        <is>
          <t>1 Bedroom</t>
        </is>
      </c>
      <c r="K137" s="36" t="inlineStr">
        <is>
          <t>Audra Baldwin</t>
        </is>
      </c>
      <c r="L137" s="55" t="n">
        <v>987</v>
      </c>
      <c r="M137" s="56" t="n">
        <v>1</v>
      </c>
      <c r="N137" s="56" t="n"/>
      <c r="Q137" s="57" t="inlineStr">
        <is>
          <t>Occ</t>
        </is>
      </c>
      <c r="U137" s="58" t="n">
        <v>1319</v>
      </c>
      <c r="V137" s="58" t="n">
        <v>1375</v>
      </c>
      <c r="W137" s="58" t="n">
        <v>0</v>
      </c>
      <c r="X137" s="58" t="n">
        <v>0</v>
      </c>
      <c r="Y137" s="58" t="n">
        <v>71</v>
      </c>
      <c r="Z137" s="59" t="n">
        <v>46051</v>
      </c>
      <c r="AA137" s="59" t="n">
        <v>46051</v>
      </c>
      <c r="AB137" s="59" t="n">
        <v>46415</v>
      </c>
    </row>
    <row r="138">
      <c r="D138" s="36" t="inlineStr">
        <is>
          <t>Saddlebrook at Tates Creek</t>
        </is>
      </c>
      <c r="E138" s="54" t="inlineStr">
        <is>
          <t>131</t>
        </is>
      </c>
      <c r="F138" s="54" t="inlineStr">
        <is>
          <t>stc_a2</t>
        </is>
      </c>
      <c r="G138" s="54" t="inlineStr">
        <is>
          <t>1 Bedroom</t>
        </is>
      </c>
      <c r="K138" s="36" t="inlineStr">
        <is>
          <t>Andrew Stratton</t>
        </is>
      </c>
      <c r="L138" s="55" t="n">
        <v>768</v>
      </c>
      <c r="M138" s="56" t="n">
        <v>1</v>
      </c>
      <c r="N138" s="56" t="n"/>
      <c r="Q138" s="57" t="inlineStr">
        <is>
          <t>Occ</t>
        </is>
      </c>
      <c r="U138" s="58" t="n">
        <v>1165</v>
      </c>
      <c r="V138" s="58" t="n">
        <v>1160</v>
      </c>
      <c r="W138" s="58" t="n">
        <v>0</v>
      </c>
      <c r="X138" s="58" t="n">
        <v>0</v>
      </c>
      <c r="Y138" s="58" t="n">
        <v>32</v>
      </c>
      <c r="Z138" s="59" t="n">
        <v>45828</v>
      </c>
      <c r="AA138" s="59" t="n">
        <v>45828</v>
      </c>
      <c r="AB138" s="59" t="n">
        <v>46557</v>
      </c>
    </row>
    <row r="139">
      <c r="D139" s="36" t="inlineStr">
        <is>
          <t>Saddlebrook at Tates Creek</t>
        </is>
      </c>
      <c r="E139" s="54" t="inlineStr">
        <is>
          <t>132</t>
        </is>
      </c>
      <c r="F139" s="54" t="inlineStr">
        <is>
          <t>stc_b2</t>
        </is>
      </c>
      <c r="G139" s="54" t="inlineStr">
        <is>
          <t>2 Bedroom</t>
        </is>
      </c>
      <c r="K139" s="36" t="inlineStr">
        <is>
          <t>Logan Anderkin</t>
        </is>
      </c>
      <c r="L139" s="55" t="n">
        <v>1214</v>
      </c>
      <c r="M139" s="56" t="n">
        <v>2</v>
      </c>
      <c r="N139" s="56" t="n"/>
      <c r="Q139" s="57" t="inlineStr">
        <is>
          <t>Occ</t>
        </is>
      </c>
      <c r="U139" s="58" t="n">
        <v>1341</v>
      </c>
      <c r="V139" s="58" t="n">
        <v>1380</v>
      </c>
      <c r="W139" s="58" t="n">
        <v>0</v>
      </c>
      <c r="X139" s="58" t="n">
        <v>0</v>
      </c>
      <c r="Y139" s="58" t="n">
        <v>171</v>
      </c>
      <c r="Z139" s="59" t="n">
        <v>44652</v>
      </c>
      <c r="AA139" s="59" t="n">
        <v>44652</v>
      </c>
      <c r="AB139" s="59" t="n">
        <v>46234</v>
      </c>
    </row>
    <row r="140">
      <c r="D140" s="36" t="inlineStr">
        <is>
          <t>Saddlebrook at Tates Creek</t>
        </is>
      </c>
      <c r="E140" s="54" t="inlineStr">
        <is>
          <t>133</t>
        </is>
      </c>
      <c r="F140" s="54" t="inlineStr">
        <is>
          <t>stc_b1</t>
        </is>
      </c>
      <c r="G140" s="54" t="inlineStr">
        <is>
          <t>2 Bedroom</t>
        </is>
      </c>
      <c r="K140" s="36" t="inlineStr">
        <is>
          <t>Devine Carama</t>
        </is>
      </c>
      <c r="L140" s="55" t="n">
        <v>1204</v>
      </c>
      <c r="M140" s="56" t="n">
        <v>2</v>
      </c>
      <c r="N140" s="56" t="n"/>
      <c r="Q140" s="57" t="inlineStr">
        <is>
          <t>Occ</t>
        </is>
      </c>
      <c r="U140" s="58" t="n">
        <v>1463</v>
      </c>
      <c r="V140" s="58" t="n">
        <v>1652</v>
      </c>
      <c r="W140" s="58" t="n">
        <v>0</v>
      </c>
      <c r="X140" s="58" t="n">
        <v>0</v>
      </c>
      <c r="Y140" s="58" t="n">
        <v>31</v>
      </c>
      <c r="Z140" s="59" t="n">
        <v>46059</v>
      </c>
      <c r="AA140" s="59" t="n">
        <v>46059</v>
      </c>
      <c r="AB140" s="59" t="n">
        <v>46451</v>
      </c>
    </row>
    <row r="141">
      <c r="D141" s="36" t="inlineStr">
        <is>
          <t>Saddlebrook at Tates Creek</t>
        </is>
      </c>
      <c r="E141" s="54" t="inlineStr">
        <is>
          <t>134</t>
        </is>
      </c>
      <c r="F141" s="54" t="inlineStr">
        <is>
          <t>stc_b1</t>
        </is>
      </c>
      <c r="G141" s="54" t="inlineStr">
        <is>
          <t>2 Bedroom</t>
        </is>
      </c>
      <c r="K141" s="36" t="inlineStr">
        <is>
          <t>Amie Clark</t>
        </is>
      </c>
      <c r="L141" s="55" t="n">
        <v>1204</v>
      </c>
      <c r="M141" s="56" t="n">
        <v>2</v>
      </c>
      <c r="N141" s="56" t="n"/>
      <c r="Q141" s="57" t="inlineStr">
        <is>
          <t>Occ</t>
        </is>
      </c>
      <c r="U141" s="58" t="n">
        <v>1463</v>
      </c>
      <c r="V141" s="58" t="n">
        <v>1498</v>
      </c>
      <c r="W141" s="58" t="n">
        <v>0</v>
      </c>
      <c r="X141" s="58" t="n">
        <v>0</v>
      </c>
      <c r="Y141" s="58" t="n">
        <v>57</v>
      </c>
      <c r="Z141" s="59" t="n">
        <v>46130</v>
      </c>
      <c r="AA141" s="59" t="n">
        <v>46130</v>
      </c>
      <c r="AB141" s="59" t="n">
        <v>46555</v>
      </c>
    </row>
    <row r="142">
      <c r="D142" s="36" t="inlineStr">
        <is>
          <t>Saddlebrook at Tates Creek</t>
        </is>
      </c>
      <c r="E142" s="54" t="inlineStr">
        <is>
          <t>135</t>
        </is>
      </c>
      <c r="F142" s="54" t="inlineStr">
        <is>
          <t>stc_b1</t>
        </is>
      </c>
      <c r="G142" s="54" t="inlineStr">
        <is>
          <t>2 Bedroom</t>
        </is>
      </c>
      <c r="K142" s="36" t="inlineStr">
        <is>
          <t>Aymee Maury</t>
        </is>
      </c>
      <c r="L142" s="55" t="n">
        <v>1204</v>
      </c>
      <c r="M142" s="56" t="n">
        <v>2</v>
      </c>
      <c r="N142" s="56" t="n"/>
      <c r="Q142" s="57" t="inlineStr">
        <is>
          <t>Occ</t>
        </is>
      </c>
      <c r="U142" s="58" t="n">
        <v>1463</v>
      </c>
      <c r="V142" s="58" t="n">
        <v>1515</v>
      </c>
      <c r="W142" s="58" t="n">
        <v>0</v>
      </c>
      <c r="X142" s="58" t="n">
        <v>0</v>
      </c>
      <c r="Y142" s="58" t="n">
        <v>57</v>
      </c>
      <c r="Z142" s="59" t="n">
        <v>46146</v>
      </c>
      <c r="AA142" s="59" t="n">
        <v>46146</v>
      </c>
      <c r="AB142" s="59" t="n">
        <v>46510</v>
      </c>
    </row>
    <row r="143">
      <c r="D143" s="36" t="inlineStr">
        <is>
          <t>Saddlebrook at Tates Creek</t>
        </is>
      </c>
      <c r="E143" s="54" t="inlineStr">
        <is>
          <t>136</t>
        </is>
      </c>
      <c r="F143" s="54" t="inlineStr">
        <is>
          <t>stc_b3</t>
        </is>
      </c>
      <c r="G143" s="54" t="inlineStr">
        <is>
          <t>2 Bedroom</t>
        </is>
      </c>
      <c r="K143" s="36" t="inlineStr">
        <is>
          <t>Vacant</t>
        </is>
      </c>
      <c r="L143" s="55" t="n">
        <v>1309</v>
      </c>
      <c r="M143" s="56" t="n">
        <v>2</v>
      </c>
      <c r="N143" s="56" t="n"/>
      <c r="Q143" s="57" t="inlineStr">
        <is>
          <t>Vac</t>
        </is>
      </c>
      <c r="U143" s="58" t="n">
        <v>1466</v>
      </c>
      <c r="V143" s="58" t="n">
        <v>0</v>
      </c>
      <c r="W143" s="58" t="n">
        <v>0</v>
      </c>
      <c r="X143" s="58" t="n">
        <v>0</v>
      </c>
      <c r="Y143" s="58" t="n">
        <v>0</v>
      </c>
    </row>
    <row r="144">
      <c r="D144" s="36" t="inlineStr">
        <is>
          <t>Saddlebrook at Tates Creek</t>
        </is>
      </c>
      <c r="E144" s="54" t="inlineStr">
        <is>
          <t>137</t>
        </is>
      </c>
      <c r="F144" s="54" t="inlineStr">
        <is>
          <t>stc_b1</t>
        </is>
      </c>
      <c r="G144" s="54" t="inlineStr">
        <is>
          <t>2 Bedroom</t>
        </is>
      </c>
      <c r="K144" s="36" t="inlineStr">
        <is>
          <t>Hunter Hartley</t>
        </is>
      </c>
      <c r="L144" s="55" t="n">
        <v>1204</v>
      </c>
      <c r="M144" s="56" t="n">
        <v>2</v>
      </c>
      <c r="N144" s="56" t="n"/>
      <c r="Q144" s="57" t="inlineStr">
        <is>
          <t>Occ</t>
        </is>
      </c>
      <c r="U144" s="58" t="n">
        <v>1443</v>
      </c>
      <c r="V144" s="58" t="n">
        <v>1368</v>
      </c>
      <c r="W144" s="58" t="n">
        <v>0</v>
      </c>
      <c r="X144" s="58" t="n">
        <v>0</v>
      </c>
      <c r="Y144" s="58" t="n">
        <v>31</v>
      </c>
      <c r="Z144" s="59" t="n">
        <v>45360</v>
      </c>
      <c r="AA144" s="59" t="n">
        <v>45360</v>
      </c>
      <c r="AB144" s="59" t="n">
        <v>46211</v>
      </c>
    </row>
    <row r="145">
      <c r="D145" s="36" t="inlineStr">
        <is>
          <t>Saddlebrook at Tates Creek</t>
        </is>
      </c>
      <c r="E145" s="54" t="inlineStr">
        <is>
          <t>138</t>
        </is>
      </c>
      <c r="F145" s="54" t="inlineStr">
        <is>
          <t>stc_b1</t>
        </is>
      </c>
      <c r="G145" s="54" t="inlineStr">
        <is>
          <t>2 Bedroom</t>
        </is>
      </c>
      <c r="K145" s="36" t="inlineStr">
        <is>
          <t>Claire Caldwell</t>
        </is>
      </c>
      <c r="L145" s="55" t="n">
        <v>1204</v>
      </c>
      <c r="M145" s="56" t="n">
        <v>2</v>
      </c>
      <c r="N145" s="56" t="n"/>
      <c r="Q145" s="57" t="inlineStr">
        <is>
          <t>Occ</t>
        </is>
      </c>
      <c r="U145" s="58" t="n">
        <v>1463</v>
      </c>
      <c r="V145" s="58" t="n">
        <v>1755</v>
      </c>
      <c r="W145" s="58" t="n">
        <v>0</v>
      </c>
      <c r="X145" s="58" t="n">
        <v>0</v>
      </c>
      <c r="Y145" s="58" t="n">
        <v>71</v>
      </c>
      <c r="Z145" s="59" t="n">
        <v>45800</v>
      </c>
      <c r="AA145" s="59" t="n">
        <v>45800</v>
      </c>
      <c r="AB145" s="59" t="n">
        <v>46256</v>
      </c>
    </row>
    <row r="146">
      <c r="D146" s="36" t="inlineStr">
        <is>
          <t>Saddlebrook at Tates Creek</t>
        </is>
      </c>
      <c r="E146" s="54" t="inlineStr">
        <is>
          <t>139</t>
        </is>
      </c>
      <c r="F146" s="54" t="inlineStr">
        <is>
          <t>stc_a1</t>
        </is>
      </c>
      <c r="G146" s="54" t="inlineStr">
        <is>
          <t>1 Bedroom</t>
        </is>
      </c>
      <c r="K146" s="36" t="inlineStr">
        <is>
          <t>Alexander Shultz</t>
        </is>
      </c>
      <c r="L146" s="55" t="n">
        <v>731</v>
      </c>
      <c r="M146" s="56" t="n">
        <v>1</v>
      </c>
      <c r="N146" s="56" t="n"/>
      <c r="Q146" s="57" t="inlineStr">
        <is>
          <t>Occ</t>
        </is>
      </c>
      <c r="U146" s="58" t="n">
        <v>1264</v>
      </c>
      <c r="V146" s="58" t="n">
        <v>1204</v>
      </c>
      <c r="W146" s="58" t="n">
        <v>0</v>
      </c>
      <c r="X146" s="58" t="n">
        <v>0</v>
      </c>
      <c r="Y146" s="58" t="n">
        <v>31</v>
      </c>
      <c r="Z146" s="59" t="n">
        <v>46206</v>
      </c>
      <c r="AA146" s="59" t="n">
        <v>46206</v>
      </c>
      <c r="AB146" s="59" t="n">
        <v>46570</v>
      </c>
    </row>
    <row r="147">
      <c r="D147" s="36" t="inlineStr">
        <is>
          <t>Saddlebrook at Tates Creek</t>
        </is>
      </c>
      <c r="E147" s="54" t="inlineStr">
        <is>
          <t>140</t>
        </is>
      </c>
      <c r="F147" s="54" t="inlineStr">
        <is>
          <t>stc_a3</t>
        </is>
      </c>
      <c r="G147" s="54" t="inlineStr">
        <is>
          <t>1 Bedroom</t>
        </is>
      </c>
      <c r="K147" s="36" t="inlineStr">
        <is>
          <t>Manuel Bernal</t>
        </is>
      </c>
      <c r="L147" s="55" t="n">
        <v>987</v>
      </c>
      <c r="M147" s="56" t="n">
        <v>1</v>
      </c>
      <c r="N147" s="56" t="n"/>
      <c r="Q147" s="57" t="inlineStr">
        <is>
          <t>Occ</t>
        </is>
      </c>
      <c r="U147" s="58" t="n">
        <v>1319</v>
      </c>
      <c r="V147" s="58" t="n">
        <v>1370</v>
      </c>
      <c r="W147" s="58" t="n">
        <v>0</v>
      </c>
      <c r="X147" s="58" t="n">
        <v>0</v>
      </c>
      <c r="Y147" s="58" t="n">
        <v>31</v>
      </c>
      <c r="Z147" s="59" t="n">
        <v>45638</v>
      </c>
      <c r="AA147" s="59" t="n">
        <v>45638</v>
      </c>
      <c r="AB147" s="59" t="n">
        <v>46429</v>
      </c>
    </row>
    <row r="148">
      <c r="D148" s="36" t="inlineStr">
        <is>
          <t>Saddlebrook at Tates Creek</t>
        </is>
      </c>
      <c r="E148" s="54" t="inlineStr">
        <is>
          <t>141</t>
        </is>
      </c>
      <c r="F148" s="54" t="inlineStr">
        <is>
          <t>stc_a1</t>
        </is>
      </c>
      <c r="G148" s="54" t="inlineStr">
        <is>
          <t>1 Bedroom</t>
        </is>
      </c>
      <c r="K148" s="36" t="inlineStr">
        <is>
          <t>Trey Barnes</t>
        </is>
      </c>
      <c r="L148" s="55" t="n">
        <v>731</v>
      </c>
      <c r="M148" s="56" t="n">
        <v>1</v>
      </c>
      <c r="N148" s="56" t="n"/>
      <c r="Q148" s="57" t="inlineStr">
        <is>
          <t>Occ</t>
        </is>
      </c>
      <c r="U148" s="58" t="n">
        <v>1179</v>
      </c>
      <c r="V148" s="58" t="n">
        <v>1251</v>
      </c>
      <c r="W148" s="58" t="n">
        <v>0</v>
      </c>
      <c r="X148" s="58" t="n">
        <v>0</v>
      </c>
      <c r="Y148" s="58" t="n">
        <v>31</v>
      </c>
      <c r="Z148" s="59" t="n">
        <v>45954</v>
      </c>
      <c r="AA148" s="59" t="n">
        <v>45954</v>
      </c>
      <c r="AB148" s="59" t="n">
        <v>46196</v>
      </c>
    </row>
    <row r="149">
      <c r="D149" s="36" t="inlineStr">
        <is>
          <t>Saddlebrook at Tates Creek</t>
        </is>
      </c>
      <c r="E149" s="54" t="inlineStr">
        <is>
          <t>142</t>
        </is>
      </c>
      <c r="F149" s="54" t="inlineStr">
        <is>
          <t>stc_a3</t>
        </is>
      </c>
      <c r="G149" s="54" t="inlineStr">
        <is>
          <t>1 Bedroom</t>
        </is>
      </c>
      <c r="K149" s="36" t="inlineStr">
        <is>
          <t>Madisyn Ruebusch</t>
        </is>
      </c>
      <c r="L149" s="55" t="n">
        <v>987</v>
      </c>
      <c r="M149" s="56" t="n">
        <v>1</v>
      </c>
      <c r="N149" s="56" t="n"/>
      <c r="Q149" s="57" t="inlineStr">
        <is>
          <t>Occ</t>
        </is>
      </c>
      <c r="U149" s="58" t="n">
        <v>1319</v>
      </c>
      <c r="V149" s="58" t="n">
        <v>1254</v>
      </c>
      <c r="W149" s="58" t="n">
        <v>0</v>
      </c>
      <c r="X149" s="58" t="n">
        <v>0</v>
      </c>
      <c r="Y149" s="58" t="n">
        <v>72</v>
      </c>
      <c r="Z149" s="59" t="n">
        <v>44575</v>
      </c>
      <c r="AA149" s="59" t="n">
        <v>44575</v>
      </c>
      <c r="AB149" s="59" t="n">
        <v>46459</v>
      </c>
    </row>
    <row r="150">
      <c r="D150" s="36" t="inlineStr">
        <is>
          <t>Saddlebrook at Tates Creek</t>
        </is>
      </c>
      <c r="E150" s="54" t="inlineStr">
        <is>
          <t>143</t>
        </is>
      </c>
      <c r="F150" s="54" t="inlineStr">
        <is>
          <t>stc_a2</t>
        </is>
      </c>
      <c r="G150" s="54" t="inlineStr">
        <is>
          <t>1 Bedroom</t>
        </is>
      </c>
      <c r="K150" s="36" t="inlineStr">
        <is>
          <t>Alex Benecke</t>
        </is>
      </c>
      <c r="L150" s="55" t="n">
        <v>768</v>
      </c>
      <c r="M150" s="56" t="n">
        <v>1</v>
      </c>
      <c r="N150" s="56" t="n"/>
      <c r="Q150" s="57" t="inlineStr">
        <is>
          <t>Occ</t>
        </is>
      </c>
      <c r="U150" s="58" t="n">
        <v>1270</v>
      </c>
      <c r="V150" s="58" t="n">
        <v>1096</v>
      </c>
      <c r="W150" s="58" t="n">
        <v>0</v>
      </c>
      <c r="X150" s="58" t="n">
        <v>0</v>
      </c>
      <c r="Y150" s="58" t="n">
        <v>67</v>
      </c>
      <c r="Z150" s="59" t="n">
        <v>45717</v>
      </c>
      <c r="AA150" s="59" t="n">
        <v>45717</v>
      </c>
      <c r="AB150" s="59" t="n">
        <v>46599</v>
      </c>
    </row>
    <row r="151">
      <c r="D151" s="36" t="inlineStr">
        <is>
          <t>Saddlebrook at Tates Creek</t>
        </is>
      </c>
      <c r="E151" s="54" t="inlineStr">
        <is>
          <t>144</t>
        </is>
      </c>
      <c r="F151" s="54" t="inlineStr">
        <is>
          <t>stc_b2</t>
        </is>
      </c>
      <c r="G151" s="54" t="inlineStr">
        <is>
          <t>2 Bedroom</t>
        </is>
      </c>
      <c r="K151" s="36" t="inlineStr">
        <is>
          <t>Austin Phillips</t>
        </is>
      </c>
      <c r="L151" s="55" t="n">
        <v>1214</v>
      </c>
      <c r="M151" s="56" t="n">
        <v>2</v>
      </c>
      <c r="N151" s="56" t="n"/>
      <c r="Q151" s="57" t="inlineStr">
        <is>
          <t>Occ</t>
        </is>
      </c>
      <c r="U151" s="58" t="n">
        <v>1486</v>
      </c>
      <c r="V151" s="58" t="n">
        <v>1607</v>
      </c>
      <c r="W151" s="58" t="n">
        <v>0</v>
      </c>
      <c r="X151" s="58" t="n">
        <v>0</v>
      </c>
      <c r="Y151" s="58" t="n">
        <v>29</v>
      </c>
      <c r="Z151" s="59" t="n">
        <v>45456</v>
      </c>
      <c r="AA151" s="59" t="n">
        <v>45456</v>
      </c>
      <c r="AB151" s="59" t="n">
        <v>46246</v>
      </c>
    </row>
    <row r="152">
      <c r="D152" s="36" t="inlineStr">
        <is>
          <t>Saddlebrook at Tates Creek</t>
        </is>
      </c>
      <c r="E152" s="54" t="inlineStr">
        <is>
          <t>145</t>
        </is>
      </c>
      <c r="F152" s="54" t="inlineStr">
        <is>
          <t>stc_a1</t>
        </is>
      </c>
      <c r="G152" s="54" t="inlineStr">
        <is>
          <t>1 Bedroom</t>
        </is>
      </c>
      <c r="K152" s="36" t="inlineStr">
        <is>
          <t>Stephen Skomsky</t>
        </is>
      </c>
      <c r="L152" s="55" t="n">
        <v>731</v>
      </c>
      <c r="M152" s="56" t="n">
        <v>1</v>
      </c>
      <c r="N152" s="56" t="n"/>
      <c r="Q152" s="57" t="inlineStr">
        <is>
          <t>Occ</t>
        </is>
      </c>
      <c r="U152" s="58" t="n">
        <v>1264</v>
      </c>
      <c r="V152" s="58" t="n">
        <v>1204</v>
      </c>
      <c r="W152" s="58" t="n">
        <v>0</v>
      </c>
      <c r="X152" s="58" t="n">
        <v>0</v>
      </c>
      <c r="Y152" s="58" t="n">
        <v>66</v>
      </c>
      <c r="Z152" s="59" t="n">
        <v>46037</v>
      </c>
      <c r="AA152" s="59" t="n">
        <v>46037</v>
      </c>
      <c r="AB152" s="59" t="n">
        <v>46460</v>
      </c>
    </row>
    <row r="153">
      <c r="D153" s="36" t="inlineStr">
        <is>
          <t>Saddlebrook at Tates Creek</t>
        </is>
      </c>
      <c r="E153" s="54" t="inlineStr">
        <is>
          <t>146</t>
        </is>
      </c>
      <c r="F153" s="54" t="inlineStr">
        <is>
          <t>stc_a3</t>
        </is>
      </c>
      <c r="G153" s="54" t="inlineStr">
        <is>
          <t>1 Bedroom</t>
        </is>
      </c>
      <c r="K153" s="36" t="inlineStr">
        <is>
          <t>Steven Bates</t>
        </is>
      </c>
      <c r="L153" s="55" t="n">
        <v>987</v>
      </c>
      <c r="M153" s="56" t="n">
        <v>1</v>
      </c>
      <c r="N153" s="56" t="n"/>
      <c r="Q153" s="57" t="inlineStr">
        <is>
          <t>Occ</t>
        </is>
      </c>
      <c r="U153" s="58" t="n">
        <v>1319</v>
      </c>
      <c r="V153" s="58" t="n">
        <v>1345</v>
      </c>
      <c r="W153" s="58" t="n">
        <v>0</v>
      </c>
      <c r="X153" s="58" t="n">
        <v>0</v>
      </c>
      <c r="Y153" s="58" t="n">
        <v>71</v>
      </c>
      <c r="Z153" s="59" t="n">
        <v>44553</v>
      </c>
      <c r="AA153" s="59" t="n">
        <v>44553</v>
      </c>
      <c r="AB153" s="59" t="n">
        <v>46256</v>
      </c>
    </row>
    <row r="154">
      <c r="D154" s="36" t="inlineStr">
        <is>
          <t>Saddlebrook at Tates Creek</t>
        </is>
      </c>
      <c r="E154" s="54" t="inlineStr">
        <is>
          <t>147</t>
        </is>
      </c>
      <c r="F154" s="54" t="inlineStr">
        <is>
          <t>stc_a1</t>
        </is>
      </c>
      <c r="G154" s="54" t="inlineStr">
        <is>
          <t>1 Bedroom</t>
        </is>
      </c>
      <c r="K154" s="36" t="inlineStr">
        <is>
          <t>Cynthia Corona</t>
        </is>
      </c>
      <c r="L154" s="55" t="n">
        <v>731</v>
      </c>
      <c r="M154" s="56" t="n">
        <v>1</v>
      </c>
      <c r="N154" s="56" t="n"/>
      <c r="Q154" s="57" t="inlineStr">
        <is>
          <t>Occ</t>
        </is>
      </c>
      <c r="U154" s="58" t="n">
        <v>1264</v>
      </c>
      <c r="V154" s="58" t="n">
        <v>1272</v>
      </c>
      <c r="W154" s="58" t="n">
        <v>0</v>
      </c>
      <c r="X154" s="58" t="n">
        <v>0</v>
      </c>
      <c r="Y154" s="58" t="n">
        <v>32</v>
      </c>
      <c r="Z154" s="59" t="n">
        <v>46156</v>
      </c>
      <c r="AA154" s="59" t="n">
        <v>46156</v>
      </c>
      <c r="AB154" s="59" t="n">
        <v>46520</v>
      </c>
    </row>
    <row r="155">
      <c r="D155" s="36" t="inlineStr">
        <is>
          <t>Saddlebrook at Tates Creek</t>
        </is>
      </c>
      <c r="E155" s="54" t="inlineStr">
        <is>
          <t>148</t>
        </is>
      </c>
      <c r="F155" s="54" t="inlineStr">
        <is>
          <t>stc_a3</t>
        </is>
      </c>
      <c r="G155" s="54" t="inlineStr">
        <is>
          <t>1 Bedroom</t>
        </is>
      </c>
      <c r="K155" s="36" t="inlineStr">
        <is>
          <t>Tanya Whitehouse</t>
        </is>
      </c>
      <c r="L155" s="55" t="n">
        <v>987</v>
      </c>
      <c r="M155" s="56" t="n">
        <v>1</v>
      </c>
      <c r="N155" s="56" t="n"/>
      <c r="Q155" s="57" t="inlineStr">
        <is>
          <t>Occ</t>
        </is>
      </c>
      <c r="U155" s="58" t="n">
        <v>1319</v>
      </c>
      <c r="V155" s="58" t="n">
        <v>1171</v>
      </c>
      <c r="W155" s="58" t="n">
        <v>0</v>
      </c>
      <c r="X155" s="58" t="n">
        <v>0</v>
      </c>
      <c r="Y155" s="58" t="n">
        <v>67</v>
      </c>
      <c r="Z155" s="59" t="n">
        <v>43945</v>
      </c>
      <c r="AA155" s="59" t="n">
        <v>43945</v>
      </c>
      <c r="AB155" s="59" t="n">
        <v>46469</v>
      </c>
    </row>
    <row r="156">
      <c r="D156" s="36" t="inlineStr">
        <is>
          <t>Saddlebrook at Tates Creek</t>
        </is>
      </c>
      <c r="E156" s="54" t="inlineStr">
        <is>
          <t>149</t>
        </is>
      </c>
      <c r="F156" s="54" t="inlineStr">
        <is>
          <t>stc_a1</t>
        </is>
      </c>
      <c r="G156" s="54" t="inlineStr">
        <is>
          <t>1 Bedroom</t>
        </is>
      </c>
      <c r="K156" s="36" t="inlineStr">
        <is>
          <t>Maria Bykalo</t>
        </is>
      </c>
      <c r="L156" s="55" t="n">
        <v>731</v>
      </c>
      <c r="M156" s="56" t="n">
        <v>1</v>
      </c>
      <c r="N156" s="56" t="n"/>
      <c r="Q156" s="57" t="inlineStr">
        <is>
          <t>Occ</t>
        </is>
      </c>
      <c r="U156" s="58" t="n">
        <v>1264</v>
      </c>
      <c r="V156" s="58" t="n">
        <v>1205</v>
      </c>
      <c r="W156" s="58" t="n">
        <v>0</v>
      </c>
      <c r="X156" s="58" t="n">
        <v>0</v>
      </c>
      <c r="Y156" s="58" t="n">
        <v>32</v>
      </c>
      <c r="Z156" s="59" t="n">
        <v>46182</v>
      </c>
      <c r="AA156" s="59" t="n">
        <v>46182</v>
      </c>
      <c r="AB156" s="59" t="n">
        <v>46576</v>
      </c>
    </row>
    <row r="157">
      <c r="D157" s="36" t="inlineStr">
        <is>
          <t>Saddlebrook at Tates Creek</t>
        </is>
      </c>
      <c r="E157" s="54" t="inlineStr">
        <is>
          <t>150</t>
        </is>
      </c>
      <c r="F157" s="54" t="inlineStr">
        <is>
          <t>stc_a3</t>
        </is>
      </c>
      <c r="G157" s="54" t="inlineStr">
        <is>
          <t>1 Bedroom</t>
        </is>
      </c>
      <c r="K157" s="36" t="inlineStr">
        <is>
          <t>Abigail Sutton</t>
        </is>
      </c>
      <c r="L157" s="55" t="n">
        <v>987</v>
      </c>
      <c r="M157" s="56" t="n">
        <v>1</v>
      </c>
      <c r="N157" s="56" t="n"/>
      <c r="Q157" s="57" t="inlineStr">
        <is>
          <t>Occ</t>
        </is>
      </c>
      <c r="U157" s="58" t="n">
        <v>1319</v>
      </c>
      <c r="V157" s="58" t="n">
        <v>1352</v>
      </c>
      <c r="W157" s="58" t="n">
        <v>0</v>
      </c>
      <c r="X157" s="58" t="n">
        <v>0</v>
      </c>
      <c r="Y157" s="58" t="n">
        <v>66</v>
      </c>
      <c r="Z157" s="59" t="n">
        <v>45596</v>
      </c>
      <c r="AA157" s="59" t="n">
        <v>45596</v>
      </c>
      <c r="AB157" s="59" t="n">
        <v>46476</v>
      </c>
    </row>
    <row r="158">
      <c r="D158" s="36" t="inlineStr">
        <is>
          <t>Saddlebrook at Tates Creek</t>
        </is>
      </c>
      <c r="E158" s="54" t="inlineStr">
        <is>
          <t>151</t>
        </is>
      </c>
      <c r="F158" s="54" t="inlineStr">
        <is>
          <t>stc_a1</t>
        </is>
      </c>
      <c r="G158" s="54" t="inlineStr">
        <is>
          <t>1 Bedroom</t>
        </is>
      </c>
      <c r="K158" s="36" t="inlineStr">
        <is>
          <t>Emma Newton</t>
        </is>
      </c>
      <c r="L158" s="55" t="n">
        <v>731</v>
      </c>
      <c r="M158" s="56" t="n">
        <v>1</v>
      </c>
      <c r="N158" s="56" t="n"/>
      <c r="Q158" s="57" t="inlineStr">
        <is>
          <t>Occ</t>
        </is>
      </c>
      <c r="U158" s="58" t="n">
        <v>1264</v>
      </c>
      <c r="V158" s="58" t="n">
        <v>1126</v>
      </c>
      <c r="W158" s="58" t="n">
        <v>0</v>
      </c>
      <c r="X158" s="58" t="n">
        <v>0</v>
      </c>
      <c r="Y158" s="58" t="n">
        <v>32</v>
      </c>
      <c r="Z158" s="59" t="n">
        <v>45716</v>
      </c>
      <c r="AA158" s="59" t="n">
        <v>45716</v>
      </c>
      <c r="AB158" s="59" t="n">
        <v>46445</v>
      </c>
    </row>
    <row r="159">
      <c r="D159" s="36" t="inlineStr">
        <is>
          <t>Saddlebrook at Tates Creek</t>
        </is>
      </c>
      <c r="E159" s="54" t="inlineStr">
        <is>
          <t>152</t>
        </is>
      </c>
      <c r="F159" s="54" t="inlineStr">
        <is>
          <t>stc_a3</t>
        </is>
      </c>
      <c r="G159" s="54" t="inlineStr">
        <is>
          <t>1 Bedroom</t>
        </is>
      </c>
      <c r="K159" s="36" t="inlineStr">
        <is>
          <t>Allison Hicks</t>
        </is>
      </c>
      <c r="L159" s="55" t="n">
        <v>987</v>
      </c>
      <c r="M159" s="56" t="n">
        <v>1</v>
      </c>
      <c r="N159" s="56" t="n"/>
      <c r="Q159" s="57" t="inlineStr">
        <is>
          <t>Occ</t>
        </is>
      </c>
      <c r="U159" s="58" t="n">
        <v>1319</v>
      </c>
      <c r="V159" s="58" t="n">
        <v>1311</v>
      </c>
      <c r="W159" s="58" t="n">
        <v>0</v>
      </c>
      <c r="X159" s="58" t="n">
        <v>0</v>
      </c>
      <c r="Y159" s="58" t="n">
        <v>31</v>
      </c>
      <c r="Z159" s="59" t="n">
        <v>45898</v>
      </c>
      <c r="AA159" s="59" t="n">
        <v>45898</v>
      </c>
      <c r="AB159" s="59" t="n">
        <v>46293</v>
      </c>
    </row>
    <row r="160">
      <c r="D160" s="36" t="inlineStr">
        <is>
          <t>Saddlebrook at Tates Creek</t>
        </is>
      </c>
      <c r="E160" s="54" t="inlineStr">
        <is>
          <t>153</t>
        </is>
      </c>
      <c r="F160" s="54" t="inlineStr">
        <is>
          <t>stc_a1</t>
        </is>
      </c>
      <c r="G160" s="54" t="inlineStr">
        <is>
          <t>1 Bedroom</t>
        </is>
      </c>
      <c r="K160" s="36" t="inlineStr">
        <is>
          <t>Leeanne Downes</t>
        </is>
      </c>
      <c r="L160" s="55" t="n">
        <v>731</v>
      </c>
      <c r="M160" s="56" t="n">
        <v>1</v>
      </c>
      <c r="N160" s="56" t="n"/>
      <c r="Q160" s="57" t="inlineStr">
        <is>
          <t>Occ</t>
        </is>
      </c>
      <c r="U160" s="58" t="n">
        <v>1264</v>
      </c>
      <c r="V160" s="58" t="n">
        <v>1204</v>
      </c>
      <c r="W160" s="58" t="n">
        <v>0</v>
      </c>
      <c r="X160" s="58" t="n">
        <v>0</v>
      </c>
      <c r="Y160" s="58" t="n">
        <v>32</v>
      </c>
      <c r="Z160" s="59" t="n">
        <v>45317</v>
      </c>
      <c r="AA160" s="59" t="n">
        <v>45317</v>
      </c>
      <c r="AB160" s="59" t="n">
        <v>46593</v>
      </c>
    </row>
    <row r="161">
      <c r="D161" s="36" t="inlineStr">
        <is>
          <t>Saddlebrook at Tates Creek</t>
        </is>
      </c>
      <c r="E161" s="54" t="inlineStr">
        <is>
          <t>154</t>
        </is>
      </c>
      <c r="F161" s="54" t="inlineStr">
        <is>
          <t>stc_a3</t>
        </is>
      </c>
      <c r="G161" s="54" t="inlineStr">
        <is>
          <t>1 Bedroom</t>
        </is>
      </c>
      <c r="K161" s="36" t="inlineStr">
        <is>
          <t>Evan Whaley</t>
        </is>
      </c>
      <c r="L161" s="55" t="n">
        <v>987</v>
      </c>
      <c r="M161" s="56" t="n">
        <v>1</v>
      </c>
      <c r="N161" s="56" t="n"/>
      <c r="Q161" s="57" t="inlineStr">
        <is>
          <t>Occ</t>
        </is>
      </c>
      <c r="U161" s="58" t="n">
        <v>1319</v>
      </c>
      <c r="V161" s="58" t="n">
        <v>1274</v>
      </c>
      <c r="W161" s="58" t="n">
        <v>0</v>
      </c>
      <c r="X161" s="58" t="n">
        <v>0</v>
      </c>
      <c r="Y161" s="58" t="n">
        <v>31</v>
      </c>
      <c r="Z161" s="59" t="n">
        <v>45482</v>
      </c>
      <c r="AA161" s="59" t="n">
        <v>45482</v>
      </c>
      <c r="AB161" s="59" t="n">
        <v>46334</v>
      </c>
    </row>
    <row r="162">
      <c r="D162" s="36" t="inlineStr">
        <is>
          <t>Saddlebrook at Tates Creek</t>
        </is>
      </c>
      <c r="E162" s="54" t="inlineStr">
        <is>
          <t>155</t>
        </is>
      </c>
      <c r="F162" s="54" t="inlineStr">
        <is>
          <t>stc_a1</t>
        </is>
      </c>
      <c r="G162" s="54" t="inlineStr">
        <is>
          <t>1 Bedroom</t>
        </is>
      </c>
      <c r="K162" s="36" t="inlineStr">
        <is>
          <t>Amanda Sizemore</t>
        </is>
      </c>
      <c r="L162" s="55" t="n">
        <v>731</v>
      </c>
      <c r="M162" s="56" t="n">
        <v>1</v>
      </c>
      <c r="N162" s="56" t="n"/>
      <c r="Q162" s="57" t="inlineStr">
        <is>
          <t>Occ</t>
        </is>
      </c>
      <c r="U162" s="58" t="n">
        <v>1264</v>
      </c>
      <c r="V162" s="58" t="n">
        <v>1080</v>
      </c>
      <c r="W162" s="58" t="n">
        <v>0</v>
      </c>
      <c r="X162" s="58" t="n">
        <v>0</v>
      </c>
      <c r="Y162" s="58" t="n">
        <v>66</v>
      </c>
      <c r="Z162" s="59" t="n">
        <v>44044</v>
      </c>
      <c r="AA162" s="59" t="n">
        <v>44044</v>
      </c>
      <c r="AB162" s="59" t="n">
        <v>46356</v>
      </c>
    </row>
    <row r="163">
      <c r="D163" s="36" t="inlineStr">
        <is>
          <t>Saddlebrook at Tates Creek</t>
        </is>
      </c>
      <c r="E163" s="54" t="inlineStr">
        <is>
          <t>156</t>
        </is>
      </c>
      <c r="F163" s="54" t="inlineStr">
        <is>
          <t>stc_a3</t>
        </is>
      </c>
      <c r="G163" s="54" t="inlineStr">
        <is>
          <t>1 Bedroom</t>
        </is>
      </c>
      <c r="K163" s="36" t="inlineStr">
        <is>
          <t>Van Zanon</t>
        </is>
      </c>
      <c r="L163" s="55" t="n">
        <v>987</v>
      </c>
      <c r="M163" s="56" t="n">
        <v>1</v>
      </c>
      <c r="N163" s="56" t="n"/>
      <c r="Q163" s="57" t="inlineStr">
        <is>
          <t>Occ</t>
        </is>
      </c>
      <c r="U163" s="58" t="n">
        <v>1319</v>
      </c>
      <c r="V163" s="58" t="n">
        <v>1320</v>
      </c>
      <c r="W163" s="58" t="n">
        <v>0</v>
      </c>
      <c r="X163" s="58" t="n">
        <v>0</v>
      </c>
      <c r="Y163" s="58" t="n">
        <v>31</v>
      </c>
      <c r="Z163" s="59" t="n">
        <v>45861</v>
      </c>
      <c r="AA163" s="59" t="n">
        <v>45861</v>
      </c>
      <c r="AB163" s="59" t="n">
        <v>46287</v>
      </c>
    </row>
    <row r="164">
      <c r="D164" s="36" t="inlineStr">
        <is>
          <t>Saddlebrook at Tates Creek</t>
        </is>
      </c>
      <c r="E164" s="54" t="inlineStr">
        <is>
          <t>157</t>
        </is>
      </c>
      <c r="F164" s="54" t="inlineStr">
        <is>
          <t>stc_a2</t>
        </is>
      </c>
      <c r="G164" s="54" t="inlineStr">
        <is>
          <t>1 Bedroom</t>
        </is>
      </c>
      <c r="K164" s="36" t="inlineStr">
        <is>
          <t>Ariel Woo</t>
        </is>
      </c>
      <c r="L164" s="55" t="n">
        <v>768</v>
      </c>
      <c r="M164" s="56" t="n">
        <v>1</v>
      </c>
      <c r="N164" s="56" t="n"/>
      <c r="Q164" s="57" t="inlineStr">
        <is>
          <t>Occ</t>
        </is>
      </c>
      <c r="U164" s="58" t="n">
        <v>1270</v>
      </c>
      <c r="V164" s="58" t="n">
        <v>1026</v>
      </c>
      <c r="W164" s="58" t="n">
        <v>0</v>
      </c>
      <c r="X164" s="58" t="n">
        <v>0</v>
      </c>
      <c r="Y164" s="58" t="n">
        <v>57</v>
      </c>
      <c r="Z164" s="59" t="n">
        <v>45730</v>
      </c>
      <c r="AA164" s="59" t="n">
        <v>45730</v>
      </c>
      <c r="AB164" s="59" t="n">
        <v>46612</v>
      </c>
    </row>
    <row r="165">
      <c r="D165" s="36" t="inlineStr">
        <is>
          <t>Saddlebrook at Tates Creek</t>
        </is>
      </c>
      <c r="E165" s="54" t="inlineStr">
        <is>
          <t>158</t>
        </is>
      </c>
      <c r="F165" s="54" t="inlineStr">
        <is>
          <t>stc_b2</t>
        </is>
      </c>
      <c r="G165" s="54" t="inlineStr">
        <is>
          <t>2 Bedroom</t>
        </is>
      </c>
      <c r="K165" s="36" t="inlineStr">
        <is>
          <t>Emily Harrison</t>
        </is>
      </c>
      <c r="L165" s="55" t="n">
        <v>1214</v>
      </c>
      <c r="M165" s="56" t="n">
        <v>2</v>
      </c>
      <c r="N165" s="56" t="n"/>
      <c r="Q165" s="57" t="inlineStr">
        <is>
          <t>Occ</t>
        </is>
      </c>
      <c r="U165" s="58" t="n">
        <v>1466</v>
      </c>
      <c r="V165" s="58" t="n">
        <v>1383</v>
      </c>
      <c r="W165" s="58" t="n">
        <v>0</v>
      </c>
      <c r="X165" s="58" t="n">
        <v>0</v>
      </c>
      <c r="Y165" s="58" t="n">
        <v>106</v>
      </c>
      <c r="Z165" s="59" t="n">
        <v>45082</v>
      </c>
      <c r="AA165" s="59" t="n">
        <v>45082</v>
      </c>
      <c r="AB165" s="59" t="n">
        <v>46391</v>
      </c>
    </row>
    <row r="166">
      <c r="D166" s="36" t="inlineStr">
        <is>
          <t>Saddlebrook at Tates Creek</t>
        </is>
      </c>
      <c r="E166" s="54" t="inlineStr">
        <is>
          <t>159</t>
        </is>
      </c>
      <c r="F166" s="54" t="inlineStr">
        <is>
          <t>stc_b1</t>
        </is>
      </c>
      <c r="G166" s="54" t="inlineStr">
        <is>
          <t>2 Bedroom</t>
        </is>
      </c>
      <c r="K166" s="36" t="inlineStr">
        <is>
          <t>Augustus Herndon</t>
        </is>
      </c>
      <c r="L166" s="55" t="n">
        <v>1204</v>
      </c>
      <c r="M166" s="56" t="n">
        <v>2</v>
      </c>
      <c r="N166" s="56" t="n"/>
      <c r="Q166" s="57" t="inlineStr">
        <is>
          <t>Occ</t>
        </is>
      </c>
      <c r="U166" s="58" t="n">
        <v>1463</v>
      </c>
      <c r="V166" s="58" t="n">
        <v>1687</v>
      </c>
      <c r="W166" s="58" t="n">
        <v>0</v>
      </c>
      <c r="X166" s="58" t="n">
        <v>0</v>
      </c>
      <c r="Y166" s="58" t="n">
        <v>31</v>
      </c>
      <c r="Z166" s="59" t="n">
        <v>45886</v>
      </c>
      <c r="AA166" s="59" t="n">
        <v>45886</v>
      </c>
      <c r="AB166" s="59" t="n">
        <v>46250</v>
      </c>
    </row>
    <row r="167">
      <c r="D167" s="36" t="inlineStr">
        <is>
          <t>Saddlebrook at Tates Creek</t>
        </is>
      </c>
      <c r="E167" s="54" t="inlineStr">
        <is>
          <t>160</t>
        </is>
      </c>
      <c r="F167" s="54" t="inlineStr">
        <is>
          <t>stc_b4</t>
        </is>
      </c>
      <c r="G167" s="54" t="inlineStr">
        <is>
          <t>2 Bedroom</t>
        </is>
      </c>
      <c r="K167" s="36" t="inlineStr">
        <is>
          <t>Amy Taylor</t>
        </is>
      </c>
      <c r="L167" s="55" t="n">
        <v>1405</v>
      </c>
      <c r="M167" s="56" t="n">
        <v>2</v>
      </c>
      <c r="N167" s="56" t="n"/>
      <c r="Q167" s="57" t="inlineStr">
        <is>
          <t>Occ</t>
        </is>
      </c>
      <c r="U167" s="58" t="n">
        <v>1542</v>
      </c>
      <c r="V167" s="58" t="n">
        <v>1424</v>
      </c>
      <c r="W167" s="58" t="n">
        <v>0</v>
      </c>
      <c r="X167" s="58" t="n">
        <v>-285</v>
      </c>
      <c r="Y167" s="58" t="n">
        <v>31</v>
      </c>
      <c r="Z167" s="59" t="n">
        <v>45716</v>
      </c>
      <c r="AA167" s="59" t="n">
        <v>45716</v>
      </c>
      <c r="AB167" s="59" t="n">
        <v>46387</v>
      </c>
    </row>
    <row r="168">
      <c r="D168" s="36" t="inlineStr">
        <is>
          <t>Saddlebrook at Tates Creek</t>
        </is>
      </c>
      <c r="E168" s="54" t="inlineStr">
        <is>
          <t>161</t>
        </is>
      </c>
      <c r="F168" s="54" t="inlineStr">
        <is>
          <t>stc_b1</t>
        </is>
      </c>
      <c r="G168" s="54" t="inlineStr">
        <is>
          <t>2 Bedroom</t>
        </is>
      </c>
      <c r="K168" s="36" t="inlineStr">
        <is>
          <t>Jay Gast</t>
        </is>
      </c>
      <c r="L168" s="55" t="n">
        <v>1204</v>
      </c>
      <c r="M168" s="56" t="n">
        <v>2</v>
      </c>
      <c r="N168" s="56" t="n"/>
      <c r="Q168" s="57" t="inlineStr">
        <is>
          <t>Occ</t>
        </is>
      </c>
      <c r="U168" s="58" t="n">
        <v>1318</v>
      </c>
      <c r="V168" s="58" t="n">
        <v>1243</v>
      </c>
      <c r="W168" s="58" t="n">
        <v>0</v>
      </c>
      <c r="X168" s="58" t="n">
        <v>0</v>
      </c>
      <c r="Y168" s="58" t="n">
        <v>66</v>
      </c>
      <c r="Z168" s="59" t="n">
        <v>45938</v>
      </c>
      <c r="AA168" s="59" t="n">
        <v>45938</v>
      </c>
      <c r="AB168" s="59" t="n">
        <v>46302</v>
      </c>
    </row>
    <row r="169">
      <c r="D169" s="36" t="inlineStr">
        <is>
          <t>Saddlebrook at Tates Creek</t>
        </is>
      </c>
      <c r="E169" s="54" t="inlineStr">
        <is>
          <t>162</t>
        </is>
      </c>
      <c r="F169" s="54" t="inlineStr">
        <is>
          <t>stc_b4</t>
        </is>
      </c>
      <c r="G169" s="54" t="inlineStr">
        <is>
          <t>2 Bedroom</t>
        </is>
      </c>
      <c r="K169" s="36" t="inlineStr">
        <is>
          <t>Courtney Scoby</t>
        </is>
      </c>
      <c r="L169" s="55" t="n">
        <v>1405</v>
      </c>
      <c r="M169" s="56" t="n">
        <v>2</v>
      </c>
      <c r="N169" s="56" t="n"/>
      <c r="Q169" s="57" t="inlineStr">
        <is>
          <t>Occ</t>
        </is>
      </c>
      <c r="U169" s="58" t="n">
        <v>1542</v>
      </c>
      <c r="V169" s="58" t="n">
        <v>1539</v>
      </c>
      <c r="W169" s="58" t="n">
        <v>0</v>
      </c>
      <c r="X169" s="58" t="n">
        <v>0</v>
      </c>
      <c r="Y169" s="58" t="n">
        <v>72</v>
      </c>
      <c r="Z169" s="59" t="n">
        <v>45061</v>
      </c>
      <c r="AA169" s="59" t="n">
        <v>45061</v>
      </c>
      <c r="AB169" s="59" t="n">
        <v>46552</v>
      </c>
    </row>
    <row r="170">
      <c r="D170" s="36" t="inlineStr">
        <is>
          <t>Saddlebrook at Tates Creek</t>
        </is>
      </c>
      <c r="E170" s="54" t="inlineStr">
        <is>
          <t>163</t>
        </is>
      </c>
      <c r="F170" s="54" t="inlineStr">
        <is>
          <t>stc_a1</t>
        </is>
      </c>
      <c r="G170" s="54" t="inlineStr">
        <is>
          <t>1 Bedroom</t>
        </is>
      </c>
      <c r="K170" s="36" t="inlineStr">
        <is>
          <t>Micah Smith</t>
        </is>
      </c>
      <c r="L170" s="55" t="n">
        <v>731</v>
      </c>
      <c r="M170" s="56" t="n">
        <v>1</v>
      </c>
      <c r="N170" s="56" t="n"/>
      <c r="Q170" s="57" t="inlineStr">
        <is>
          <t>Occ</t>
        </is>
      </c>
      <c r="U170" s="58" t="n">
        <v>1264</v>
      </c>
      <c r="V170" s="58" t="n">
        <v>1165</v>
      </c>
      <c r="W170" s="58" t="n">
        <v>0</v>
      </c>
      <c r="X170" s="58" t="n">
        <v>0</v>
      </c>
      <c r="Y170" s="58" t="n">
        <v>31</v>
      </c>
      <c r="Z170" s="59" t="n">
        <v>45889</v>
      </c>
      <c r="AA170" s="59" t="n">
        <v>45889</v>
      </c>
      <c r="AB170" s="59" t="n">
        <v>46314</v>
      </c>
    </row>
    <row r="171">
      <c r="D171" s="36" t="inlineStr">
        <is>
          <t>Saddlebrook at Tates Creek</t>
        </is>
      </c>
      <c r="E171" s="54" t="inlineStr">
        <is>
          <t>164</t>
        </is>
      </c>
      <c r="F171" s="54" t="inlineStr">
        <is>
          <t>stc_a3</t>
        </is>
      </c>
      <c r="G171" s="54" t="inlineStr">
        <is>
          <t>1 Bedroom</t>
        </is>
      </c>
      <c r="K171" s="36" t="inlineStr">
        <is>
          <t>Gary Ge</t>
        </is>
      </c>
      <c r="L171" s="55" t="n">
        <v>987</v>
      </c>
      <c r="M171" s="56" t="n">
        <v>1</v>
      </c>
      <c r="N171" s="56" t="n"/>
      <c r="Q171" s="57" t="inlineStr">
        <is>
          <t>Occ</t>
        </is>
      </c>
      <c r="U171" s="58" t="n">
        <v>1194</v>
      </c>
      <c r="V171" s="58" t="n">
        <v>1136</v>
      </c>
      <c r="W171" s="58" t="n">
        <v>0</v>
      </c>
      <c r="X171" s="58" t="n">
        <v>0</v>
      </c>
      <c r="Y171" s="58" t="n">
        <v>71</v>
      </c>
      <c r="Z171" s="59" t="n">
        <v>42872</v>
      </c>
      <c r="AA171" s="59" t="n">
        <v>42872</v>
      </c>
      <c r="AB171" s="59" t="n">
        <v>46219</v>
      </c>
    </row>
    <row r="172">
      <c r="D172" s="36" t="inlineStr">
        <is>
          <t>Saddlebrook at Tates Creek</t>
        </is>
      </c>
      <c r="E172" s="54" t="inlineStr">
        <is>
          <t>165</t>
        </is>
      </c>
      <c r="F172" s="54" t="inlineStr">
        <is>
          <t>stc_a1</t>
        </is>
      </c>
      <c r="G172" s="54" t="inlineStr">
        <is>
          <t>1 Bedroom</t>
        </is>
      </c>
      <c r="K172" s="36" t="inlineStr">
        <is>
          <t>Thomas Diggins</t>
        </is>
      </c>
      <c r="L172" s="55" t="n">
        <v>731</v>
      </c>
      <c r="M172" s="56" t="n">
        <v>1</v>
      </c>
      <c r="N172" s="56" t="n"/>
      <c r="Q172" s="57" t="inlineStr">
        <is>
          <t>Occ</t>
        </is>
      </c>
      <c r="U172" s="58" t="n">
        <v>1264</v>
      </c>
      <c r="V172" s="58" t="n">
        <v>1151</v>
      </c>
      <c r="W172" s="58" t="n">
        <v>0</v>
      </c>
      <c r="X172" s="58" t="n">
        <v>0</v>
      </c>
      <c r="Y172" s="58" t="n">
        <v>31</v>
      </c>
      <c r="Z172" s="59" t="n">
        <v>45911</v>
      </c>
      <c r="AA172" s="59" t="n">
        <v>45911</v>
      </c>
      <c r="AB172" s="59" t="n">
        <v>46366</v>
      </c>
    </row>
    <row r="173">
      <c r="D173" s="36" t="inlineStr">
        <is>
          <t>Saddlebrook at Tates Creek</t>
        </is>
      </c>
      <c r="E173" s="54" t="inlineStr">
        <is>
          <t>166</t>
        </is>
      </c>
      <c r="F173" s="54" t="inlineStr">
        <is>
          <t>stc_a3</t>
        </is>
      </c>
      <c r="G173" s="54" t="inlineStr">
        <is>
          <t>1 Bedroom</t>
        </is>
      </c>
      <c r="K173" s="36" t="inlineStr">
        <is>
          <t>Codi Harrell</t>
        </is>
      </c>
      <c r="L173" s="55" t="n">
        <v>987</v>
      </c>
      <c r="M173" s="56" t="n">
        <v>1</v>
      </c>
      <c r="N173" s="56" t="n"/>
      <c r="Q173" s="57" t="inlineStr">
        <is>
          <t>Occ</t>
        </is>
      </c>
      <c r="U173" s="58" t="n">
        <v>1319</v>
      </c>
      <c r="V173" s="58" t="n">
        <v>1301</v>
      </c>
      <c r="W173" s="58" t="n">
        <v>0</v>
      </c>
      <c r="X173" s="58" t="n">
        <v>0</v>
      </c>
      <c r="Y173" s="58" t="n">
        <v>66</v>
      </c>
      <c r="Z173" s="59" t="n">
        <v>45889</v>
      </c>
      <c r="AA173" s="59" t="n">
        <v>45889</v>
      </c>
      <c r="AB173" s="59" t="n">
        <v>46253</v>
      </c>
    </row>
    <row r="174">
      <c r="D174" s="36" t="inlineStr">
        <is>
          <t>Saddlebrook at Tates Creek</t>
        </is>
      </c>
      <c r="E174" s="54" t="inlineStr">
        <is>
          <t>167</t>
        </is>
      </c>
      <c r="F174" s="54" t="inlineStr">
        <is>
          <t>stc_b1</t>
        </is>
      </c>
      <c r="G174" s="54" t="inlineStr">
        <is>
          <t>2 Bedroom</t>
        </is>
      </c>
      <c r="K174" s="36" t="inlineStr">
        <is>
          <t>Lisa Howard</t>
        </is>
      </c>
      <c r="L174" s="55" t="n">
        <v>1204</v>
      </c>
      <c r="M174" s="56" t="n">
        <v>2</v>
      </c>
      <c r="N174" s="56" t="n"/>
      <c r="Q174" s="57" t="inlineStr">
        <is>
          <t>Occ</t>
        </is>
      </c>
      <c r="U174" s="58" t="n">
        <v>1443</v>
      </c>
      <c r="V174" s="58" t="n">
        <v>1461</v>
      </c>
      <c r="W174" s="58" t="n">
        <v>0</v>
      </c>
      <c r="X174" s="58" t="n">
        <v>0</v>
      </c>
      <c r="Y174" s="58" t="n">
        <v>72</v>
      </c>
      <c r="Z174" s="59" t="n">
        <v>44121</v>
      </c>
      <c r="AA174" s="59" t="n">
        <v>44121</v>
      </c>
      <c r="AB174" s="59" t="n">
        <v>46493</v>
      </c>
    </row>
    <row r="175">
      <c r="D175" s="36" t="inlineStr">
        <is>
          <t>Saddlebrook at Tates Creek</t>
        </is>
      </c>
      <c r="E175" s="54" t="inlineStr">
        <is>
          <t>168</t>
        </is>
      </c>
      <c r="F175" s="54" t="inlineStr">
        <is>
          <t>stc_b1</t>
        </is>
      </c>
      <c r="G175" s="54" t="inlineStr">
        <is>
          <t>2 Bedroom</t>
        </is>
      </c>
      <c r="K175" s="36" t="inlineStr">
        <is>
          <t>James Spates</t>
        </is>
      </c>
      <c r="L175" s="55" t="n">
        <v>1204</v>
      </c>
      <c r="M175" s="56" t="n">
        <v>2</v>
      </c>
      <c r="N175" s="56" t="n"/>
      <c r="Q175" s="57" t="inlineStr">
        <is>
          <t>Occ</t>
        </is>
      </c>
      <c r="U175" s="58" t="n">
        <v>1318</v>
      </c>
      <c r="V175" s="58" t="n">
        <v>1320</v>
      </c>
      <c r="W175" s="58" t="n">
        <v>0</v>
      </c>
      <c r="X175" s="58" t="n">
        <v>0</v>
      </c>
      <c r="Y175" s="58" t="n">
        <v>71</v>
      </c>
      <c r="Z175" s="59" t="n">
        <v>42016</v>
      </c>
      <c r="AA175" s="59" t="n">
        <v>42016</v>
      </c>
      <c r="AB175" s="59" t="n">
        <v>46245</v>
      </c>
    </row>
    <row r="176">
      <c r="D176" s="36" t="inlineStr">
        <is>
          <t>Saddlebrook at Tates Creek</t>
        </is>
      </c>
      <c r="E176" s="54" t="inlineStr">
        <is>
          <t>169</t>
        </is>
      </c>
      <c r="F176" s="54" t="inlineStr">
        <is>
          <t>stc_b4</t>
        </is>
      </c>
      <c r="G176" s="54" t="inlineStr">
        <is>
          <t>2 Bedroom</t>
        </is>
      </c>
      <c r="K176" s="36" t="inlineStr">
        <is>
          <t>Jamison Brashars</t>
        </is>
      </c>
      <c r="L176" s="55" t="n">
        <v>1405</v>
      </c>
      <c r="M176" s="56" t="n">
        <v>2</v>
      </c>
      <c r="N176" s="56" t="n"/>
      <c r="Q176" s="57" t="inlineStr">
        <is>
          <t>Occ</t>
        </is>
      </c>
      <c r="U176" s="58" t="n">
        <v>1512</v>
      </c>
      <c r="V176" s="58" t="n">
        <v>1556</v>
      </c>
      <c r="W176" s="58" t="n">
        <v>0</v>
      </c>
      <c r="X176" s="58" t="n">
        <v>0</v>
      </c>
      <c r="Y176" s="58" t="n">
        <v>91</v>
      </c>
      <c r="Z176" s="59" t="n">
        <v>46123</v>
      </c>
      <c r="AA176" s="59" t="n">
        <v>46123</v>
      </c>
      <c r="AB176" s="59" t="n">
        <v>46487</v>
      </c>
    </row>
    <row r="177">
      <c r="D177" s="36" t="inlineStr">
        <is>
          <t>Saddlebrook at Tates Creek</t>
        </is>
      </c>
      <c r="E177" s="54" t="inlineStr">
        <is>
          <t>170</t>
        </is>
      </c>
      <c r="F177" s="54" t="inlineStr">
        <is>
          <t>stc_b1</t>
        </is>
      </c>
      <c r="G177" s="54" t="inlineStr">
        <is>
          <t>2 Bedroom</t>
        </is>
      </c>
      <c r="K177" s="36" t="inlineStr">
        <is>
          <t>Nicholas Kling</t>
        </is>
      </c>
      <c r="L177" s="55" t="n">
        <v>1204</v>
      </c>
      <c r="M177" s="56" t="n">
        <v>2</v>
      </c>
      <c r="N177" s="56" t="n"/>
      <c r="Q177" s="57" t="inlineStr">
        <is>
          <t>Occ</t>
        </is>
      </c>
      <c r="U177" s="58" t="n">
        <v>1443</v>
      </c>
      <c r="V177" s="58" t="n">
        <v>1420</v>
      </c>
      <c r="W177" s="58" t="n">
        <v>0</v>
      </c>
      <c r="X177" s="58" t="n">
        <v>0</v>
      </c>
      <c r="Y177" s="58" t="n">
        <v>169</v>
      </c>
      <c r="Z177" s="59" t="n">
        <v>44030</v>
      </c>
      <c r="AA177" s="59" t="n">
        <v>44030</v>
      </c>
      <c r="AB177" s="59" t="n">
        <v>46251</v>
      </c>
    </row>
    <row r="178">
      <c r="D178" s="36" t="inlineStr">
        <is>
          <t>Saddlebrook at Tates Creek</t>
        </is>
      </c>
      <c r="E178" s="54" t="inlineStr">
        <is>
          <t>171</t>
        </is>
      </c>
      <c r="F178" s="54" t="inlineStr">
        <is>
          <t>stc_b1</t>
        </is>
      </c>
      <c r="G178" s="54" t="inlineStr">
        <is>
          <t>2 Bedroom</t>
        </is>
      </c>
      <c r="K178" s="36" t="inlineStr">
        <is>
          <t>Chiamaka Akosa</t>
        </is>
      </c>
      <c r="L178" s="55" t="n">
        <v>1204</v>
      </c>
      <c r="M178" s="56" t="n">
        <v>2</v>
      </c>
      <c r="N178" s="56" t="n"/>
      <c r="Q178" s="57" t="inlineStr">
        <is>
          <t>Occ</t>
        </is>
      </c>
      <c r="U178" s="58" t="n">
        <v>1443</v>
      </c>
      <c r="V178" s="58" t="n">
        <v>1625</v>
      </c>
      <c r="W178" s="58" t="n">
        <v>0</v>
      </c>
      <c r="X178" s="58" t="n">
        <v>0</v>
      </c>
      <c r="Y178" s="58" t="n">
        <v>82</v>
      </c>
      <c r="Z178" s="59" t="n">
        <v>45827</v>
      </c>
      <c r="AA178" s="59" t="n">
        <v>45827</v>
      </c>
      <c r="AB178" s="59" t="n">
        <v>46556</v>
      </c>
    </row>
    <row r="179">
      <c r="D179" s="36" t="inlineStr">
        <is>
          <t>Saddlebrook at Tates Creek</t>
        </is>
      </c>
      <c r="E179" s="54" t="inlineStr">
        <is>
          <t>172</t>
        </is>
      </c>
      <c r="F179" s="54" t="inlineStr">
        <is>
          <t>stc_b4</t>
        </is>
      </c>
      <c r="G179" s="54" t="inlineStr">
        <is>
          <t>2 Bedroom</t>
        </is>
      </c>
      <c r="K179" s="36" t="inlineStr">
        <is>
          <t>Vacant</t>
        </is>
      </c>
      <c r="L179" s="55" t="n">
        <v>1405</v>
      </c>
      <c r="M179" s="56" t="n">
        <v>2</v>
      </c>
      <c r="N179" s="56" t="n"/>
      <c r="Q179" s="57" t="inlineStr">
        <is>
          <t>Vac</t>
        </is>
      </c>
      <c r="U179" s="58" t="n">
        <v>3106</v>
      </c>
      <c r="V179" s="58" t="n">
        <v>0</v>
      </c>
      <c r="W179" s="58" t="n">
        <v>0</v>
      </c>
      <c r="X179" s="58" t="n">
        <v>0</v>
      </c>
      <c r="Y179" s="58" t="n">
        <v>0</v>
      </c>
    </row>
    <row r="180">
      <c r="D180" s="36" t="inlineStr">
        <is>
          <t>Saddlebrook at Tates Creek</t>
        </is>
      </c>
      <c r="E180" s="54" t="inlineStr">
        <is>
          <t>173</t>
        </is>
      </c>
      <c r="F180" s="54" t="inlineStr">
        <is>
          <t>stc_a2</t>
        </is>
      </c>
      <c r="G180" s="54" t="inlineStr">
        <is>
          <t>1 Bedroom</t>
        </is>
      </c>
      <c r="K180" s="36" t="inlineStr">
        <is>
          <t>Kayla Grenier</t>
        </is>
      </c>
      <c r="L180" s="55" t="n">
        <v>768</v>
      </c>
      <c r="M180" s="56" t="n">
        <v>1</v>
      </c>
      <c r="N180" s="56" t="n"/>
      <c r="Q180" s="57" t="inlineStr">
        <is>
          <t>Occ</t>
        </is>
      </c>
      <c r="U180" s="58" t="n">
        <v>1260</v>
      </c>
      <c r="V180" s="58" t="n">
        <v>1207</v>
      </c>
      <c r="W180" s="58" t="n">
        <v>0</v>
      </c>
      <c r="X180" s="58" t="n">
        <v>0</v>
      </c>
      <c r="Y180" s="58" t="n">
        <v>92</v>
      </c>
      <c r="Z180" s="59" t="n">
        <v>45205</v>
      </c>
      <c r="AA180" s="59" t="n">
        <v>45205</v>
      </c>
      <c r="AB180" s="59" t="n">
        <v>46482</v>
      </c>
    </row>
    <row r="181">
      <c r="D181" s="36" t="inlineStr">
        <is>
          <t>Saddlebrook at Tates Creek</t>
        </is>
      </c>
      <c r="E181" s="54" t="inlineStr">
        <is>
          <t>174</t>
        </is>
      </c>
      <c r="F181" s="54" t="inlineStr">
        <is>
          <t>stc_b2</t>
        </is>
      </c>
      <c r="G181" s="54" t="inlineStr">
        <is>
          <t>2 Bedroom</t>
        </is>
      </c>
      <c r="K181" s="36" t="inlineStr">
        <is>
          <t>Niharika Reddy Amireddy</t>
        </is>
      </c>
      <c r="L181" s="55" t="n">
        <v>1214</v>
      </c>
      <c r="M181" s="56" t="n">
        <v>2</v>
      </c>
      <c r="N181" s="56" t="n"/>
      <c r="Q181" s="57" t="inlineStr">
        <is>
          <t>Occ</t>
        </is>
      </c>
      <c r="U181" s="58" t="n">
        <v>1456</v>
      </c>
      <c r="V181" s="58" t="n">
        <v>1366</v>
      </c>
      <c r="W181" s="58" t="n">
        <v>0</v>
      </c>
      <c r="X181" s="58" t="n">
        <v>0</v>
      </c>
      <c r="Y181" s="58" t="n">
        <v>31</v>
      </c>
      <c r="Z181" s="59" t="n">
        <v>46006</v>
      </c>
      <c r="AA181" s="59" t="n">
        <v>46006</v>
      </c>
      <c r="AB181" s="59" t="n">
        <v>46432</v>
      </c>
    </row>
    <row r="182">
      <c r="D182" s="36" t="inlineStr">
        <is>
          <t>Saddlebrook at Tates Creek</t>
        </is>
      </c>
      <c r="E182" s="54" t="inlineStr">
        <is>
          <t>175</t>
        </is>
      </c>
      <c r="F182" s="54" t="inlineStr">
        <is>
          <t>stc_a1</t>
        </is>
      </c>
      <c r="G182" s="54" t="inlineStr">
        <is>
          <t>1 Bedroom</t>
        </is>
      </c>
      <c r="K182" s="36" t="inlineStr">
        <is>
          <t>Dalton Williams</t>
        </is>
      </c>
      <c r="L182" s="55" t="n">
        <v>731</v>
      </c>
      <c r="M182" s="56" t="n">
        <v>1</v>
      </c>
      <c r="N182" s="56" t="n"/>
      <c r="Q182" s="57" t="inlineStr">
        <is>
          <t>Occ</t>
        </is>
      </c>
      <c r="U182" s="58" t="n">
        <v>1129</v>
      </c>
      <c r="V182" s="58" t="n">
        <v>1145</v>
      </c>
      <c r="W182" s="58" t="n">
        <v>0</v>
      </c>
      <c r="X182" s="58" t="n">
        <v>0</v>
      </c>
      <c r="Y182" s="58" t="n">
        <v>66</v>
      </c>
      <c r="Z182" s="59" t="n">
        <v>45607</v>
      </c>
      <c r="AA182" s="59" t="n">
        <v>45607</v>
      </c>
      <c r="AB182" s="59" t="n">
        <v>46336</v>
      </c>
    </row>
    <row r="183">
      <c r="D183" s="36" t="inlineStr">
        <is>
          <t>Saddlebrook at Tates Creek</t>
        </is>
      </c>
      <c r="E183" s="54" t="inlineStr">
        <is>
          <t>176</t>
        </is>
      </c>
      <c r="F183" s="54" t="inlineStr">
        <is>
          <t>stc_a3</t>
        </is>
      </c>
      <c r="G183" s="54" t="inlineStr">
        <is>
          <t>1 Bedroom</t>
        </is>
      </c>
      <c r="K183" s="36" t="inlineStr">
        <is>
          <t>Adriana Sisko</t>
        </is>
      </c>
      <c r="L183" s="55" t="n">
        <v>987</v>
      </c>
      <c r="M183" s="56" t="n">
        <v>1</v>
      </c>
      <c r="N183" s="56" t="n"/>
      <c r="Q183" s="57" t="inlineStr">
        <is>
          <t>Occ</t>
        </is>
      </c>
      <c r="U183" s="58" t="n">
        <v>1309</v>
      </c>
      <c r="V183" s="58" t="n">
        <v>1378</v>
      </c>
      <c r="W183" s="58" t="n">
        <v>0</v>
      </c>
      <c r="X183" s="58" t="n">
        <v>0</v>
      </c>
      <c r="Y183" s="58" t="n">
        <v>66</v>
      </c>
      <c r="Z183" s="59" t="n">
        <v>45488</v>
      </c>
      <c r="AA183" s="59" t="n">
        <v>45488</v>
      </c>
      <c r="AB183" s="59" t="n">
        <v>46340</v>
      </c>
    </row>
    <row r="184">
      <c r="D184" s="36" t="inlineStr">
        <is>
          <t>Saddlebrook at Tates Creek</t>
        </is>
      </c>
      <c r="E184" s="54" t="inlineStr">
        <is>
          <t>177</t>
        </is>
      </c>
      <c r="F184" s="54" t="inlineStr">
        <is>
          <t>stc_a1</t>
        </is>
      </c>
      <c r="G184" s="54" t="inlineStr">
        <is>
          <t>1 Bedroom</t>
        </is>
      </c>
      <c r="K184" s="36" t="inlineStr">
        <is>
          <t>Lori Chavarria</t>
        </is>
      </c>
      <c r="L184" s="55" t="n">
        <v>731</v>
      </c>
      <c r="M184" s="56" t="n">
        <v>1</v>
      </c>
      <c r="N184" s="56" t="n"/>
      <c r="Q184" s="57" t="inlineStr">
        <is>
          <t>Occ</t>
        </is>
      </c>
      <c r="U184" s="58" t="n">
        <v>1129</v>
      </c>
      <c r="V184" s="58" t="n">
        <v>1131</v>
      </c>
      <c r="W184" s="58" t="n">
        <v>0</v>
      </c>
      <c r="X184" s="58" t="n">
        <v>0</v>
      </c>
      <c r="Y184" s="58" t="n">
        <v>32</v>
      </c>
      <c r="Z184" s="59" t="n">
        <v>45317</v>
      </c>
      <c r="AA184" s="59" t="n">
        <v>45317</v>
      </c>
      <c r="AB184" s="59" t="n">
        <v>46532</v>
      </c>
    </row>
    <row r="185">
      <c r="D185" s="36" t="inlineStr">
        <is>
          <t>Saddlebrook at Tates Creek</t>
        </is>
      </c>
      <c r="E185" s="54" t="inlineStr">
        <is>
          <t>178</t>
        </is>
      </c>
      <c r="F185" s="54" t="inlineStr">
        <is>
          <t>stc_a3</t>
        </is>
      </c>
      <c r="G185" s="54" t="inlineStr">
        <is>
          <t>1 Bedroom</t>
        </is>
      </c>
      <c r="K185" s="36" t="inlineStr">
        <is>
          <t>Jessica Mckinney</t>
        </is>
      </c>
      <c r="L185" s="55" t="n">
        <v>987</v>
      </c>
      <c r="M185" s="56" t="n">
        <v>1</v>
      </c>
      <c r="N185" s="56" t="n"/>
      <c r="Q185" s="57" t="inlineStr">
        <is>
          <t>Occ</t>
        </is>
      </c>
      <c r="U185" s="58" t="n">
        <v>1309</v>
      </c>
      <c r="V185" s="58" t="n">
        <v>1455</v>
      </c>
      <c r="W185" s="58" t="n">
        <v>0</v>
      </c>
      <c r="X185" s="58" t="n">
        <v>0</v>
      </c>
      <c r="Y185" s="58" t="n">
        <v>67</v>
      </c>
      <c r="Z185" s="59" t="n">
        <v>46201</v>
      </c>
      <c r="AA185" s="59" t="n">
        <v>46201</v>
      </c>
      <c r="AB185" s="59" t="n">
        <v>46565</v>
      </c>
    </row>
    <row r="186">
      <c r="D186" s="36" t="inlineStr">
        <is>
          <t>Saddlebrook at Tates Creek</t>
        </is>
      </c>
      <c r="E186" s="54" t="inlineStr">
        <is>
          <t>179</t>
        </is>
      </c>
      <c r="F186" s="54" t="inlineStr">
        <is>
          <t>stc_a1</t>
        </is>
      </c>
      <c r="G186" s="54" t="inlineStr">
        <is>
          <t>1 Bedroom</t>
        </is>
      </c>
      <c r="K186" s="36" t="inlineStr">
        <is>
          <t>Gary Yarus</t>
        </is>
      </c>
      <c r="L186" s="55" t="n">
        <v>731</v>
      </c>
      <c r="M186" s="56" t="n">
        <v>1</v>
      </c>
      <c r="N186" s="56" t="n"/>
      <c r="Q186" s="57" t="inlineStr">
        <is>
          <t>Occ</t>
        </is>
      </c>
      <c r="U186" s="58" t="n">
        <v>1129</v>
      </c>
      <c r="V186" s="58" t="n">
        <v>1083</v>
      </c>
      <c r="W186" s="58" t="n">
        <v>0</v>
      </c>
      <c r="X186" s="58" t="n">
        <v>0</v>
      </c>
      <c r="Y186" s="58" t="n">
        <v>31</v>
      </c>
      <c r="Z186" s="59" t="n">
        <v>41384</v>
      </c>
      <c r="AA186" s="59" t="n">
        <v>41384</v>
      </c>
      <c r="AB186" s="59" t="n">
        <v>46345</v>
      </c>
    </row>
    <row r="187">
      <c r="D187" s="36" t="inlineStr">
        <is>
          <t>Saddlebrook at Tates Creek</t>
        </is>
      </c>
      <c r="E187" s="54" t="inlineStr">
        <is>
          <t>180</t>
        </is>
      </c>
      <c r="F187" s="54" t="inlineStr">
        <is>
          <t>stc_a3</t>
        </is>
      </c>
      <c r="G187" s="54" t="inlineStr">
        <is>
          <t>1 Bedroom</t>
        </is>
      </c>
      <c r="K187" s="36" t="inlineStr">
        <is>
          <t>Amanda Barbee</t>
        </is>
      </c>
      <c r="L187" s="55" t="n">
        <v>987</v>
      </c>
      <c r="M187" s="56" t="n">
        <v>1</v>
      </c>
      <c r="N187" s="56" t="n"/>
      <c r="Q187" s="57" t="inlineStr">
        <is>
          <t>Occ</t>
        </is>
      </c>
      <c r="U187" s="58" t="n">
        <v>1184</v>
      </c>
      <c r="V187" s="58" t="n">
        <v>1276</v>
      </c>
      <c r="W187" s="58" t="n">
        <v>0</v>
      </c>
      <c r="X187" s="58" t="n">
        <v>0</v>
      </c>
      <c r="Y187" s="58" t="n">
        <v>67</v>
      </c>
      <c r="Z187" s="59" t="n">
        <v>45158</v>
      </c>
      <c r="AA187" s="59" t="n">
        <v>45158</v>
      </c>
      <c r="AB187" s="59" t="n">
        <v>46465</v>
      </c>
    </row>
    <row r="188">
      <c r="D188" s="36" t="inlineStr">
        <is>
          <t>Saddlebrook at Tates Creek</t>
        </is>
      </c>
      <c r="E188" s="54" t="inlineStr">
        <is>
          <t>EH</t>
        </is>
      </c>
      <c r="F188" s="54" t="inlineStr">
        <is>
          <t>stc_eh</t>
        </is>
      </c>
      <c r="G188" s="54" t="inlineStr">
        <is>
          <t>Executive Home</t>
        </is>
      </c>
      <c r="K188" s="36" t="inlineStr">
        <is>
          <t>Doran Davis</t>
        </is>
      </c>
      <c r="L188" s="55" t="n">
        <v>3400</v>
      </c>
      <c r="M188" s="56" t="n"/>
      <c r="N188" s="56" t="n"/>
      <c r="Q188" s="57" t="inlineStr">
        <is>
          <t>Occ</t>
        </is>
      </c>
      <c r="U188" s="58" t="n">
        <v>3468</v>
      </c>
      <c r="V188" s="58" t="n">
        <v>2600</v>
      </c>
      <c r="W188" s="58" t="n">
        <v>0</v>
      </c>
      <c r="X188" s="58" t="n">
        <v>0</v>
      </c>
      <c r="Y188" s="58" t="n">
        <v>67</v>
      </c>
      <c r="Z188" s="59" t="n">
        <v>46146</v>
      </c>
      <c r="AA188" s="59" t="n">
        <v>46146</v>
      </c>
      <c r="AB188" s="59" t="n">
        <v>46510</v>
      </c>
    </row>
    <row r="189">
      <c r="C189" s="60" t="inlineStr">
        <is>
          <t>Total / Wtd. Average</t>
        </is>
      </c>
      <c r="D189" s="61" t="n"/>
      <c r="E189" s="61" t="n"/>
      <c r="F189" s="61" t="n"/>
      <c r="G189" s="62" t="n">
        <v>181</v>
      </c>
      <c r="H189" s="61" t="n"/>
      <c r="I189" s="61" t="n"/>
      <c r="J189" s="61" t="n"/>
      <c r="K189" s="61" t="n"/>
      <c r="L189" s="63" t="n">
        <v>185350</v>
      </c>
      <c r="M189" s="61" t="n"/>
      <c r="N189" s="61" t="n"/>
      <c r="O189" s="61" t="n"/>
      <c r="P189" s="61" t="n"/>
      <c r="Q189" s="61" t="n"/>
      <c r="R189" s="61" t="n"/>
      <c r="S189" s="61" t="n"/>
      <c r="T189" s="61" t="n"/>
      <c r="U189" s="64" t="n">
        <v>245890</v>
      </c>
      <c r="V189" s="64" t="n">
        <v>229667</v>
      </c>
      <c r="W189" s="64" t="n">
        <v>-1319</v>
      </c>
      <c r="X189" s="64" t="n">
        <v>-3092</v>
      </c>
      <c r="Y189" s="64" t="n">
        <v>10324</v>
      </c>
      <c r="Z189" s="61" t="n"/>
      <c r="AA189" s="61" t="n"/>
      <c r="AB189" s="61" t="n"/>
      <c r="AC189" s="61" t="n"/>
      <c r="AD189" s="61" t="n"/>
      <c r="AE189" s="65" t="n">
        <v>0</v>
      </c>
      <c r="AF189" s="65" t="n">
        <v>0</v>
      </c>
      <c r="AG189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K212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5" max="35"/>
    <col width="13" customWidth="1" min="37" max="37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 Bedroom</t>
        </is>
      </c>
      <c r="D5" s="72" t="inlineStr">
        <is>
          <t>stc_a1</t>
        </is>
      </c>
      <c r="E5" s="73" t="n">
        <v>1</v>
      </c>
      <c r="F5" s="74" t="n"/>
      <c r="G5" s="73" t="inlineStr">
        <is>
          <t>No</t>
        </is>
      </c>
      <c r="H5" s="75">
        <f>COUNTIFS($D$32:$D$212,$C5)</f>
        <v/>
      </c>
      <c r="I5" s="75">
        <f>COUNTIFS($D$32:$D$212,$C5,$C$32:$C$212,"Occ")+COUNTIFS($D$32:$D$212,$C5,$C$32:$C$212,"Admin")+COUNTIFS($D$32:$D$212,$C5,$C$32:$C$212,"Down")+COUNTIFS($D$32:$D$212,$C5,$C$32:$C$212,"Super")+COUNTIFS($D$32:$D$212,$C5,$C$32:$C$212,"Model")</f>
        <v/>
      </c>
      <c r="J5" s="75">
        <f>COUNTIFS($D$32:$D$212,$C5,$C$32:$C$212,"Vac")</f>
        <v/>
      </c>
      <c r="K5" s="75">
        <f>IFERROR(AVERAGEIFS($J$32:$J$212,$D$32:$D$212,$C5),"n/a")</f>
        <v/>
      </c>
      <c r="L5" s="75">
        <f>SUMIFS($J$32:$J$212,$D$32:$D$212,$C5)</f>
        <v/>
      </c>
      <c r="M5" s="75">
        <f>SUMIFS($J$32:$J$212,$D$32:$D$212,$C5,$C$32:$C$212,"Occ")+SUMIFS($J$32:$J$212,$D$32:$D$212,$C5,$C$32:$C$212,"Admin")+SUMIFS($J$32:$J$212,$D$32:$D$212,$C5,$C$32:$C$212,"Down")+SUMIFS($J$32:$J$212,$D$32:$D$212,$C5,$C$32:$C$212,"Super")+SUMIFS($J$32:$J$212,$D$32:$D$212,$C5,$C$32:$C$212,"Model")</f>
        <v/>
      </c>
      <c r="N5" s="75">
        <f>SUMIFS($J$32:$J$212,$D$32:$D$212,$C5,$C$32:$C$212,"Vac")</f>
        <v/>
      </c>
      <c r="O5" s="75">
        <f>SUMIFS($L$32:$L$212,$D$32:$D$212,$C5)</f>
        <v/>
      </c>
      <c r="P5" s="75">
        <f>SUMIFS($M$32:$M$212,$D$32:$D$212,$C5)</f>
        <v/>
      </c>
      <c r="Q5" s="75">
        <f>SUMIFS($R$32:$R$212,$D$32:$D$212,$C5)</f>
        <v/>
      </c>
      <c r="R5" s="75">
        <f>SUMIFS($S$32:$S$212,$D$32:$D$212,$C5)</f>
        <v/>
      </c>
      <c r="S5" s="75">
        <f>SUMIFS($T$32:$T$212,$D$32:$D$212,$C5)</f>
        <v/>
      </c>
    </row>
    <row r="6">
      <c r="C6" s="71" t="inlineStr">
        <is>
          <t>1 Bedroom</t>
        </is>
      </c>
      <c r="D6" s="72" t="inlineStr">
        <is>
          <t>stc_a2</t>
        </is>
      </c>
      <c r="E6" s="73" t="n">
        <v>1</v>
      </c>
      <c r="F6" s="74" t="n"/>
      <c r="G6" s="73" t="inlineStr">
        <is>
          <t>No</t>
        </is>
      </c>
      <c r="H6" s="75">
        <f>COUNTIFS($D$32:$D$212,$C6)</f>
        <v/>
      </c>
      <c r="I6" s="75">
        <f>COUNTIFS($D$32:$D$212,$C6,$C$32:$C$212,"Occ")+COUNTIFS($D$32:$D$212,$C6,$C$32:$C$212,"Admin")+COUNTIFS($D$32:$D$212,$C6,$C$32:$C$212,"Down")+COUNTIFS($D$32:$D$212,$C6,$C$32:$C$212,"Super")+COUNTIFS($D$32:$D$212,$C6,$C$32:$C$212,"Model")</f>
        <v/>
      </c>
      <c r="J6" s="75">
        <f>COUNTIFS($D$32:$D$212,$C6,$C$32:$C$212,"Vac")</f>
        <v/>
      </c>
      <c r="K6" s="75">
        <f>IFERROR(AVERAGEIFS($J$32:$J$212,$D$32:$D$212,$C6),"n/a")</f>
        <v/>
      </c>
      <c r="L6" s="75">
        <f>SUMIFS($J$32:$J$212,$D$32:$D$212,$C6)</f>
        <v/>
      </c>
      <c r="M6" s="75">
        <f>SUMIFS($J$32:$J$212,$D$32:$D$212,$C6,$C$32:$C$212,"Occ")+SUMIFS($J$32:$J$212,$D$32:$D$212,$C6,$C$32:$C$212,"Admin")+SUMIFS($J$32:$J$212,$D$32:$D$212,$C6,$C$32:$C$212,"Down")+SUMIFS($J$32:$J$212,$D$32:$D$212,$C6,$C$32:$C$212,"Super")+SUMIFS($J$32:$J$212,$D$32:$D$212,$C6,$C$32:$C$212,"Model")</f>
        <v/>
      </c>
      <c r="N6" s="75">
        <f>SUMIFS($J$32:$J$212,$D$32:$D$212,$C6,$C$32:$C$212,"Vac")</f>
        <v/>
      </c>
      <c r="O6" s="75">
        <f>SUMIFS($L$32:$L$212,$D$32:$D$212,$C6)</f>
        <v/>
      </c>
      <c r="P6" s="75">
        <f>SUMIFS($M$32:$M$212,$D$32:$D$212,$C6)</f>
        <v/>
      </c>
      <c r="Q6" s="75">
        <f>SUMIFS($R$32:$R$212,$D$32:$D$212,$C6)</f>
        <v/>
      </c>
      <c r="R6" s="75">
        <f>SUMIFS($S$32:$S$212,$D$32:$D$212,$C6)</f>
        <v/>
      </c>
      <c r="S6" s="75">
        <f>SUMIFS($T$32:$T$212,$D$32:$D$212,$C6)</f>
        <v/>
      </c>
    </row>
    <row r="7">
      <c r="C7" s="71" t="inlineStr">
        <is>
          <t>1 Bedroom</t>
        </is>
      </c>
      <c r="D7" s="72" t="inlineStr">
        <is>
          <t>stc_a3</t>
        </is>
      </c>
      <c r="E7" s="73" t="n">
        <v>1</v>
      </c>
      <c r="F7" s="74" t="n"/>
      <c r="G7" s="73" t="inlineStr">
        <is>
          <t>No</t>
        </is>
      </c>
      <c r="H7" s="75">
        <f>COUNTIFS($D$32:$D$212,$C7)</f>
        <v/>
      </c>
      <c r="I7" s="75">
        <f>COUNTIFS($D$32:$D$212,$C7,$C$32:$C$212,"Occ")+COUNTIFS($D$32:$D$212,$C7,$C$32:$C$212,"Admin")+COUNTIFS($D$32:$D$212,$C7,$C$32:$C$212,"Down")+COUNTIFS($D$32:$D$212,$C7,$C$32:$C$212,"Super")+COUNTIFS($D$32:$D$212,$C7,$C$32:$C$212,"Model")</f>
        <v/>
      </c>
      <c r="J7" s="75">
        <f>COUNTIFS($D$32:$D$212,$C7,$C$32:$C$212,"Vac")</f>
        <v/>
      </c>
      <c r="K7" s="75">
        <f>IFERROR(AVERAGEIFS($J$32:$J$212,$D$32:$D$212,$C7),"n/a")</f>
        <v/>
      </c>
      <c r="L7" s="75">
        <f>SUMIFS($J$32:$J$212,$D$32:$D$212,$C7)</f>
        <v/>
      </c>
      <c r="M7" s="75">
        <f>SUMIFS($J$32:$J$212,$D$32:$D$212,$C7,$C$32:$C$212,"Occ")+SUMIFS($J$32:$J$212,$D$32:$D$212,$C7,$C$32:$C$212,"Admin")+SUMIFS($J$32:$J$212,$D$32:$D$212,$C7,$C$32:$C$212,"Down")+SUMIFS($J$32:$J$212,$D$32:$D$212,$C7,$C$32:$C$212,"Super")+SUMIFS($J$32:$J$212,$D$32:$D$212,$C7,$C$32:$C$212,"Model")</f>
        <v/>
      </c>
      <c r="N7" s="75">
        <f>SUMIFS($J$32:$J$212,$D$32:$D$212,$C7,$C$32:$C$212,"Vac")</f>
        <v/>
      </c>
      <c r="O7" s="75">
        <f>SUMIFS($L$32:$L$212,$D$32:$D$212,$C7)</f>
        <v/>
      </c>
      <c r="P7" s="75">
        <f>SUMIFS($M$32:$M$212,$D$32:$D$212,$C7)</f>
        <v/>
      </c>
      <c r="Q7" s="75">
        <f>SUMIFS($R$32:$R$212,$D$32:$D$212,$C7)</f>
        <v/>
      </c>
      <c r="R7" s="75">
        <f>SUMIFS($S$32:$S$212,$D$32:$D$212,$C7)</f>
        <v/>
      </c>
      <c r="S7" s="75">
        <f>SUMIFS($T$32:$T$212,$D$32:$D$212,$C7)</f>
        <v/>
      </c>
    </row>
    <row r="8">
      <c r="C8" s="71" t="inlineStr">
        <is>
          <t>2 Bedroom</t>
        </is>
      </c>
      <c r="D8" s="72" t="inlineStr">
        <is>
          <t>stc_b1</t>
        </is>
      </c>
      <c r="E8" s="73" t="n">
        <v>2</v>
      </c>
      <c r="F8" s="74" t="n"/>
      <c r="G8" s="73" t="inlineStr">
        <is>
          <t>No</t>
        </is>
      </c>
      <c r="H8" s="75">
        <f>COUNTIFS($D$32:$D$212,$C8)</f>
        <v/>
      </c>
      <c r="I8" s="75">
        <f>COUNTIFS($D$32:$D$212,$C8,$C$32:$C$212,"Occ")+COUNTIFS($D$32:$D$212,$C8,$C$32:$C$212,"Admin")+COUNTIFS($D$32:$D$212,$C8,$C$32:$C$212,"Down")+COUNTIFS($D$32:$D$212,$C8,$C$32:$C$212,"Super")+COUNTIFS($D$32:$D$212,$C8,$C$32:$C$212,"Model")</f>
        <v/>
      </c>
      <c r="J8" s="75">
        <f>COUNTIFS($D$32:$D$212,$C8,$C$32:$C$212,"Vac")</f>
        <v/>
      </c>
      <c r="K8" s="75">
        <f>IFERROR(AVERAGEIFS($J$32:$J$212,$D$32:$D$212,$C8),"n/a")</f>
        <v/>
      </c>
      <c r="L8" s="75">
        <f>SUMIFS($J$32:$J$212,$D$32:$D$212,$C8)</f>
        <v/>
      </c>
      <c r="M8" s="75">
        <f>SUMIFS($J$32:$J$212,$D$32:$D$212,$C8,$C$32:$C$212,"Occ")+SUMIFS($J$32:$J$212,$D$32:$D$212,$C8,$C$32:$C$212,"Admin")+SUMIFS($J$32:$J$212,$D$32:$D$212,$C8,$C$32:$C$212,"Down")+SUMIFS($J$32:$J$212,$D$32:$D$212,$C8,$C$32:$C$212,"Super")+SUMIFS($J$32:$J$212,$D$32:$D$212,$C8,$C$32:$C$212,"Model")</f>
        <v/>
      </c>
      <c r="N8" s="75">
        <f>SUMIFS($J$32:$J$212,$D$32:$D$212,$C8,$C$32:$C$212,"Vac")</f>
        <v/>
      </c>
      <c r="O8" s="75">
        <f>SUMIFS($L$32:$L$212,$D$32:$D$212,$C8)</f>
        <v/>
      </c>
      <c r="P8" s="75">
        <f>SUMIFS($M$32:$M$212,$D$32:$D$212,$C8)</f>
        <v/>
      </c>
      <c r="Q8" s="75">
        <f>SUMIFS($R$32:$R$212,$D$32:$D$212,$C8)</f>
        <v/>
      </c>
      <c r="R8" s="75">
        <f>SUMIFS($S$32:$S$212,$D$32:$D$212,$C8)</f>
        <v/>
      </c>
      <c r="S8" s="75">
        <f>SUMIFS($T$32:$T$212,$D$32:$D$212,$C8)</f>
        <v/>
      </c>
    </row>
    <row r="9">
      <c r="C9" s="71" t="inlineStr">
        <is>
          <t>2 Bedroom</t>
        </is>
      </c>
      <c r="D9" s="72" t="inlineStr">
        <is>
          <t>stc_b2</t>
        </is>
      </c>
      <c r="E9" s="73" t="n">
        <v>2</v>
      </c>
      <c r="F9" s="74" t="n"/>
      <c r="G9" s="73" t="inlineStr">
        <is>
          <t>No</t>
        </is>
      </c>
      <c r="H9" s="75">
        <f>COUNTIFS($D$32:$D$212,$C9)</f>
        <v/>
      </c>
      <c r="I9" s="75">
        <f>COUNTIFS($D$32:$D$212,$C9,$C$32:$C$212,"Occ")+COUNTIFS($D$32:$D$212,$C9,$C$32:$C$212,"Admin")+COUNTIFS($D$32:$D$212,$C9,$C$32:$C$212,"Down")+COUNTIFS($D$32:$D$212,$C9,$C$32:$C$212,"Super")+COUNTIFS($D$32:$D$212,$C9,$C$32:$C$212,"Model")</f>
        <v/>
      </c>
      <c r="J9" s="75">
        <f>COUNTIFS($D$32:$D$212,$C9,$C$32:$C$212,"Vac")</f>
        <v/>
      </c>
      <c r="K9" s="75">
        <f>IFERROR(AVERAGEIFS($J$32:$J$212,$D$32:$D$212,$C9),"n/a")</f>
        <v/>
      </c>
      <c r="L9" s="75">
        <f>SUMIFS($J$32:$J$212,$D$32:$D$212,$C9)</f>
        <v/>
      </c>
      <c r="M9" s="75">
        <f>SUMIFS($J$32:$J$212,$D$32:$D$212,$C9,$C$32:$C$212,"Occ")+SUMIFS($J$32:$J$212,$D$32:$D$212,$C9,$C$32:$C$212,"Admin")+SUMIFS($J$32:$J$212,$D$32:$D$212,$C9,$C$32:$C$212,"Down")+SUMIFS($J$32:$J$212,$D$32:$D$212,$C9,$C$32:$C$212,"Super")+SUMIFS($J$32:$J$212,$D$32:$D$212,$C9,$C$32:$C$212,"Model")</f>
        <v/>
      </c>
      <c r="N9" s="75">
        <f>SUMIFS($J$32:$J$212,$D$32:$D$212,$C9,$C$32:$C$212,"Vac")</f>
        <v/>
      </c>
      <c r="O9" s="75">
        <f>SUMIFS($L$32:$L$212,$D$32:$D$212,$C9)</f>
        <v/>
      </c>
      <c r="P9" s="75">
        <f>SUMIFS($M$32:$M$212,$D$32:$D$212,$C9)</f>
        <v/>
      </c>
      <c r="Q9" s="75">
        <f>SUMIFS($R$32:$R$212,$D$32:$D$212,$C9)</f>
        <v/>
      </c>
      <c r="R9" s="75">
        <f>SUMIFS($S$32:$S$212,$D$32:$D$212,$C9)</f>
        <v/>
      </c>
      <c r="S9" s="75">
        <f>SUMIFS($T$32:$T$212,$D$32:$D$212,$C9)</f>
        <v/>
      </c>
    </row>
    <row r="10">
      <c r="C10" s="71" t="inlineStr">
        <is>
          <t>2 Bedroom</t>
        </is>
      </c>
      <c r="D10" s="72" t="inlineStr">
        <is>
          <t>stc_b3</t>
        </is>
      </c>
      <c r="E10" s="73" t="n">
        <v>2</v>
      </c>
      <c r="F10" s="74" t="n"/>
      <c r="G10" s="73" t="inlineStr">
        <is>
          <t>No</t>
        </is>
      </c>
      <c r="H10" s="75">
        <f>COUNTIFS($D$32:$D$212,$C10)</f>
        <v/>
      </c>
      <c r="I10" s="75">
        <f>COUNTIFS($D$32:$D$212,$C10,$C$32:$C$212,"Occ")+COUNTIFS($D$32:$D$212,$C10,$C$32:$C$212,"Admin")+COUNTIFS($D$32:$D$212,$C10,$C$32:$C$212,"Down")+COUNTIFS($D$32:$D$212,$C10,$C$32:$C$212,"Super")+COUNTIFS($D$32:$D$212,$C10,$C$32:$C$212,"Model")</f>
        <v/>
      </c>
      <c r="J10" s="75">
        <f>COUNTIFS($D$32:$D$212,$C10,$C$32:$C$212,"Vac")</f>
        <v/>
      </c>
      <c r="K10" s="75">
        <f>IFERROR(AVERAGEIFS($J$32:$J$212,$D$32:$D$212,$C10),"n/a")</f>
        <v/>
      </c>
      <c r="L10" s="75">
        <f>SUMIFS($J$32:$J$212,$D$32:$D$212,$C10)</f>
        <v/>
      </c>
      <c r="M10" s="75">
        <f>SUMIFS($J$32:$J$212,$D$32:$D$212,$C10,$C$32:$C$212,"Occ")+SUMIFS($J$32:$J$212,$D$32:$D$212,$C10,$C$32:$C$212,"Admin")+SUMIFS($J$32:$J$212,$D$32:$D$212,$C10,$C$32:$C$212,"Down")+SUMIFS($J$32:$J$212,$D$32:$D$212,$C10,$C$32:$C$212,"Super")+SUMIFS($J$32:$J$212,$D$32:$D$212,$C10,$C$32:$C$212,"Model")</f>
        <v/>
      </c>
      <c r="N10" s="75">
        <f>SUMIFS($J$32:$J$212,$D$32:$D$212,$C10,$C$32:$C$212,"Vac")</f>
        <v/>
      </c>
      <c r="O10" s="75">
        <f>SUMIFS($L$32:$L$212,$D$32:$D$212,$C10)</f>
        <v/>
      </c>
      <c r="P10" s="75">
        <f>SUMIFS($M$32:$M$212,$D$32:$D$212,$C10)</f>
        <v/>
      </c>
      <c r="Q10" s="75">
        <f>SUMIFS($R$32:$R$212,$D$32:$D$212,$C10)</f>
        <v/>
      </c>
      <c r="R10" s="75">
        <f>SUMIFS($S$32:$S$212,$D$32:$D$212,$C10)</f>
        <v/>
      </c>
      <c r="S10" s="75">
        <f>SUMIFS($T$32:$T$212,$D$32:$D$212,$C10)</f>
        <v/>
      </c>
    </row>
    <row r="11">
      <c r="C11" s="71" t="inlineStr">
        <is>
          <t>2 Bedroom</t>
        </is>
      </c>
      <c r="D11" s="72" t="inlineStr">
        <is>
          <t>stc_b4</t>
        </is>
      </c>
      <c r="E11" s="73" t="n">
        <v>2</v>
      </c>
      <c r="F11" s="74" t="n"/>
      <c r="G11" s="73" t="inlineStr">
        <is>
          <t>No</t>
        </is>
      </c>
      <c r="H11" s="75">
        <f>COUNTIFS($D$32:$D$212,$C11)</f>
        <v/>
      </c>
      <c r="I11" s="75">
        <f>COUNTIFS($D$32:$D$212,$C11,$C$32:$C$212,"Occ")+COUNTIFS($D$32:$D$212,$C11,$C$32:$C$212,"Admin")+COUNTIFS($D$32:$D$212,$C11,$C$32:$C$212,"Down")+COUNTIFS($D$32:$D$212,$C11,$C$32:$C$212,"Super")+COUNTIFS($D$32:$D$212,$C11,$C$32:$C$212,"Model")</f>
        <v/>
      </c>
      <c r="J11" s="75">
        <f>COUNTIFS($D$32:$D$212,$C11,$C$32:$C$212,"Vac")</f>
        <v/>
      </c>
      <c r="K11" s="75">
        <f>IFERROR(AVERAGEIFS($J$32:$J$212,$D$32:$D$212,$C11),"n/a")</f>
        <v/>
      </c>
      <c r="L11" s="75">
        <f>SUMIFS($J$32:$J$212,$D$32:$D$212,$C11)</f>
        <v/>
      </c>
      <c r="M11" s="75">
        <f>SUMIFS($J$32:$J$212,$D$32:$D$212,$C11,$C$32:$C$212,"Occ")+SUMIFS($J$32:$J$212,$D$32:$D$212,$C11,$C$32:$C$212,"Admin")+SUMIFS($J$32:$J$212,$D$32:$D$212,$C11,$C$32:$C$212,"Down")+SUMIFS($J$32:$J$212,$D$32:$D$212,$C11,$C$32:$C$212,"Super")+SUMIFS($J$32:$J$212,$D$32:$D$212,$C11,$C$32:$C$212,"Model")</f>
        <v/>
      </c>
      <c r="N11" s="75">
        <f>SUMIFS($J$32:$J$212,$D$32:$D$212,$C11,$C$32:$C$212,"Vac")</f>
        <v/>
      </c>
      <c r="O11" s="75">
        <f>SUMIFS($L$32:$L$212,$D$32:$D$212,$C11)</f>
        <v/>
      </c>
      <c r="P11" s="75">
        <f>SUMIFS($M$32:$M$212,$D$32:$D$212,$C11)</f>
        <v/>
      </c>
      <c r="Q11" s="75">
        <f>SUMIFS($R$32:$R$212,$D$32:$D$212,$C11)</f>
        <v/>
      </c>
      <c r="R11" s="75">
        <f>SUMIFS($S$32:$S$212,$D$32:$D$212,$C11)</f>
        <v/>
      </c>
      <c r="S11" s="75">
        <f>SUMIFS($T$32:$T$212,$D$32:$D$212,$C11)</f>
        <v/>
      </c>
    </row>
    <row r="12">
      <c r="C12" s="71" t="inlineStr">
        <is>
          <t>Executive Home</t>
        </is>
      </c>
      <c r="D12" s="72" t="inlineStr">
        <is>
          <t>stc_eh</t>
        </is>
      </c>
      <c r="E12" s="73" t="n"/>
      <c r="F12" s="74" t="n"/>
      <c r="G12" s="73" t="inlineStr">
        <is>
          <t>No</t>
        </is>
      </c>
      <c r="H12" s="75">
        <f>COUNTIFS($D$32:$D$212,$C12)</f>
        <v/>
      </c>
      <c r="I12" s="75">
        <f>COUNTIFS($D$32:$D$212,$C12,$C$32:$C$212,"Occ")+COUNTIFS($D$32:$D$212,$C12,$C$32:$C$212,"Admin")+COUNTIFS($D$32:$D$212,$C12,$C$32:$C$212,"Down")+COUNTIFS($D$32:$D$212,$C12,$C$32:$C$212,"Super")+COUNTIFS($D$32:$D$212,$C12,$C$32:$C$212,"Model")</f>
        <v/>
      </c>
      <c r="J12" s="75">
        <f>COUNTIFS($D$32:$D$212,$C12,$C$32:$C$212,"Vac")</f>
        <v/>
      </c>
      <c r="K12" s="75">
        <f>IFERROR(AVERAGEIFS($J$32:$J$212,$D$32:$D$212,$C12),"n/a")</f>
        <v/>
      </c>
      <c r="L12" s="75">
        <f>SUMIFS($J$32:$J$212,$D$32:$D$212,$C12)</f>
        <v/>
      </c>
      <c r="M12" s="75">
        <f>SUMIFS($J$32:$J$212,$D$32:$D$212,$C12,$C$32:$C$212,"Occ")+SUMIFS($J$32:$J$212,$D$32:$D$212,$C12,$C$32:$C$212,"Admin")+SUMIFS($J$32:$J$212,$D$32:$D$212,$C12,$C$32:$C$212,"Down")+SUMIFS($J$32:$J$212,$D$32:$D$212,$C12,$C$32:$C$212,"Super")+SUMIFS($J$32:$J$212,$D$32:$D$212,$C12,$C$32:$C$212,"Model")</f>
        <v/>
      </c>
      <c r="N12" s="75">
        <f>SUMIFS($J$32:$J$212,$D$32:$D$212,$C12,$C$32:$C$212,"Vac")</f>
        <v/>
      </c>
      <c r="O12" s="75">
        <f>SUMIFS($L$32:$L$212,$D$32:$D$212,$C12)</f>
        <v/>
      </c>
      <c r="P12" s="75">
        <f>SUMIFS($M$32:$M$212,$D$32:$D$212,$C12)</f>
        <v/>
      </c>
      <c r="Q12" s="75">
        <f>SUMIFS($R$32:$R$212,$D$32:$D$212,$C12)</f>
        <v/>
      </c>
      <c r="R12" s="75">
        <f>SUMIFS($S$32:$S$212,$D$32:$D$212,$C12)</f>
        <v/>
      </c>
      <c r="S12" s="75">
        <f>SUMIFS($T$32:$T$212,$D$32:$D$212,$C12)</f>
        <v/>
      </c>
    </row>
    <row r="13">
      <c r="C13" s="68" t="inlineStr">
        <is>
          <t>Totals</t>
        </is>
      </c>
      <c r="H13" s="76">
        <f>SUM(H5:H12)</f>
        <v/>
      </c>
      <c r="I13" s="76">
        <f>SUM(I5:I12)</f>
        <v/>
      </c>
      <c r="J13" s="76">
        <f>SUM(J5:J12)</f>
        <v/>
      </c>
      <c r="L13" s="76">
        <f>SUM(L5:L12)</f>
        <v/>
      </c>
      <c r="M13" s="76">
        <f>SUM(M5:M12)</f>
        <v/>
      </c>
      <c r="N13" s="76">
        <f>SUM(N5:N12)</f>
        <v/>
      </c>
      <c r="O13" s="76">
        <f>SUM(O5:O12)</f>
        <v/>
      </c>
      <c r="P13" s="76">
        <f>SUM(P5:P12)</f>
        <v/>
      </c>
      <c r="Q13" s="76">
        <f>SUM(Q5:Q12)</f>
        <v/>
      </c>
      <c r="R13" s="76">
        <f>SUM(R5:R12)</f>
        <v/>
      </c>
      <c r="S13" s="76">
        <f>SUM(S5:S12)</f>
        <v/>
      </c>
    </row>
    <row r="14">
      <c r="C14" s="68" t="inlineStr">
        <is>
          <t>%</t>
        </is>
      </c>
      <c r="I14" s="77">
        <f>I13/$H$13</f>
        <v/>
      </c>
      <c r="J14" s="77">
        <f>J13/$H$13</f>
        <v/>
      </c>
      <c r="M14" s="77">
        <f>IFERROR(M13/$L$13,"n/a")</f>
        <v/>
      </c>
      <c r="N14" s="77">
        <f>IFERROR(N13/$L$13,"n/a")</f>
        <v/>
      </c>
    </row>
    <row r="18">
      <c r="C18" s="78" t="inlineStr">
        <is>
          <t>Notes:</t>
        </is>
      </c>
    </row>
    <row r="19">
      <c r="C19" s="78" t="inlineStr">
        <is>
          <t>1. Vacant units market rent is the per-unit market/asking rent from the source.</t>
        </is>
      </c>
    </row>
    <row r="20">
      <c r="C20" s="78" t="inlineStr">
        <is>
          <t>2. BD/BA count is from the Unit Type mapping above (edit the yellow cells to adjust).</t>
        </is>
      </c>
    </row>
    <row r="21">
      <c r="C21" s="78" t="inlineStr">
        <is>
          <t>3. Model units carry market rent as a placeholder; excluded from revenue.</t>
        </is>
      </c>
    </row>
    <row r="25">
      <c r="C25" s="78" t="inlineStr">
        <is>
          <t>Property Name</t>
        </is>
      </c>
      <c r="D25" s="78" t="inlineStr">
        <is>
          <t>Saddlebrook at Tates Creek</t>
        </is>
      </c>
    </row>
    <row r="26">
      <c r="C26" s="78" t="inlineStr">
        <is>
          <t>Rent Roll Date</t>
        </is>
      </c>
      <c r="D26" s="79" t="n">
        <v>46208</v>
      </c>
    </row>
    <row r="30">
      <c r="Y30" s="67" t="inlineStr">
        <is>
          <t>Rent</t>
        </is>
      </c>
      <c r="AB30" s="67" t="inlineStr">
        <is>
          <t>Other Income</t>
        </is>
      </c>
      <c r="AI30" s="67" t="inlineStr">
        <is>
          <t>Concessions</t>
        </is>
      </c>
      <c r="AK30" s="67" t="inlineStr">
        <is>
          <t>Employee Discounts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Pet Rent</t>
        </is>
      </c>
      <c r="AC31" s="67" t="inlineStr">
        <is>
          <t>Pest</t>
        </is>
      </c>
      <c r="AD31" s="67" t="inlineStr">
        <is>
          <t>Tech Fee</t>
        </is>
      </c>
      <c r="AE31" s="67" t="inlineStr">
        <is>
          <t>Insurance</t>
        </is>
      </c>
      <c r="AF31" s="67" t="inlineStr">
        <is>
          <t>Garage</t>
        </is>
      </c>
      <c r="AG31" s="67" t="inlineStr">
        <is>
          <t>Liability</t>
        </is>
      </c>
      <c r="AI31" s="67" t="inlineStr">
        <is>
          <t>Concession</t>
        </is>
      </c>
      <c r="AK31" s="67" t="inlineStr">
        <is>
          <t>Employee Discount</t>
        </is>
      </c>
    </row>
    <row r="32">
      <c r="A32" s="72">
        <f>$D$25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INDEX($C$5:$C$12,MATCH(I32,$D$5:$D$12,0))</f>
        <v/>
      </c>
      <c r="E32" s="72">
        <f>INDEX($E$5:$E$12,MATCH(D32,$C$5:$C$12,0))</f>
        <v/>
      </c>
      <c r="F32" s="72">
        <f>INDEX($F$5:$F$12,MATCH(D32,$C$5:$C$12,0))</f>
        <v/>
      </c>
      <c r="G32" s="72">
        <f>INDEX($G$5:$G$12,MATCH(D32,$C$5:$C$12,0))</f>
        <v/>
      </c>
      <c r="H32" s="72" t="inlineStr">
        <is>
          <t>001</t>
        </is>
      </c>
      <c r="I32" s="72" t="inlineStr">
        <is>
          <t>stc_a1</t>
        </is>
      </c>
      <c r="J32" s="80" t="n">
        <v>731</v>
      </c>
      <c r="K32" s="72" t="inlineStr">
        <is>
          <t>Andrea Ringlein</t>
        </is>
      </c>
      <c r="L32" s="81" t="n">
        <v>1264</v>
      </c>
      <c r="M32" s="81">
        <f>Y32</f>
        <v/>
      </c>
      <c r="N32" s="82" t="n">
        <v>45938</v>
      </c>
      <c r="O32" s="82" t="n">
        <v>45938</v>
      </c>
      <c r="P32" s="82" t="n">
        <v>46302</v>
      </c>
      <c r="R32" s="81">
        <f>SUM(AB32:AG32)</f>
        <v/>
      </c>
      <c r="S32" s="81">
        <f>AI32</f>
        <v/>
      </c>
      <c r="T32" s="81">
        <f>AK32</f>
        <v/>
      </c>
      <c r="Y32" s="81" t="n">
        <v>1198</v>
      </c>
      <c r="AC32" s="81" t="n">
        <v>5</v>
      </c>
      <c r="AD32" s="81" t="n">
        <v>14</v>
      </c>
      <c r="AE32" s="81" t="n">
        <v>12</v>
      </c>
    </row>
    <row r="33">
      <c r="A33" s="72">
        <f>$D$25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INDEX($C$5:$C$12,MATCH(I33,$D$5:$D$12,0))</f>
        <v/>
      </c>
      <c r="E33" s="72">
        <f>INDEX($E$5:$E$12,MATCH(D33,$C$5:$C$12,0))</f>
        <v/>
      </c>
      <c r="F33" s="72">
        <f>INDEX($F$5:$F$12,MATCH(D33,$C$5:$C$12,0))</f>
        <v/>
      </c>
      <c r="G33" s="72">
        <f>INDEX($G$5:$G$12,MATCH(D33,$C$5:$C$12,0))</f>
        <v/>
      </c>
      <c r="H33" s="72" t="inlineStr">
        <is>
          <t>002</t>
        </is>
      </c>
      <c r="I33" s="72" t="inlineStr">
        <is>
          <t>stc_a3</t>
        </is>
      </c>
      <c r="J33" s="80" t="n">
        <v>987</v>
      </c>
      <c r="K33" s="72" t="inlineStr">
        <is>
          <t>Hira Arshad</t>
        </is>
      </c>
      <c r="L33" s="81" t="n">
        <v>1319</v>
      </c>
      <c r="M33" s="81">
        <f>Y33</f>
        <v/>
      </c>
      <c r="N33" s="82" t="n">
        <v>44695</v>
      </c>
      <c r="O33" s="82" t="n">
        <v>44695</v>
      </c>
      <c r="P33" s="82" t="n">
        <v>46216</v>
      </c>
      <c r="R33" s="81">
        <f>SUM(AB33:AG33)</f>
        <v/>
      </c>
      <c r="S33" s="81">
        <f>AI33</f>
        <v/>
      </c>
      <c r="T33" s="81">
        <f>AK33</f>
        <v/>
      </c>
      <c r="Y33" s="81" t="n">
        <v>1269</v>
      </c>
      <c r="AC33" s="81" t="n">
        <v>5</v>
      </c>
      <c r="AD33" s="81" t="n">
        <v>14</v>
      </c>
      <c r="AE33" s="81" t="n">
        <v>12</v>
      </c>
    </row>
    <row r="34">
      <c r="A34" s="72">
        <f>$D$25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INDEX($C$5:$C$12,MATCH(I34,$D$5:$D$12,0))</f>
        <v/>
      </c>
      <c r="E34" s="72">
        <f>INDEX($E$5:$E$12,MATCH(D34,$C$5:$C$12,0))</f>
        <v/>
      </c>
      <c r="F34" s="72">
        <f>INDEX($F$5:$F$12,MATCH(D34,$C$5:$C$12,0))</f>
        <v/>
      </c>
      <c r="G34" s="72">
        <f>INDEX($G$5:$G$12,MATCH(D34,$C$5:$C$12,0))</f>
        <v/>
      </c>
      <c r="H34" s="72" t="inlineStr">
        <is>
          <t>003</t>
        </is>
      </c>
      <c r="I34" s="72" t="inlineStr">
        <is>
          <t>stc_a1</t>
        </is>
      </c>
      <c r="J34" s="80" t="n">
        <v>731</v>
      </c>
      <c r="K34" s="72" t="inlineStr">
        <is>
          <t>Edmund Dye</t>
        </is>
      </c>
      <c r="L34" s="81" t="n">
        <v>1264</v>
      </c>
      <c r="M34" s="81">
        <f>Y34</f>
        <v/>
      </c>
      <c r="N34" s="82" t="n">
        <v>45764</v>
      </c>
      <c r="O34" s="82" t="n">
        <v>45764</v>
      </c>
      <c r="P34" s="82" t="n">
        <v>46219</v>
      </c>
      <c r="R34" s="81">
        <f>SUM(AB34:AG34)</f>
        <v/>
      </c>
      <c r="S34" s="81">
        <f>AI34</f>
        <v/>
      </c>
      <c r="T34" s="81">
        <f>AK34</f>
        <v/>
      </c>
      <c r="Y34" s="81" t="n">
        <v>1052</v>
      </c>
      <c r="AC34" s="81" t="n">
        <v>5</v>
      </c>
      <c r="AD34" s="81" t="n">
        <v>12</v>
      </c>
      <c r="AE34" s="81" t="n">
        <v>12</v>
      </c>
      <c r="AF34" s="81" t="n">
        <v>25</v>
      </c>
    </row>
    <row r="35">
      <c r="A35" s="72">
        <f>$D$25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INDEX($C$5:$C$12,MATCH(I35,$D$5:$D$12,0))</f>
        <v/>
      </c>
      <c r="E35" s="72">
        <f>INDEX($E$5:$E$12,MATCH(D35,$C$5:$C$12,0))</f>
        <v/>
      </c>
      <c r="F35" s="72">
        <f>INDEX($F$5:$F$12,MATCH(D35,$C$5:$C$12,0))</f>
        <v/>
      </c>
      <c r="G35" s="72">
        <f>INDEX($G$5:$G$12,MATCH(D35,$C$5:$C$12,0))</f>
        <v/>
      </c>
      <c r="H35" s="72" t="inlineStr">
        <is>
          <t>004</t>
        </is>
      </c>
      <c r="I35" s="72" t="inlineStr">
        <is>
          <t>stc_a3</t>
        </is>
      </c>
      <c r="J35" s="80" t="n">
        <v>987</v>
      </c>
      <c r="K35" s="72" t="inlineStr">
        <is>
          <t>Pamla West-French</t>
        </is>
      </c>
      <c r="L35" s="81" t="n">
        <v>1194</v>
      </c>
      <c r="M35" s="81">
        <f>Y35</f>
        <v/>
      </c>
      <c r="N35" s="82" t="n">
        <v>43244</v>
      </c>
      <c r="O35" s="82" t="n">
        <v>43244</v>
      </c>
      <c r="P35" s="82" t="n">
        <v>46469</v>
      </c>
      <c r="R35" s="81">
        <f>SUM(AB35:AG35)</f>
        <v/>
      </c>
      <c r="S35" s="81">
        <f>AI35</f>
        <v/>
      </c>
      <c r="T35" s="81">
        <f>AK35</f>
        <v/>
      </c>
      <c r="Y35" s="81" t="n">
        <v>1195</v>
      </c>
      <c r="AC35" s="81" t="n">
        <v>5</v>
      </c>
      <c r="AD35" s="81" t="n">
        <v>14</v>
      </c>
      <c r="AE35" s="81" t="n">
        <v>12</v>
      </c>
    </row>
    <row r="36">
      <c r="A36" s="72">
        <f>$D$25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INDEX($C$5:$C$12,MATCH(I36,$D$5:$D$12,0))</f>
        <v/>
      </c>
      <c r="E36" s="72">
        <f>INDEX($E$5:$E$12,MATCH(D36,$C$5:$C$12,0))</f>
        <v/>
      </c>
      <c r="F36" s="72">
        <f>INDEX($F$5:$F$12,MATCH(D36,$C$5:$C$12,0))</f>
        <v/>
      </c>
      <c r="G36" s="72">
        <f>INDEX($G$5:$G$12,MATCH(D36,$C$5:$C$12,0))</f>
        <v/>
      </c>
      <c r="H36" s="72" t="inlineStr">
        <is>
          <t>005</t>
        </is>
      </c>
      <c r="I36" s="72" t="inlineStr">
        <is>
          <t>stc_a1</t>
        </is>
      </c>
      <c r="J36" s="80" t="n">
        <v>731</v>
      </c>
      <c r="K36" s="72" t="inlineStr">
        <is>
          <t>Wells Ipema</t>
        </is>
      </c>
      <c r="L36" s="81" t="n">
        <v>1264</v>
      </c>
      <c r="M36" s="81">
        <f>Y36</f>
        <v/>
      </c>
      <c r="N36" s="82" t="n">
        <v>45778</v>
      </c>
      <c r="O36" s="82" t="n">
        <v>45778</v>
      </c>
      <c r="P36" s="82" t="n">
        <v>46234</v>
      </c>
      <c r="Q36" s="82" t="n">
        <v>46234</v>
      </c>
      <c r="R36" s="81">
        <f>SUM(AB36:AG36)</f>
        <v/>
      </c>
      <c r="S36" s="81">
        <f>AI36</f>
        <v/>
      </c>
      <c r="T36" s="81">
        <f>AK36</f>
        <v/>
      </c>
      <c r="Y36" s="81" t="n">
        <v>999</v>
      </c>
      <c r="AC36" s="81" t="n">
        <v>5</v>
      </c>
      <c r="AD36" s="81" t="n">
        <v>12</v>
      </c>
      <c r="AE36" s="81" t="n">
        <v>12</v>
      </c>
    </row>
    <row r="37">
      <c r="A37" s="83">
        <f>$D$25</f>
        <v/>
      </c>
      <c r="B37" s="83">
        <f>B36+1</f>
        <v/>
      </c>
      <c r="C37" s="83">
        <f>IF(K37="Vacant","Vac",IF(K37="Model","Model",IF(K37="Admin","Admin",IF(K37="Down","Down",IF(K37="Super","Super","Occ")))))</f>
        <v/>
      </c>
      <c r="D37" s="83">
        <f>INDEX($C$5:$C$12,MATCH(I37,$D$5:$D$12,0))</f>
        <v/>
      </c>
      <c r="E37" s="83">
        <f>INDEX($E$5:$E$12,MATCH(D37,$C$5:$C$12,0))</f>
        <v/>
      </c>
      <c r="F37" s="83">
        <f>INDEX($F$5:$F$12,MATCH(D37,$C$5:$C$12,0))</f>
        <v/>
      </c>
      <c r="G37" s="83">
        <f>INDEX($G$5:$G$12,MATCH(D37,$C$5:$C$12,0))</f>
        <v/>
      </c>
      <c r="H37" s="83" t="inlineStr">
        <is>
          <t>006</t>
        </is>
      </c>
      <c r="I37" s="83" t="inlineStr">
        <is>
          <t>stc_a3</t>
        </is>
      </c>
      <c r="J37" s="84" t="n">
        <v>987</v>
      </c>
      <c r="K37" s="83" t="inlineStr">
        <is>
          <t>Vacant</t>
        </is>
      </c>
      <c r="L37" s="85" t="n">
        <v>1455</v>
      </c>
      <c r="M37" s="85">
        <f>Y37</f>
        <v/>
      </c>
      <c r="N37" s="86" t="n"/>
      <c r="O37" s="86" t="n"/>
      <c r="P37" s="86" t="n"/>
      <c r="Q37" s="86" t="n"/>
      <c r="R37" s="85">
        <f>SUM(AB37:AG37)</f>
        <v/>
      </c>
      <c r="S37" s="85">
        <f>AI37</f>
        <v/>
      </c>
      <c r="T37" s="85">
        <f>AK37</f>
        <v/>
      </c>
      <c r="U37" s="86" t="n"/>
      <c r="V37" s="86" t="n"/>
      <c r="W37" s="86" t="n"/>
      <c r="X37" s="86" t="n"/>
      <c r="Y37" s="85" t="n">
        <v>0</v>
      </c>
      <c r="Z37" s="86" t="n"/>
      <c r="AA37" s="86" t="n"/>
      <c r="AB37" s="86" t="n"/>
      <c r="AC37" s="86" t="n"/>
      <c r="AD37" s="86" t="n"/>
      <c r="AE37" s="86" t="n"/>
      <c r="AF37" s="86" t="n"/>
      <c r="AG37" s="86" t="n"/>
      <c r="AH37" s="86" t="n"/>
      <c r="AI37" s="86" t="n"/>
      <c r="AJ37" s="86" t="n"/>
      <c r="AK37" s="86" t="n"/>
    </row>
    <row r="38">
      <c r="A38" s="72">
        <f>$D$25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INDEX($C$5:$C$12,MATCH(I38,$D$5:$D$12,0))</f>
        <v/>
      </c>
      <c r="E38" s="72">
        <f>INDEX($E$5:$E$12,MATCH(D38,$C$5:$C$12,0))</f>
        <v/>
      </c>
      <c r="F38" s="72">
        <f>INDEX($F$5:$F$12,MATCH(D38,$C$5:$C$12,0))</f>
        <v/>
      </c>
      <c r="G38" s="72">
        <f>INDEX($G$5:$G$12,MATCH(D38,$C$5:$C$12,0))</f>
        <v/>
      </c>
      <c r="H38" s="72" t="inlineStr">
        <is>
          <t>007</t>
        </is>
      </c>
      <c r="I38" s="72" t="inlineStr">
        <is>
          <t>stc_a2</t>
        </is>
      </c>
      <c r="J38" s="80" t="n">
        <v>768</v>
      </c>
      <c r="K38" s="72" t="inlineStr">
        <is>
          <t>Colin Nelson</t>
        </is>
      </c>
      <c r="L38" s="81" t="n">
        <v>1270</v>
      </c>
      <c r="M38" s="81">
        <f>Y38</f>
        <v/>
      </c>
      <c r="N38" s="82" t="n">
        <v>45820</v>
      </c>
      <c r="O38" s="82" t="n">
        <v>45820</v>
      </c>
      <c r="P38" s="82" t="n">
        <v>46245</v>
      </c>
      <c r="R38" s="81">
        <f>SUM(AB38:AG38)</f>
        <v/>
      </c>
      <c r="S38" s="81">
        <f>AI38</f>
        <v/>
      </c>
      <c r="T38" s="81">
        <f>AK38</f>
        <v/>
      </c>
      <c r="Y38" s="81" t="n">
        <v>1173</v>
      </c>
      <c r="AC38" s="81" t="n">
        <v>5</v>
      </c>
      <c r="AD38" s="81" t="n">
        <v>14</v>
      </c>
      <c r="AE38" s="81" t="n">
        <v>12</v>
      </c>
    </row>
    <row r="39">
      <c r="A39" s="83">
        <f>$D$25</f>
        <v/>
      </c>
      <c r="B39" s="83">
        <f>B38+1</f>
        <v/>
      </c>
      <c r="C39" s="83">
        <f>IF(K39="Vacant","Vac",IF(K39="Model","Model",IF(K39="Admin","Admin",IF(K39="Down","Down",IF(K39="Super","Super","Occ")))))</f>
        <v/>
      </c>
      <c r="D39" s="83">
        <f>INDEX($C$5:$C$12,MATCH(I39,$D$5:$D$12,0))</f>
        <v/>
      </c>
      <c r="E39" s="83">
        <f>INDEX($E$5:$E$12,MATCH(D39,$C$5:$C$12,0))</f>
        <v/>
      </c>
      <c r="F39" s="83">
        <f>INDEX($F$5:$F$12,MATCH(D39,$C$5:$C$12,0))</f>
        <v/>
      </c>
      <c r="G39" s="83">
        <f>INDEX($G$5:$G$12,MATCH(D39,$C$5:$C$12,0))</f>
        <v/>
      </c>
      <c r="H39" s="83" t="inlineStr">
        <is>
          <t>008</t>
        </is>
      </c>
      <c r="I39" s="83" t="inlineStr">
        <is>
          <t>stc_b2</t>
        </is>
      </c>
      <c r="J39" s="84" t="n">
        <v>1214</v>
      </c>
      <c r="K39" s="83" t="inlineStr">
        <is>
          <t>Vacant</t>
        </is>
      </c>
      <c r="L39" s="85" t="n">
        <v>1541</v>
      </c>
      <c r="M39" s="85">
        <f>Y39</f>
        <v/>
      </c>
      <c r="N39" s="86" t="n"/>
      <c r="O39" s="86" t="n"/>
      <c r="P39" s="86" t="n"/>
      <c r="Q39" s="86" t="n"/>
      <c r="R39" s="85">
        <f>SUM(AB39:AG39)</f>
        <v/>
      </c>
      <c r="S39" s="85">
        <f>AI39</f>
        <v/>
      </c>
      <c r="T39" s="85">
        <f>AK39</f>
        <v/>
      </c>
      <c r="U39" s="86" t="n"/>
      <c r="V39" s="86" t="n"/>
      <c r="W39" s="86" t="n"/>
      <c r="X39" s="86" t="n"/>
      <c r="Y39" s="85" t="n">
        <v>0</v>
      </c>
      <c r="Z39" s="86" t="n"/>
      <c r="AA39" s="86" t="n"/>
      <c r="AB39" s="86" t="n"/>
      <c r="AC39" s="86" t="n"/>
      <c r="AD39" s="86" t="n"/>
      <c r="AE39" s="86" t="n"/>
      <c r="AF39" s="86" t="n"/>
      <c r="AG39" s="86" t="n"/>
      <c r="AH39" s="86" t="n"/>
      <c r="AI39" s="86" t="n"/>
      <c r="AJ39" s="86" t="n"/>
      <c r="AK39" s="86" t="n"/>
    </row>
    <row r="40">
      <c r="A40" s="72">
        <f>$D$25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INDEX($C$5:$C$12,MATCH(I40,$D$5:$D$12,0))</f>
        <v/>
      </c>
      <c r="E40" s="72">
        <f>INDEX($E$5:$E$12,MATCH(D40,$C$5:$C$12,0))</f>
        <v/>
      </c>
      <c r="F40" s="72">
        <f>INDEX($F$5:$F$12,MATCH(D40,$C$5:$C$12,0))</f>
        <v/>
      </c>
      <c r="G40" s="72">
        <f>INDEX($G$5:$G$12,MATCH(D40,$C$5:$C$12,0))</f>
        <v/>
      </c>
      <c r="H40" s="72" t="inlineStr">
        <is>
          <t>009</t>
        </is>
      </c>
      <c r="I40" s="72" t="inlineStr">
        <is>
          <t>stc_a1</t>
        </is>
      </c>
      <c r="J40" s="80" t="n">
        <v>731</v>
      </c>
      <c r="K40" s="72" t="inlineStr">
        <is>
          <t>Madalyn Sutton</t>
        </is>
      </c>
      <c r="L40" s="81" t="n">
        <v>1264</v>
      </c>
      <c r="M40" s="81">
        <f>Y40</f>
        <v/>
      </c>
      <c r="N40" s="82" t="n">
        <v>45046</v>
      </c>
      <c r="O40" s="82" t="n">
        <v>45046</v>
      </c>
      <c r="P40" s="82" t="n">
        <v>46294</v>
      </c>
      <c r="Q40" s="82" t="n">
        <v>46294</v>
      </c>
      <c r="R40" s="81">
        <f>SUM(AB40:AG40)</f>
        <v/>
      </c>
      <c r="S40" s="81">
        <f>AI40</f>
        <v/>
      </c>
      <c r="T40" s="81">
        <f>AK40</f>
        <v/>
      </c>
      <c r="Y40" s="81" t="n">
        <v>1194</v>
      </c>
      <c r="AC40" s="81" t="n">
        <v>5</v>
      </c>
      <c r="AD40" s="81" t="n">
        <v>14</v>
      </c>
      <c r="AE40" s="81" t="n">
        <v>12</v>
      </c>
      <c r="AF40" s="81" t="n">
        <v>40</v>
      </c>
    </row>
    <row r="41">
      <c r="A41" s="72">
        <f>$D$25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INDEX($C$5:$C$12,MATCH(I41,$D$5:$D$12,0))</f>
        <v/>
      </c>
      <c r="E41" s="72">
        <f>INDEX($E$5:$E$12,MATCH(D41,$C$5:$C$12,0))</f>
        <v/>
      </c>
      <c r="F41" s="72">
        <f>INDEX($F$5:$F$12,MATCH(D41,$C$5:$C$12,0))</f>
        <v/>
      </c>
      <c r="G41" s="72">
        <f>INDEX($G$5:$G$12,MATCH(D41,$C$5:$C$12,0))</f>
        <v/>
      </c>
      <c r="H41" s="72" t="inlineStr">
        <is>
          <t>010</t>
        </is>
      </c>
      <c r="I41" s="72" t="inlineStr">
        <is>
          <t>stc_a3</t>
        </is>
      </c>
      <c r="J41" s="80" t="n">
        <v>987</v>
      </c>
      <c r="K41" s="72" t="inlineStr">
        <is>
          <t>Kevin Hagerman</t>
        </is>
      </c>
      <c r="L41" s="81" t="n">
        <v>1319</v>
      </c>
      <c r="M41" s="81">
        <f>Y41</f>
        <v/>
      </c>
      <c r="N41" s="82" t="n">
        <v>45796</v>
      </c>
      <c r="O41" s="82" t="n">
        <v>45796</v>
      </c>
      <c r="P41" s="82" t="n">
        <v>46191</v>
      </c>
      <c r="Q41" s="82" t="n">
        <v>46218</v>
      </c>
      <c r="R41" s="81">
        <f>SUM(AB41:AG41)</f>
        <v/>
      </c>
      <c r="S41" s="81">
        <f>AI41</f>
        <v/>
      </c>
      <c r="T41" s="81">
        <f>AK41</f>
        <v/>
      </c>
      <c r="Y41" s="81" t="n">
        <v>1450</v>
      </c>
      <c r="AB41" s="81" t="n">
        <v>60</v>
      </c>
      <c r="AC41" s="81" t="n">
        <v>5</v>
      </c>
      <c r="AD41" s="81" t="n">
        <v>12</v>
      </c>
      <c r="AE41" s="81" t="n">
        <v>12</v>
      </c>
      <c r="AF41" s="81" t="n">
        <v>40</v>
      </c>
      <c r="AK41" s="81" t="n">
        <v>-725</v>
      </c>
    </row>
    <row r="42">
      <c r="A42" s="72">
        <f>$D$25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INDEX($C$5:$C$12,MATCH(I42,$D$5:$D$12,0))</f>
        <v/>
      </c>
      <c r="E42" s="72">
        <f>INDEX($E$5:$E$12,MATCH(D42,$C$5:$C$12,0))</f>
        <v/>
      </c>
      <c r="F42" s="72">
        <f>INDEX($F$5:$F$12,MATCH(D42,$C$5:$C$12,0))</f>
        <v/>
      </c>
      <c r="G42" s="72">
        <f>INDEX($G$5:$G$12,MATCH(D42,$C$5:$C$12,0))</f>
        <v/>
      </c>
      <c r="H42" s="72" t="inlineStr">
        <is>
          <t>011</t>
        </is>
      </c>
      <c r="I42" s="72" t="inlineStr">
        <is>
          <t>stc_a1</t>
        </is>
      </c>
      <c r="J42" s="80" t="n">
        <v>731</v>
      </c>
      <c r="K42" s="72" t="inlineStr">
        <is>
          <t>Sydney Sloan</t>
        </is>
      </c>
      <c r="L42" s="81" t="n">
        <v>1264</v>
      </c>
      <c r="M42" s="81">
        <f>Y42</f>
        <v/>
      </c>
      <c r="N42" s="82" t="n">
        <v>45801</v>
      </c>
      <c r="O42" s="82" t="n">
        <v>45801</v>
      </c>
      <c r="P42" s="82" t="n">
        <v>46257</v>
      </c>
      <c r="R42" s="81">
        <f>SUM(AB42:AG42)</f>
        <v/>
      </c>
      <c r="S42" s="81">
        <f>AI42</f>
        <v/>
      </c>
      <c r="T42" s="81">
        <f>AK42</f>
        <v/>
      </c>
      <c r="Y42" s="81" t="n">
        <v>999</v>
      </c>
      <c r="AC42" s="81" t="n">
        <v>5</v>
      </c>
      <c r="AD42" s="81" t="n">
        <v>14</v>
      </c>
      <c r="AE42" s="81" t="n">
        <v>12</v>
      </c>
      <c r="AF42" s="81" t="n">
        <v>40</v>
      </c>
    </row>
    <row r="43">
      <c r="A43" s="72">
        <f>$D$25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INDEX($C$5:$C$12,MATCH(I43,$D$5:$D$12,0))</f>
        <v/>
      </c>
      <c r="E43" s="72">
        <f>INDEX($E$5:$E$12,MATCH(D43,$C$5:$C$12,0))</f>
        <v/>
      </c>
      <c r="F43" s="72">
        <f>INDEX($F$5:$F$12,MATCH(D43,$C$5:$C$12,0))</f>
        <v/>
      </c>
      <c r="G43" s="72">
        <f>INDEX($G$5:$G$12,MATCH(D43,$C$5:$C$12,0))</f>
        <v/>
      </c>
      <c r="H43" s="72" t="inlineStr">
        <is>
          <t>012</t>
        </is>
      </c>
      <c r="I43" s="72" t="inlineStr">
        <is>
          <t>stc_a3</t>
        </is>
      </c>
      <c r="J43" s="80" t="n">
        <v>987</v>
      </c>
      <c r="K43" s="72" t="inlineStr">
        <is>
          <t>David Smith</t>
        </is>
      </c>
      <c r="L43" s="81" t="n">
        <v>1194</v>
      </c>
      <c r="M43" s="81">
        <f>Y43</f>
        <v/>
      </c>
      <c r="N43" s="82" t="n">
        <v>42902</v>
      </c>
      <c r="O43" s="82" t="n">
        <v>42902</v>
      </c>
      <c r="P43" s="82" t="n">
        <v>46341</v>
      </c>
      <c r="R43" s="81">
        <f>SUM(AB43:AG43)</f>
        <v/>
      </c>
      <c r="S43" s="81">
        <f>AI43</f>
        <v/>
      </c>
      <c r="T43" s="81">
        <f>AK43</f>
        <v/>
      </c>
      <c r="Y43" s="81" t="n">
        <v>1235</v>
      </c>
      <c r="AC43" s="81" t="n">
        <v>5</v>
      </c>
      <c r="AD43" s="81" t="n">
        <v>14</v>
      </c>
      <c r="AE43" s="81" t="n">
        <v>12</v>
      </c>
      <c r="AF43" s="81" t="n">
        <v>80</v>
      </c>
    </row>
    <row r="44">
      <c r="A44" s="72">
        <f>$D$25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INDEX($C$5:$C$12,MATCH(I44,$D$5:$D$12,0))</f>
        <v/>
      </c>
      <c r="E44" s="72">
        <f>INDEX($E$5:$E$12,MATCH(D44,$C$5:$C$12,0))</f>
        <v/>
      </c>
      <c r="F44" s="72">
        <f>INDEX($F$5:$F$12,MATCH(D44,$C$5:$C$12,0))</f>
        <v/>
      </c>
      <c r="G44" s="72">
        <f>INDEX($G$5:$G$12,MATCH(D44,$C$5:$C$12,0))</f>
        <v/>
      </c>
      <c r="H44" s="72" t="inlineStr">
        <is>
          <t>013</t>
        </is>
      </c>
      <c r="I44" s="72" t="inlineStr">
        <is>
          <t>stc_a2</t>
        </is>
      </c>
      <c r="J44" s="80" t="n">
        <v>768</v>
      </c>
      <c r="K44" s="72" t="inlineStr">
        <is>
          <t>Timothy McCarthy</t>
        </is>
      </c>
      <c r="L44" s="81" t="n">
        <v>1145</v>
      </c>
      <c r="M44" s="81">
        <f>Y44</f>
        <v/>
      </c>
      <c r="N44" s="82" t="n">
        <v>42968</v>
      </c>
      <c r="O44" s="82" t="n">
        <v>42968</v>
      </c>
      <c r="P44" s="82" t="n">
        <v>46346</v>
      </c>
      <c r="R44" s="81">
        <f>SUM(AB44:AG44)</f>
        <v/>
      </c>
      <c r="S44" s="81">
        <f>AI44</f>
        <v/>
      </c>
      <c r="T44" s="81">
        <f>AK44</f>
        <v/>
      </c>
      <c r="Y44" s="81" t="n">
        <v>1049</v>
      </c>
      <c r="AC44" s="81" t="n">
        <v>5</v>
      </c>
      <c r="AD44" s="81" t="n">
        <v>14</v>
      </c>
      <c r="AE44" s="81" t="n">
        <v>12</v>
      </c>
    </row>
    <row r="45">
      <c r="A45" s="72">
        <f>$D$25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INDEX($C$5:$C$12,MATCH(I45,$D$5:$D$12,0))</f>
        <v/>
      </c>
      <c r="E45" s="72">
        <f>INDEX($E$5:$E$12,MATCH(D45,$C$5:$C$12,0))</f>
        <v/>
      </c>
      <c r="F45" s="72">
        <f>INDEX($F$5:$F$12,MATCH(D45,$C$5:$C$12,0))</f>
        <v/>
      </c>
      <c r="G45" s="72">
        <f>INDEX($G$5:$G$12,MATCH(D45,$C$5:$C$12,0))</f>
        <v/>
      </c>
      <c r="H45" s="72" t="inlineStr">
        <is>
          <t>014</t>
        </is>
      </c>
      <c r="I45" s="72" t="inlineStr">
        <is>
          <t>stc_b2</t>
        </is>
      </c>
      <c r="J45" s="80" t="n">
        <v>1214</v>
      </c>
      <c r="K45" s="72" t="inlineStr">
        <is>
          <t>Jan Hoffelner</t>
        </is>
      </c>
      <c r="L45" s="81" t="n">
        <v>1466</v>
      </c>
      <c r="M45" s="81">
        <f>Y45</f>
        <v/>
      </c>
      <c r="N45" s="82" t="n">
        <v>46006</v>
      </c>
      <c r="O45" s="82" t="n">
        <v>46006</v>
      </c>
      <c r="P45" s="82" t="n">
        <v>46432</v>
      </c>
      <c r="R45" s="81">
        <f>SUM(AB45:AG45)</f>
        <v/>
      </c>
      <c r="S45" s="81">
        <f>AI45</f>
        <v/>
      </c>
      <c r="T45" s="81">
        <f>AK45</f>
        <v/>
      </c>
      <c r="Y45" s="81" t="n">
        <v>1376</v>
      </c>
      <c r="AC45" s="81" t="n">
        <v>5</v>
      </c>
      <c r="AD45" s="81" t="n">
        <v>14</v>
      </c>
      <c r="AE45" s="81" t="n">
        <v>12</v>
      </c>
    </row>
    <row r="46">
      <c r="A46" s="72">
        <f>$D$25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INDEX($C$5:$C$12,MATCH(I46,$D$5:$D$12,0))</f>
        <v/>
      </c>
      <c r="E46" s="72">
        <f>INDEX($E$5:$E$12,MATCH(D46,$C$5:$C$12,0))</f>
        <v/>
      </c>
      <c r="F46" s="72">
        <f>INDEX($F$5:$F$12,MATCH(D46,$C$5:$C$12,0))</f>
        <v/>
      </c>
      <c r="G46" s="72">
        <f>INDEX($G$5:$G$12,MATCH(D46,$C$5:$C$12,0))</f>
        <v/>
      </c>
      <c r="H46" s="72" t="inlineStr">
        <is>
          <t>015</t>
        </is>
      </c>
      <c r="I46" s="72" t="inlineStr">
        <is>
          <t>stc_a1</t>
        </is>
      </c>
      <c r="J46" s="80" t="n">
        <v>731</v>
      </c>
      <c r="K46" s="72" t="inlineStr">
        <is>
          <t>Skylar Scott</t>
        </is>
      </c>
      <c r="L46" s="81" t="n">
        <v>1139</v>
      </c>
      <c r="M46" s="81">
        <f>Y46</f>
        <v/>
      </c>
      <c r="N46" s="82" t="n">
        <v>46127</v>
      </c>
      <c r="O46" s="82" t="n">
        <v>46127</v>
      </c>
      <c r="P46" s="82" t="n">
        <v>46552</v>
      </c>
      <c r="R46" s="81">
        <f>SUM(AB46:AG46)</f>
        <v/>
      </c>
      <c r="S46" s="81">
        <f>AI46</f>
        <v/>
      </c>
      <c r="T46" s="81">
        <f>AK46</f>
        <v/>
      </c>
      <c r="Y46" s="81" t="n">
        <v>1153</v>
      </c>
      <c r="AB46" s="81" t="n">
        <v>35</v>
      </c>
      <c r="AC46" s="81" t="n">
        <v>5</v>
      </c>
      <c r="AD46" s="81" t="n">
        <v>14</v>
      </c>
      <c r="AE46" s="81" t="n">
        <v>13</v>
      </c>
    </row>
    <row r="47">
      <c r="A47" s="72">
        <f>$D$25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INDEX($C$5:$C$12,MATCH(I47,$D$5:$D$12,0))</f>
        <v/>
      </c>
      <c r="E47" s="72">
        <f>INDEX($E$5:$E$12,MATCH(D47,$C$5:$C$12,0))</f>
        <v/>
      </c>
      <c r="F47" s="72">
        <f>INDEX($F$5:$F$12,MATCH(D47,$C$5:$C$12,0))</f>
        <v/>
      </c>
      <c r="G47" s="72">
        <f>INDEX($G$5:$G$12,MATCH(D47,$C$5:$C$12,0))</f>
        <v/>
      </c>
      <c r="H47" s="72" t="inlineStr">
        <is>
          <t>016</t>
        </is>
      </c>
      <c r="I47" s="72" t="inlineStr">
        <is>
          <t>stc_a3</t>
        </is>
      </c>
      <c r="J47" s="80" t="n">
        <v>987</v>
      </c>
      <c r="K47" s="72" t="inlineStr">
        <is>
          <t>Adalin McDaniel</t>
        </is>
      </c>
      <c r="L47" s="81" t="n">
        <v>1319</v>
      </c>
      <c r="M47" s="81">
        <f>Y47</f>
        <v/>
      </c>
      <c r="N47" s="82" t="n">
        <v>45108</v>
      </c>
      <c r="O47" s="82" t="n">
        <v>45108</v>
      </c>
      <c r="P47" s="82" t="n">
        <v>46326</v>
      </c>
      <c r="R47" s="81">
        <f>SUM(AB47:AG47)</f>
        <v/>
      </c>
      <c r="S47" s="81">
        <f>AI47</f>
        <v/>
      </c>
      <c r="T47" s="81">
        <f>AK47</f>
        <v/>
      </c>
      <c r="Y47" s="81" t="n">
        <v>1482</v>
      </c>
      <c r="AC47" s="81" t="n">
        <v>5</v>
      </c>
      <c r="AD47" s="81" t="n">
        <v>14</v>
      </c>
      <c r="AE47" s="81" t="n">
        <v>12</v>
      </c>
      <c r="AF47" s="81" t="n">
        <v>25</v>
      </c>
    </row>
    <row r="48">
      <c r="A48" s="72">
        <f>$D$25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INDEX($C$5:$C$12,MATCH(I48,$D$5:$D$12,0))</f>
        <v/>
      </c>
      <c r="E48" s="72">
        <f>INDEX($E$5:$E$12,MATCH(D48,$C$5:$C$12,0))</f>
        <v/>
      </c>
      <c r="F48" s="72">
        <f>INDEX($F$5:$F$12,MATCH(D48,$C$5:$C$12,0))</f>
        <v/>
      </c>
      <c r="G48" s="72">
        <f>INDEX($G$5:$G$12,MATCH(D48,$C$5:$C$12,0))</f>
        <v/>
      </c>
      <c r="H48" s="72" t="inlineStr">
        <is>
          <t>017</t>
        </is>
      </c>
      <c r="I48" s="72" t="inlineStr">
        <is>
          <t>stc_a1</t>
        </is>
      </c>
      <c r="J48" s="80" t="n">
        <v>731</v>
      </c>
      <c r="K48" s="72" t="inlineStr">
        <is>
          <t>Cesar Magana - Ramirez</t>
        </is>
      </c>
      <c r="L48" s="81" t="n">
        <v>1264</v>
      </c>
      <c r="M48" s="81">
        <f>Y48</f>
        <v/>
      </c>
      <c r="N48" s="82" t="n">
        <v>45029</v>
      </c>
      <c r="O48" s="82" t="n">
        <v>45029</v>
      </c>
      <c r="P48" s="82" t="n">
        <v>46215</v>
      </c>
      <c r="Q48" s="82" t="n">
        <v>46215</v>
      </c>
      <c r="R48" s="81">
        <f>SUM(AB48:AG48)</f>
        <v/>
      </c>
      <c r="S48" s="81">
        <f>AI48</f>
        <v/>
      </c>
      <c r="T48" s="81">
        <f>AK48</f>
        <v/>
      </c>
      <c r="Y48" s="81" t="n">
        <v>1130</v>
      </c>
      <c r="AC48" s="81" t="n">
        <v>5</v>
      </c>
      <c r="AD48" s="81" t="n">
        <v>12</v>
      </c>
      <c r="AE48" s="81" t="n">
        <v>12</v>
      </c>
      <c r="AF48" s="81" t="n">
        <v>80</v>
      </c>
    </row>
    <row r="49">
      <c r="A49" s="72">
        <f>$D$25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INDEX($C$5:$C$12,MATCH(I49,$D$5:$D$12,0))</f>
        <v/>
      </c>
      <c r="E49" s="72">
        <f>INDEX($E$5:$E$12,MATCH(D49,$C$5:$C$12,0))</f>
        <v/>
      </c>
      <c r="F49" s="72">
        <f>INDEX($F$5:$F$12,MATCH(D49,$C$5:$C$12,0))</f>
        <v/>
      </c>
      <c r="G49" s="72">
        <f>INDEX($G$5:$G$12,MATCH(D49,$C$5:$C$12,0))</f>
        <v/>
      </c>
      <c r="H49" s="72" t="inlineStr">
        <is>
          <t>018</t>
        </is>
      </c>
      <c r="I49" s="72" t="inlineStr">
        <is>
          <t>stc_a3</t>
        </is>
      </c>
      <c r="J49" s="80" t="n">
        <v>987</v>
      </c>
      <c r="K49" s="72" t="inlineStr">
        <is>
          <t>Joshua Davis</t>
        </is>
      </c>
      <c r="L49" s="81" t="n">
        <v>1194</v>
      </c>
      <c r="M49" s="81">
        <f>Y49</f>
        <v/>
      </c>
      <c r="N49" s="82" t="n">
        <v>46139</v>
      </c>
      <c r="O49" s="82" t="n">
        <v>46139</v>
      </c>
      <c r="P49" s="82" t="n">
        <v>46387</v>
      </c>
      <c r="R49" s="81">
        <f>SUM(AB49:AG49)</f>
        <v/>
      </c>
      <c r="S49" s="81">
        <f>AI49</f>
        <v/>
      </c>
      <c r="T49" s="81">
        <f>AK49</f>
        <v/>
      </c>
      <c r="Y49" s="81" t="n">
        <v>1137</v>
      </c>
      <c r="AC49" s="81" t="n">
        <v>5</v>
      </c>
      <c r="AD49" s="81" t="n">
        <v>14</v>
      </c>
      <c r="AE49" s="81" t="n">
        <v>13</v>
      </c>
      <c r="AK49" s="81" t="n">
        <v>-227</v>
      </c>
    </row>
    <row r="50">
      <c r="A50" s="72">
        <f>$D$25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INDEX($C$5:$C$12,MATCH(I50,$D$5:$D$12,0))</f>
        <v/>
      </c>
      <c r="E50" s="72">
        <f>INDEX($E$5:$E$12,MATCH(D50,$C$5:$C$12,0))</f>
        <v/>
      </c>
      <c r="F50" s="72">
        <f>INDEX($F$5:$F$12,MATCH(D50,$C$5:$C$12,0))</f>
        <v/>
      </c>
      <c r="G50" s="72">
        <f>INDEX($G$5:$G$12,MATCH(D50,$C$5:$C$12,0))</f>
        <v/>
      </c>
      <c r="H50" s="72" t="inlineStr">
        <is>
          <t>019</t>
        </is>
      </c>
      <c r="I50" s="72" t="inlineStr">
        <is>
          <t>stc_a1</t>
        </is>
      </c>
      <c r="J50" s="80" t="n">
        <v>731</v>
      </c>
      <c r="K50" s="72" t="inlineStr">
        <is>
          <t>Linda Campbell</t>
        </is>
      </c>
      <c r="L50" s="81" t="n">
        <v>1264</v>
      </c>
      <c r="M50" s="81">
        <f>Y50</f>
        <v/>
      </c>
      <c r="N50" s="82" t="n">
        <v>45745</v>
      </c>
      <c r="O50" s="82" t="n">
        <v>45745</v>
      </c>
      <c r="P50" s="82" t="n">
        <v>46566</v>
      </c>
      <c r="R50" s="81">
        <f>SUM(AB50:AG50)</f>
        <v/>
      </c>
      <c r="S50" s="81">
        <f>AI50</f>
        <v/>
      </c>
      <c r="T50" s="81">
        <f>AK50</f>
        <v/>
      </c>
      <c r="Y50" s="81" t="n">
        <v>1056</v>
      </c>
      <c r="AC50" s="81" t="n">
        <v>5</v>
      </c>
      <c r="AD50" s="81" t="n">
        <v>14</v>
      </c>
      <c r="AE50" s="81" t="n">
        <v>13</v>
      </c>
    </row>
    <row r="51">
      <c r="A51" s="72">
        <f>$D$25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INDEX($C$5:$C$12,MATCH(I51,$D$5:$D$12,0))</f>
        <v/>
      </c>
      <c r="E51" s="72">
        <f>INDEX($E$5:$E$12,MATCH(D51,$C$5:$C$12,0))</f>
        <v/>
      </c>
      <c r="F51" s="72">
        <f>INDEX($F$5:$F$12,MATCH(D51,$C$5:$C$12,0))</f>
        <v/>
      </c>
      <c r="G51" s="72">
        <f>INDEX($G$5:$G$12,MATCH(D51,$C$5:$C$12,0))</f>
        <v/>
      </c>
      <c r="H51" s="72" t="inlineStr">
        <is>
          <t>020</t>
        </is>
      </c>
      <c r="I51" s="72" t="inlineStr">
        <is>
          <t>stc_a3</t>
        </is>
      </c>
      <c r="J51" s="80" t="n">
        <v>987</v>
      </c>
      <c r="K51" s="72" t="inlineStr">
        <is>
          <t>Sabrina Mikula</t>
        </is>
      </c>
      <c r="L51" s="81" t="n">
        <v>1319</v>
      </c>
      <c r="M51" s="81">
        <f>Y51</f>
        <v/>
      </c>
      <c r="N51" s="82" t="n">
        <v>45560</v>
      </c>
      <c r="O51" s="82" t="n">
        <v>45560</v>
      </c>
      <c r="P51" s="82" t="n">
        <v>46442</v>
      </c>
      <c r="R51" s="81">
        <f>SUM(AB51:AG51)</f>
        <v/>
      </c>
      <c r="S51" s="81">
        <f>AI51</f>
        <v/>
      </c>
      <c r="T51" s="81">
        <f>AK51</f>
        <v/>
      </c>
      <c r="Y51" s="81" t="n">
        <v>1320</v>
      </c>
      <c r="AB51" s="81" t="n">
        <v>35</v>
      </c>
      <c r="AC51" s="81" t="n">
        <v>5</v>
      </c>
      <c r="AD51" s="81" t="n">
        <v>14</v>
      </c>
      <c r="AE51" s="81" t="n">
        <v>12</v>
      </c>
    </row>
    <row r="52">
      <c r="A52" s="72">
        <f>$D$25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INDEX($C$5:$C$12,MATCH(I52,$D$5:$D$12,0))</f>
        <v/>
      </c>
      <c r="E52" s="72">
        <f>INDEX($E$5:$E$12,MATCH(D52,$C$5:$C$12,0))</f>
        <v/>
      </c>
      <c r="F52" s="72">
        <f>INDEX($F$5:$F$12,MATCH(D52,$C$5:$C$12,0))</f>
        <v/>
      </c>
      <c r="G52" s="72">
        <f>INDEX($G$5:$G$12,MATCH(D52,$C$5:$C$12,0))</f>
        <v/>
      </c>
      <c r="H52" s="72" t="inlineStr">
        <is>
          <t>021</t>
        </is>
      </c>
      <c r="I52" s="72" t="inlineStr">
        <is>
          <t>stc_b3</t>
        </is>
      </c>
      <c r="J52" s="80" t="n">
        <v>1309</v>
      </c>
      <c r="K52" s="72" t="inlineStr">
        <is>
          <t>Cole Brown</t>
        </is>
      </c>
      <c r="L52" s="81" t="n">
        <v>1466</v>
      </c>
      <c r="M52" s="81">
        <f>Y52</f>
        <v/>
      </c>
      <c r="N52" s="82" t="n">
        <v>45870</v>
      </c>
      <c r="O52" s="82" t="n">
        <v>45870</v>
      </c>
      <c r="P52" s="82" t="n">
        <v>46234</v>
      </c>
      <c r="R52" s="81">
        <f>SUM(AB52:AG52)</f>
        <v/>
      </c>
      <c r="S52" s="81">
        <f>AI52</f>
        <v/>
      </c>
      <c r="T52" s="81">
        <f>AK52</f>
        <v/>
      </c>
      <c r="Y52" s="81" t="n">
        <v>1664</v>
      </c>
      <c r="AB52" s="81" t="n">
        <v>35</v>
      </c>
      <c r="AC52" s="81" t="n">
        <v>5</v>
      </c>
      <c r="AD52" s="81" t="n">
        <v>14</v>
      </c>
      <c r="AE52" s="81" t="n">
        <v>12</v>
      </c>
    </row>
    <row r="53">
      <c r="A53" s="72">
        <f>$D$25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INDEX($C$5:$C$12,MATCH(I53,$D$5:$D$12,0))</f>
        <v/>
      </c>
      <c r="E53" s="72">
        <f>INDEX($E$5:$E$12,MATCH(D53,$C$5:$C$12,0))</f>
        <v/>
      </c>
      <c r="F53" s="72">
        <f>INDEX($F$5:$F$12,MATCH(D53,$C$5:$C$12,0))</f>
        <v/>
      </c>
      <c r="G53" s="72">
        <f>INDEX($G$5:$G$12,MATCH(D53,$C$5:$C$12,0))</f>
        <v/>
      </c>
      <c r="H53" s="72" t="inlineStr">
        <is>
          <t>022</t>
        </is>
      </c>
      <c r="I53" s="72" t="inlineStr">
        <is>
          <t>stc_b1</t>
        </is>
      </c>
      <c r="J53" s="80" t="n">
        <v>1204</v>
      </c>
      <c r="K53" s="72" t="inlineStr">
        <is>
          <t>Claudia Garcia</t>
        </is>
      </c>
      <c r="L53" s="81" t="n">
        <v>1318</v>
      </c>
      <c r="M53" s="81">
        <f>Y53</f>
        <v/>
      </c>
      <c r="N53" s="82" t="n">
        <v>43213</v>
      </c>
      <c r="O53" s="82" t="n">
        <v>43213</v>
      </c>
      <c r="P53" s="82" t="n">
        <v>46499</v>
      </c>
      <c r="R53" s="81">
        <f>SUM(AB53:AG53)</f>
        <v/>
      </c>
      <c r="S53" s="81">
        <f>AI53</f>
        <v/>
      </c>
      <c r="T53" s="81">
        <f>AK53</f>
        <v/>
      </c>
      <c r="Y53" s="81" t="n">
        <v>1273</v>
      </c>
      <c r="AC53" s="81" t="n">
        <v>5</v>
      </c>
      <c r="AD53" s="81" t="n">
        <v>14</v>
      </c>
      <c r="AE53" s="81" t="n">
        <v>13</v>
      </c>
    </row>
    <row r="54">
      <c r="A54" s="72">
        <f>$D$25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INDEX($C$5:$C$12,MATCH(I54,$D$5:$D$12,0))</f>
        <v/>
      </c>
      <c r="E54" s="72">
        <f>INDEX($E$5:$E$12,MATCH(D54,$C$5:$C$12,0))</f>
        <v/>
      </c>
      <c r="F54" s="72">
        <f>INDEX($F$5:$F$12,MATCH(D54,$C$5:$C$12,0))</f>
        <v/>
      </c>
      <c r="G54" s="72">
        <f>INDEX($G$5:$G$12,MATCH(D54,$C$5:$C$12,0))</f>
        <v/>
      </c>
      <c r="H54" s="72" t="inlineStr">
        <is>
          <t>023</t>
        </is>
      </c>
      <c r="I54" s="72" t="inlineStr">
        <is>
          <t>stc_b1</t>
        </is>
      </c>
      <c r="J54" s="80" t="n">
        <v>1204</v>
      </c>
      <c r="K54" s="72" t="inlineStr">
        <is>
          <t>Emily Conner</t>
        </is>
      </c>
      <c r="L54" s="81" t="n">
        <v>1443</v>
      </c>
      <c r="M54" s="81">
        <f>Y54</f>
        <v/>
      </c>
      <c r="N54" s="82" t="n">
        <v>45987</v>
      </c>
      <c r="O54" s="82" t="n">
        <v>45987</v>
      </c>
      <c r="P54" s="82" t="n">
        <v>46412</v>
      </c>
      <c r="R54" s="81">
        <f>SUM(AB54:AG54)</f>
        <v/>
      </c>
      <c r="S54" s="81">
        <f>AI54</f>
        <v/>
      </c>
      <c r="T54" s="81">
        <f>AK54</f>
        <v/>
      </c>
      <c r="Y54" s="81" t="n">
        <v>1382</v>
      </c>
      <c r="AC54" s="81" t="n">
        <v>5</v>
      </c>
      <c r="AD54" s="81" t="n">
        <v>14</v>
      </c>
      <c r="AE54" s="81" t="n">
        <v>12</v>
      </c>
    </row>
    <row r="55">
      <c r="A55" s="72">
        <f>$D$25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INDEX($C$5:$C$12,MATCH(I55,$D$5:$D$12,0))</f>
        <v/>
      </c>
      <c r="E55" s="72">
        <f>INDEX($E$5:$E$12,MATCH(D55,$C$5:$C$12,0))</f>
        <v/>
      </c>
      <c r="F55" s="72">
        <f>INDEX($F$5:$F$12,MATCH(D55,$C$5:$C$12,0))</f>
        <v/>
      </c>
      <c r="G55" s="72">
        <f>INDEX($G$5:$G$12,MATCH(D55,$C$5:$C$12,0))</f>
        <v/>
      </c>
      <c r="H55" s="72" t="inlineStr">
        <is>
          <t>024</t>
        </is>
      </c>
      <c r="I55" s="72" t="inlineStr">
        <is>
          <t>stc_b1</t>
        </is>
      </c>
      <c r="J55" s="80" t="n">
        <v>1204</v>
      </c>
      <c r="K55" s="72" t="inlineStr">
        <is>
          <t>Donatha Nyiramariza</t>
        </is>
      </c>
      <c r="L55" s="81" t="n">
        <v>1443</v>
      </c>
      <c r="M55" s="81">
        <f>Y55</f>
        <v/>
      </c>
      <c r="N55" s="82" t="n">
        <v>45959</v>
      </c>
      <c r="O55" s="82" t="n">
        <v>45959</v>
      </c>
      <c r="P55" s="82" t="n">
        <v>46384</v>
      </c>
      <c r="R55" s="81">
        <f>SUM(AB55:AG55)</f>
        <v/>
      </c>
      <c r="S55" s="81">
        <f>AI55</f>
        <v/>
      </c>
      <c r="T55" s="81">
        <f>AK55</f>
        <v/>
      </c>
      <c r="Y55" s="81" t="n">
        <v>1382</v>
      </c>
      <c r="AC55" s="81" t="n">
        <v>5</v>
      </c>
      <c r="AD55" s="81" t="n">
        <v>14</v>
      </c>
      <c r="AE55" s="81" t="n">
        <v>12</v>
      </c>
    </row>
    <row r="56">
      <c r="A56" s="72">
        <f>$D$25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INDEX($C$5:$C$12,MATCH(I56,$D$5:$D$12,0))</f>
        <v/>
      </c>
      <c r="E56" s="72">
        <f>INDEX($E$5:$E$12,MATCH(D56,$C$5:$C$12,0))</f>
        <v/>
      </c>
      <c r="F56" s="72">
        <f>INDEX($F$5:$F$12,MATCH(D56,$C$5:$C$12,0))</f>
        <v/>
      </c>
      <c r="G56" s="72">
        <f>INDEX($G$5:$G$12,MATCH(D56,$C$5:$C$12,0))</f>
        <v/>
      </c>
      <c r="H56" s="72" t="inlineStr">
        <is>
          <t>025</t>
        </is>
      </c>
      <c r="I56" s="72" t="inlineStr">
        <is>
          <t>stc_a1</t>
        </is>
      </c>
      <c r="J56" s="80" t="n">
        <v>731</v>
      </c>
      <c r="K56" s="72" t="inlineStr">
        <is>
          <t>Dustin Smith</t>
        </is>
      </c>
      <c r="L56" s="81" t="n">
        <v>1264</v>
      </c>
      <c r="M56" s="81">
        <f>Y56</f>
        <v/>
      </c>
      <c r="N56" s="82" t="n">
        <v>45494</v>
      </c>
      <c r="O56" s="82" t="n">
        <v>45494</v>
      </c>
      <c r="P56" s="82" t="n">
        <v>46223</v>
      </c>
      <c r="R56" s="81">
        <f>SUM(AB56:AG56)</f>
        <v/>
      </c>
      <c r="S56" s="81">
        <f>AI56</f>
        <v/>
      </c>
      <c r="T56" s="81">
        <f>AK56</f>
        <v/>
      </c>
      <c r="Y56" s="81" t="n">
        <v>1206</v>
      </c>
      <c r="AC56" s="81" t="n">
        <v>5</v>
      </c>
      <c r="AD56" s="81" t="n">
        <v>12</v>
      </c>
      <c r="AE56" s="81" t="n">
        <v>12</v>
      </c>
      <c r="AF56" s="81" t="n">
        <v>25</v>
      </c>
    </row>
    <row r="57">
      <c r="A57" s="72">
        <f>$D$25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INDEX($C$5:$C$12,MATCH(I57,$D$5:$D$12,0))</f>
        <v/>
      </c>
      <c r="E57" s="72">
        <f>INDEX($E$5:$E$12,MATCH(D57,$C$5:$C$12,0))</f>
        <v/>
      </c>
      <c r="F57" s="72">
        <f>INDEX($F$5:$F$12,MATCH(D57,$C$5:$C$12,0))</f>
        <v/>
      </c>
      <c r="G57" s="72">
        <f>INDEX($G$5:$G$12,MATCH(D57,$C$5:$C$12,0))</f>
        <v/>
      </c>
      <c r="H57" s="72" t="inlineStr">
        <is>
          <t>026</t>
        </is>
      </c>
      <c r="I57" s="72" t="inlineStr">
        <is>
          <t>stc_a3</t>
        </is>
      </c>
      <c r="J57" s="80" t="n">
        <v>987</v>
      </c>
      <c r="K57" s="72" t="inlineStr">
        <is>
          <t>Vinh Nguyen</t>
        </is>
      </c>
      <c r="L57" s="81" t="n">
        <v>1319</v>
      </c>
      <c r="M57" s="81">
        <f>Y57</f>
        <v/>
      </c>
      <c r="N57" s="82" t="n">
        <v>45036</v>
      </c>
      <c r="O57" s="82" t="n">
        <v>45036</v>
      </c>
      <c r="P57" s="82" t="n">
        <v>46345</v>
      </c>
      <c r="R57" s="81">
        <f>SUM(AB57:AG57)</f>
        <v/>
      </c>
      <c r="S57" s="81">
        <f>AI57</f>
        <v/>
      </c>
      <c r="T57" s="81">
        <f>AK57</f>
        <v/>
      </c>
      <c r="Y57" s="81" t="n">
        <v>1271</v>
      </c>
      <c r="AC57" s="81" t="n">
        <v>5</v>
      </c>
      <c r="AD57" s="81" t="n">
        <v>14</v>
      </c>
      <c r="AE57" s="81" t="n">
        <v>12</v>
      </c>
    </row>
    <row r="58">
      <c r="A58" s="72">
        <f>$D$25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INDEX($C$5:$C$12,MATCH(I58,$D$5:$D$12,0))</f>
        <v/>
      </c>
      <c r="E58" s="72">
        <f>INDEX($E$5:$E$12,MATCH(D58,$C$5:$C$12,0))</f>
        <v/>
      </c>
      <c r="F58" s="72">
        <f>INDEX($F$5:$F$12,MATCH(D58,$C$5:$C$12,0))</f>
        <v/>
      </c>
      <c r="G58" s="72">
        <f>INDEX($G$5:$G$12,MATCH(D58,$C$5:$C$12,0))</f>
        <v/>
      </c>
      <c r="H58" s="72" t="inlineStr">
        <is>
          <t>027</t>
        </is>
      </c>
      <c r="I58" s="72" t="inlineStr">
        <is>
          <t>stc_a1</t>
        </is>
      </c>
      <c r="J58" s="80" t="n">
        <v>731</v>
      </c>
      <c r="K58" s="72" t="inlineStr">
        <is>
          <t>Chloe Roberts</t>
        </is>
      </c>
      <c r="L58" s="81" t="n">
        <v>1264</v>
      </c>
      <c r="M58" s="81">
        <f>Y58</f>
        <v/>
      </c>
      <c r="N58" s="82" t="n">
        <v>46002</v>
      </c>
      <c r="O58" s="82" t="n">
        <v>46002</v>
      </c>
      <c r="P58" s="82" t="n">
        <v>46397</v>
      </c>
      <c r="R58" s="81">
        <f>SUM(AB58:AG58)</f>
        <v/>
      </c>
      <c r="S58" s="81">
        <f>AI58</f>
        <v/>
      </c>
      <c r="T58" s="81">
        <f>AK58</f>
        <v/>
      </c>
      <c r="Y58" s="81" t="n">
        <v>1197</v>
      </c>
      <c r="AB58" s="81" t="n">
        <v>60</v>
      </c>
      <c r="AC58" s="81" t="n">
        <v>5</v>
      </c>
      <c r="AD58" s="81" t="n">
        <v>14</v>
      </c>
      <c r="AE58" s="81" t="n">
        <v>12</v>
      </c>
    </row>
    <row r="59">
      <c r="A59" s="72">
        <f>$D$25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INDEX($C$5:$C$12,MATCH(I59,$D$5:$D$12,0))</f>
        <v/>
      </c>
      <c r="E59" s="72">
        <f>INDEX($E$5:$E$12,MATCH(D59,$C$5:$C$12,0))</f>
        <v/>
      </c>
      <c r="F59" s="72">
        <f>INDEX($F$5:$F$12,MATCH(D59,$C$5:$C$12,0))</f>
        <v/>
      </c>
      <c r="G59" s="72">
        <f>INDEX($G$5:$G$12,MATCH(D59,$C$5:$C$12,0))</f>
        <v/>
      </c>
      <c r="H59" s="72" t="inlineStr">
        <is>
          <t>028</t>
        </is>
      </c>
      <c r="I59" s="72" t="inlineStr">
        <is>
          <t>stc_a3</t>
        </is>
      </c>
      <c r="J59" s="80" t="n">
        <v>987</v>
      </c>
      <c r="K59" s="72" t="inlineStr">
        <is>
          <t>Jessica Sharp</t>
        </is>
      </c>
      <c r="L59" s="81" t="n">
        <v>1319</v>
      </c>
      <c r="M59" s="81">
        <f>Y59</f>
        <v/>
      </c>
      <c r="N59" s="82" t="n">
        <v>45313</v>
      </c>
      <c r="O59" s="82" t="n">
        <v>45313</v>
      </c>
      <c r="P59" s="82" t="n">
        <v>46408</v>
      </c>
      <c r="R59" s="81">
        <f>SUM(AB59:AG59)</f>
        <v/>
      </c>
      <c r="S59" s="81">
        <f>AI59</f>
        <v/>
      </c>
      <c r="T59" s="81">
        <f>AK59</f>
        <v/>
      </c>
      <c r="Y59" s="81" t="n">
        <v>1293</v>
      </c>
      <c r="AB59" s="81" t="n">
        <v>35</v>
      </c>
      <c r="AC59" s="81" t="n">
        <v>5</v>
      </c>
      <c r="AD59" s="81" t="n">
        <v>14</v>
      </c>
      <c r="AE59" s="81" t="n">
        <v>12</v>
      </c>
      <c r="AF59" s="81" t="n">
        <v>40</v>
      </c>
    </row>
    <row r="60">
      <c r="A60" s="83">
        <f>$D$25</f>
        <v/>
      </c>
      <c r="B60" s="83">
        <f>B59+1</f>
        <v/>
      </c>
      <c r="C60" s="83">
        <f>IF(K60="Vacant","Vac",IF(K60="Model","Model",IF(K60="Admin","Admin",IF(K60="Down","Down",IF(K60="Super","Super","Occ")))))</f>
        <v/>
      </c>
      <c r="D60" s="83">
        <f>INDEX($C$5:$C$12,MATCH(I60,$D$5:$D$12,0))</f>
        <v/>
      </c>
      <c r="E60" s="83">
        <f>INDEX($E$5:$E$12,MATCH(D60,$C$5:$C$12,0))</f>
        <v/>
      </c>
      <c r="F60" s="83">
        <f>INDEX($F$5:$F$12,MATCH(D60,$C$5:$C$12,0))</f>
        <v/>
      </c>
      <c r="G60" s="83">
        <f>INDEX($G$5:$G$12,MATCH(D60,$C$5:$C$12,0))</f>
        <v/>
      </c>
      <c r="H60" s="83" t="inlineStr">
        <is>
          <t>029</t>
        </is>
      </c>
      <c r="I60" s="83" t="inlineStr">
        <is>
          <t>stc_a1</t>
        </is>
      </c>
      <c r="J60" s="84" t="n">
        <v>731</v>
      </c>
      <c r="K60" s="83" t="inlineStr">
        <is>
          <t>Vacant</t>
        </is>
      </c>
      <c r="L60" s="85" t="n">
        <v>1204</v>
      </c>
      <c r="M60" s="85">
        <f>Y60</f>
        <v/>
      </c>
      <c r="N60" s="86" t="n"/>
      <c r="O60" s="86" t="n"/>
      <c r="P60" s="86" t="n"/>
      <c r="Q60" s="86" t="n"/>
      <c r="R60" s="85">
        <f>SUM(AB60:AG60)</f>
        <v/>
      </c>
      <c r="S60" s="85">
        <f>AI60</f>
        <v/>
      </c>
      <c r="T60" s="85">
        <f>AK60</f>
        <v/>
      </c>
      <c r="U60" s="86" t="n"/>
      <c r="V60" s="86" t="n"/>
      <c r="W60" s="86" t="n"/>
      <c r="X60" s="86" t="n"/>
      <c r="Y60" s="85" t="n">
        <v>0</v>
      </c>
      <c r="Z60" s="86" t="n"/>
      <c r="AA60" s="86" t="n"/>
      <c r="AB60" s="86" t="n"/>
      <c r="AC60" s="86" t="n"/>
      <c r="AD60" s="86" t="n"/>
      <c r="AE60" s="86" t="n"/>
      <c r="AF60" s="86" t="n"/>
      <c r="AG60" s="86" t="n"/>
      <c r="AH60" s="86" t="n"/>
      <c r="AI60" s="86" t="n"/>
      <c r="AJ60" s="86" t="n"/>
      <c r="AK60" s="86" t="n"/>
    </row>
    <row r="61">
      <c r="A61" s="72">
        <f>$D$25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INDEX($C$5:$C$12,MATCH(I61,$D$5:$D$12,0))</f>
        <v/>
      </c>
      <c r="E61" s="72">
        <f>INDEX($E$5:$E$12,MATCH(D61,$C$5:$C$12,0))</f>
        <v/>
      </c>
      <c r="F61" s="72">
        <f>INDEX($F$5:$F$12,MATCH(D61,$C$5:$C$12,0))</f>
        <v/>
      </c>
      <c r="G61" s="72">
        <f>INDEX($G$5:$G$12,MATCH(D61,$C$5:$C$12,0))</f>
        <v/>
      </c>
      <c r="H61" s="72" t="inlineStr">
        <is>
          <t>030</t>
        </is>
      </c>
      <c r="I61" s="72" t="inlineStr">
        <is>
          <t>stc_a3</t>
        </is>
      </c>
      <c r="J61" s="80" t="n">
        <v>987</v>
      </c>
      <c r="K61" s="72" t="inlineStr">
        <is>
          <t>Timothy Stone</t>
        </is>
      </c>
      <c r="L61" s="81" t="n">
        <v>1319</v>
      </c>
      <c r="M61" s="81">
        <f>Y61</f>
        <v/>
      </c>
      <c r="N61" s="82" t="n">
        <v>45698</v>
      </c>
      <c r="O61" s="82" t="n">
        <v>45698</v>
      </c>
      <c r="P61" s="82" t="n">
        <v>46577</v>
      </c>
      <c r="R61" s="81">
        <f>SUM(AB61:AG61)</f>
        <v/>
      </c>
      <c r="S61" s="81">
        <f>AI61</f>
        <v/>
      </c>
      <c r="T61" s="81">
        <f>AK61</f>
        <v/>
      </c>
      <c r="Y61" s="81" t="n">
        <v>1276</v>
      </c>
      <c r="AB61" s="81" t="n">
        <v>60</v>
      </c>
      <c r="AC61" s="81" t="n">
        <v>5</v>
      </c>
      <c r="AD61" s="81" t="n">
        <v>14</v>
      </c>
      <c r="AE61" s="81" t="n">
        <v>13</v>
      </c>
    </row>
    <row r="62">
      <c r="A62" s="72">
        <f>$D$25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INDEX($C$5:$C$12,MATCH(I62,$D$5:$D$12,0))</f>
        <v/>
      </c>
      <c r="E62" s="72">
        <f>INDEX($E$5:$E$12,MATCH(D62,$C$5:$C$12,0))</f>
        <v/>
      </c>
      <c r="F62" s="72">
        <f>INDEX($F$5:$F$12,MATCH(D62,$C$5:$C$12,0))</f>
        <v/>
      </c>
      <c r="G62" s="72">
        <f>INDEX($G$5:$G$12,MATCH(D62,$C$5:$C$12,0))</f>
        <v/>
      </c>
      <c r="H62" s="72" t="inlineStr">
        <is>
          <t>031</t>
        </is>
      </c>
      <c r="I62" s="72" t="inlineStr">
        <is>
          <t>stc_a2</t>
        </is>
      </c>
      <c r="J62" s="80" t="n">
        <v>768</v>
      </c>
      <c r="K62" s="72" t="inlineStr">
        <is>
          <t>Hunter Manns</t>
        </is>
      </c>
      <c r="L62" s="81" t="n">
        <v>1270</v>
      </c>
      <c r="M62" s="81">
        <f>Y62</f>
        <v/>
      </c>
      <c r="N62" s="82" t="n">
        <v>46112</v>
      </c>
      <c r="O62" s="82" t="n">
        <v>46112</v>
      </c>
      <c r="P62" s="82" t="n">
        <v>46476</v>
      </c>
      <c r="R62" s="81">
        <f>SUM(AB62:AG62)</f>
        <v/>
      </c>
      <c r="S62" s="81">
        <f>AI62</f>
        <v/>
      </c>
      <c r="T62" s="81">
        <f>AK62</f>
        <v/>
      </c>
      <c r="Y62" s="81" t="n">
        <v>1204</v>
      </c>
      <c r="AC62" s="81" t="n">
        <v>5</v>
      </c>
      <c r="AD62" s="81" t="n">
        <v>14</v>
      </c>
      <c r="AE62" s="81" t="n">
        <v>13</v>
      </c>
    </row>
    <row r="63">
      <c r="A63" s="83">
        <f>$D$25</f>
        <v/>
      </c>
      <c r="B63" s="83">
        <f>B62+1</f>
        <v/>
      </c>
      <c r="C63" s="83">
        <f>IF(K63="Vacant","Vac",IF(K63="Model","Model",IF(K63="Admin","Admin",IF(K63="Down","Down",IF(K63="Super","Super","Occ")))))</f>
        <v/>
      </c>
      <c r="D63" s="83">
        <f>INDEX($C$5:$C$12,MATCH(I63,$D$5:$D$12,0))</f>
        <v/>
      </c>
      <c r="E63" s="83">
        <f>INDEX($E$5:$E$12,MATCH(D63,$C$5:$C$12,0))</f>
        <v/>
      </c>
      <c r="F63" s="83">
        <f>INDEX($F$5:$F$12,MATCH(D63,$C$5:$C$12,0))</f>
        <v/>
      </c>
      <c r="G63" s="83">
        <f>INDEX($G$5:$G$12,MATCH(D63,$C$5:$C$12,0))</f>
        <v/>
      </c>
      <c r="H63" s="83" t="inlineStr">
        <is>
          <t>032</t>
        </is>
      </c>
      <c r="I63" s="83" t="inlineStr">
        <is>
          <t>stc_b2</t>
        </is>
      </c>
      <c r="J63" s="84" t="n">
        <v>1214</v>
      </c>
      <c r="K63" s="83" t="inlineStr">
        <is>
          <t>Vacant</t>
        </is>
      </c>
      <c r="L63" s="85" t="n">
        <v>1541</v>
      </c>
      <c r="M63" s="85">
        <f>Y63</f>
        <v/>
      </c>
      <c r="N63" s="86" t="n"/>
      <c r="O63" s="86" t="n"/>
      <c r="P63" s="86" t="n"/>
      <c r="Q63" s="86" t="n"/>
      <c r="R63" s="85">
        <f>SUM(AB63:AG63)</f>
        <v/>
      </c>
      <c r="S63" s="85">
        <f>AI63</f>
        <v/>
      </c>
      <c r="T63" s="85">
        <f>AK63</f>
        <v/>
      </c>
      <c r="U63" s="86" t="n"/>
      <c r="V63" s="86" t="n"/>
      <c r="W63" s="86" t="n"/>
      <c r="X63" s="86" t="n"/>
      <c r="Y63" s="85" t="n">
        <v>0</v>
      </c>
      <c r="Z63" s="86" t="n"/>
      <c r="AA63" s="86" t="n"/>
      <c r="AB63" s="86" t="n"/>
      <c r="AC63" s="86" t="n"/>
      <c r="AD63" s="86" t="n"/>
      <c r="AE63" s="86" t="n"/>
      <c r="AF63" s="86" t="n"/>
      <c r="AG63" s="86" t="n"/>
      <c r="AH63" s="86" t="n"/>
      <c r="AI63" s="86" t="n"/>
      <c r="AJ63" s="86" t="n"/>
      <c r="AK63" s="86" t="n"/>
    </row>
    <row r="64">
      <c r="A64" s="72">
        <f>$D$25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INDEX($C$5:$C$12,MATCH(I64,$D$5:$D$12,0))</f>
        <v/>
      </c>
      <c r="E64" s="72">
        <f>INDEX($E$5:$E$12,MATCH(D64,$C$5:$C$12,0))</f>
        <v/>
      </c>
      <c r="F64" s="72">
        <f>INDEX($F$5:$F$12,MATCH(D64,$C$5:$C$12,0))</f>
        <v/>
      </c>
      <c r="G64" s="72">
        <f>INDEX($G$5:$G$12,MATCH(D64,$C$5:$C$12,0))</f>
        <v/>
      </c>
      <c r="H64" s="72" t="inlineStr">
        <is>
          <t>033</t>
        </is>
      </c>
      <c r="I64" s="72" t="inlineStr">
        <is>
          <t>stc_b3</t>
        </is>
      </c>
      <c r="J64" s="80" t="n">
        <v>1309</v>
      </c>
      <c r="K64" s="72" t="inlineStr">
        <is>
          <t>Caitlin Wright</t>
        </is>
      </c>
      <c r="L64" s="81" t="n">
        <v>1466</v>
      </c>
      <c r="M64" s="81">
        <f>Y64</f>
        <v/>
      </c>
      <c r="N64" s="82" t="n">
        <v>45647</v>
      </c>
      <c r="O64" s="82" t="n">
        <v>45647</v>
      </c>
      <c r="P64" s="82" t="n">
        <v>46466</v>
      </c>
      <c r="R64" s="81">
        <f>SUM(AB64:AG64)</f>
        <v/>
      </c>
      <c r="S64" s="81">
        <f>AI64</f>
        <v/>
      </c>
      <c r="T64" s="81">
        <f>AK64</f>
        <v/>
      </c>
      <c r="Y64" s="81" t="n">
        <v>1490</v>
      </c>
      <c r="AC64" s="81" t="n">
        <v>5</v>
      </c>
      <c r="AD64" s="81" t="n">
        <v>14</v>
      </c>
      <c r="AE64" s="81" t="n">
        <v>13</v>
      </c>
      <c r="AF64" s="81" t="n">
        <v>50</v>
      </c>
    </row>
    <row r="65">
      <c r="A65" s="72">
        <f>$D$25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INDEX($C$5:$C$12,MATCH(I65,$D$5:$D$12,0))</f>
        <v/>
      </c>
      <c r="E65" s="72">
        <f>INDEX($E$5:$E$12,MATCH(D65,$C$5:$C$12,0))</f>
        <v/>
      </c>
      <c r="F65" s="72">
        <f>INDEX($F$5:$F$12,MATCH(D65,$C$5:$C$12,0))</f>
        <v/>
      </c>
      <c r="G65" s="72">
        <f>INDEX($G$5:$G$12,MATCH(D65,$C$5:$C$12,0))</f>
        <v/>
      </c>
      <c r="H65" s="72" t="inlineStr">
        <is>
          <t>034</t>
        </is>
      </c>
      <c r="I65" s="72" t="inlineStr">
        <is>
          <t>stc_b1</t>
        </is>
      </c>
      <c r="J65" s="80" t="n">
        <v>1204</v>
      </c>
      <c r="K65" s="72" t="inlineStr">
        <is>
          <t>Haley Horne</t>
        </is>
      </c>
      <c r="L65" s="81" t="n">
        <v>1443</v>
      </c>
      <c r="M65" s="81">
        <f>Y65</f>
        <v/>
      </c>
      <c r="N65" s="82" t="n">
        <v>45918</v>
      </c>
      <c r="O65" s="82" t="n">
        <v>45918</v>
      </c>
      <c r="P65" s="82" t="n">
        <v>46282</v>
      </c>
      <c r="R65" s="81">
        <f>SUM(AB65:AG65)</f>
        <v/>
      </c>
      <c r="S65" s="81">
        <f>AI65</f>
        <v/>
      </c>
      <c r="T65" s="81">
        <f>AK65</f>
        <v/>
      </c>
      <c r="Y65" s="81" t="n">
        <v>1424</v>
      </c>
      <c r="AC65" s="81" t="n">
        <v>5</v>
      </c>
      <c r="AD65" s="81" t="n">
        <v>14</v>
      </c>
      <c r="AE65" s="81" t="n">
        <v>12</v>
      </c>
    </row>
    <row r="66">
      <c r="A66" s="72">
        <f>$D$25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INDEX($C$5:$C$12,MATCH(I66,$D$5:$D$12,0))</f>
        <v/>
      </c>
      <c r="E66" s="72">
        <f>INDEX($E$5:$E$12,MATCH(D66,$C$5:$C$12,0))</f>
        <v/>
      </c>
      <c r="F66" s="72">
        <f>INDEX($F$5:$F$12,MATCH(D66,$C$5:$C$12,0))</f>
        <v/>
      </c>
      <c r="G66" s="72">
        <f>INDEX($G$5:$G$12,MATCH(D66,$C$5:$C$12,0))</f>
        <v/>
      </c>
      <c r="H66" s="72" t="inlineStr">
        <is>
          <t>035</t>
        </is>
      </c>
      <c r="I66" s="72" t="inlineStr">
        <is>
          <t>stc_b1</t>
        </is>
      </c>
      <c r="J66" s="80" t="n">
        <v>1204</v>
      </c>
      <c r="K66" s="72" t="inlineStr">
        <is>
          <t>Lauren Wilson</t>
        </is>
      </c>
      <c r="L66" s="81" t="n">
        <v>1443</v>
      </c>
      <c r="M66" s="81">
        <f>Y66</f>
        <v/>
      </c>
      <c r="N66" s="82" t="n">
        <v>44954</v>
      </c>
      <c r="O66" s="82" t="n">
        <v>44954</v>
      </c>
      <c r="P66" s="82" t="n">
        <v>46534</v>
      </c>
      <c r="R66" s="81">
        <f>SUM(AB66:AG66)</f>
        <v/>
      </c>
      <c r="S66" s="81">
        <f>AI66</f>
        <v/>
      </c>
      <c r="T66" s="81">
        <f>AK66</f>
        <v/>
      </c>
      <c r="Y66" s="81" t="n">
        <v>1531</v>
      </c>
      <c r="AB66" s="81" t="n">
        <v>95</v>
      </c>
      <c r="AC66" s="81" t="n">
        <v>5</v>
      </c>
      <c r="AD66" s="81" t="n">
        <v>14</v>
      </c>
      <c r="AE66" s="81" t="n">
        <v>13</v>
      </c>
    </row>
    <row r="67">
      <c r="A67" s="72">
        <f>$D$25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INDEX($C$5:$C$12,MATCH(I67,$D$5:$D$12,0))</f>
        <v/>
      </c>
      <c r="E67" s="72">
        <f>INDEX($E$5:$E$12,MATCH(D67,$C$5:$C$12,0))</f>
        <v/>
      </c>
      <c r="F67" s="72">
        <f>INDEX($F$5:$F$12,MATCH(D67,$C$5:$C$12,0))</f>
        <v/>
      </c>
      <c r="G67" s="72">
        <f>INDEX($G$5:$G$12,MATCH(D67,$C$5:$C$12,0))</f>
        <v/>
      </c>
      <c r="H67" s="72" t="inlineStr">
        <is>
          <t>036</t>
        </is>
      </c>
      <c r="I67" s="72" t="inlineStr">
        <is>
          <t>stc_b1</t>
        </is>
      </c>
      <c r="J67" s="80" t="n">
        <v>1204</v>
      </c>
      <c r="K67" s="72" t="inlineStr">
        <is>
          <t>Travis Reams</t>
        </is>
      </c>
      <c r="L67" s="81" t="n">
        <v>1443</v>
      </c>
      <c r="M67" s="81">
        <f>Y67</f>
        <v/>
      </c>
      <c r="N67" s="82" t="n">
        <v>44239</v>
      </c>
      <c r="O67" s="82" t="n">
        <v>44239</v>
      </c>
      <c r="P67" s="82" t="n">
        <v>46214</v>
      </c>
      <c r="Q67" s="82" t="n">
        <v>46214</v>
      </c>
      <c r="R67" s="81">
        <f>SUM(AB67:AG67)</f>
        <v/>
      </c>
      <c r="S67" s="81">
        <f>AI67</f>
        <v/>
      </c>
      <c r="T67" s="81">
        <f>AK67</f>
        <v/>
      </c>
      <c r="Y67" s="81" t="n">
        <v>1408</v>
      </c>
      <c r="AC67" s="81" t="n">
        <v>5</v>
      </c>
      <c r="AD67" s="81" t="n">
        <v>14</v>
      </c>
      <c r="AE67" s="81" t="n">
        <v>12</v>
      </c>
    </row>
    <row r="68">
      <c r="A68" s="72">
        <f>$D$25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INDEX($C$5:$C$12,MATCH(I68,$D$5:$D$12,0))</f>
        <v/>
      </c>
      <c r="E68" s="72">
        <f>INDEX($E$5:$E$12,MATCH(D68,$C$5:$C$12,0))</f>
        <v/>
      </c>
      <c r="F68" s="72">
        <f>INDEX($F$5:$F$12,MATCH(D68,$C$5:$C$12,0))</f>
        <v/>
      </c>
      <c r="G68" s="72">
        <f>INDEX($G$5:$G$12,MATCH(D68,$C$5:$C$12,0))</f>
        <v/>
      </c>
      <c r="H68" s="72" t="inlineStr">
        <is>
          <t>037</t>
        </is>
      </c>
      <c r="I68" s="72" t="inlineStr">
        <is>
          <t>stc_b1</t>
        </is>
      </c>
      <c r="J68" s="80" t="n">
        <v>1204</v>
      </c>
      <c r="K68" s="72" t="inlineStr">
        <is>
          <t>Vance Waddle</t>
        </is>
      </c>
      <c r="L68" s="81" t="n">
        <v>1318</v>
      </c>
      <c r="M68" s="81">
        <f>Y68</f>
        <v/>
      </c>
      <c r="N68" s="82" t="n">
        <v>39022</v>
      </c>
      <c r="O68" s="82" t="n">
        <v>39022</v>
      </c>
      <c r="P68" s="82" t="n">
        <v>46326</v>
      </c>
      <c r="R68" s="81">
        <f>SUM(AB68:AG68)</f>
        <v/>
      </c>
      <c r="S68" s="81">
        <f>AI68</f>
        <v/>
      </c>
      <c r="T68" s="81">
        <f>AK68</f>
        <v/>
      </c>
      <c r="Y68" s="81" t="n">
        <v>1387</v>
      </c>
      <c r="AC68" s="81" t="n">
        <v>5</v>
      </c>
      <c r="AD68" s="81" t="n">
        <v>14</v>
      </c>
      <c r="AE68" s="81" t="n">
        <v>12</v>
      </c>
    </row>
    <row r="69">
      <c r="A69" s="72">
        <f>$D$25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INDEX($C$5:$C$12,MATCH(I69,$D$5:$D$12,0))</f>
        <v/>
      </c>
      <c r="E69" s="72">
        <f>INDEX($E$5:$E$12,MATCH(D69,$C$5:$C$12,0))</f>
        <v/>
      </c>
      <c r="F69" s="72">
        <f>INDEX($F$5:$F$12,MATCH(D69,$C$5:$C$12,0))</f>
        <v/>
      </c>
      <c r="G69" s="72">
        <f>INDEX($G$5:$G$12,MATCH(D69,$C$5:$C$12,0))</f>
        <v/>
      </c>
      <c r="H69" s="72" t="inlineStr">
        <is>
          <t>038</t>
        </is>
      </c>
      <c r="I69" s="72" t="inlineStr">
        <is>
          <t>stc_b1</t>
        </is>
      </c>
      <c r="J69" s="80" t="n">
        <v>1204</v>
      </c>
      <c r="K69" s="72" t="inlineStr">
        <is>
          <t>Isabel DiFiore</t>
        </is>
      </c>
      <c r="L69" s="81" t="n">
        <v>1443</v>
      </c>
      <c r="M69" s="81">
        <f>Y69</f>
        <v/>
      </c>
      <c r="N69" s="82" t="n">
        <v>46165</v>
      </c>
      <c r="O69" s="82" t="n">
        <v>46165</v>
      </c>
      <c r="P69" s="82" t="n">
        <v>46529</v>
      </c>
      <c r="R69" s="81">
        <f>SUM(AB69:AG69)</f>
        <v/>
      </c>
      <c r="S69" s="81">
        <f>AI69</f>
        <v/>
      </c>
      <c r="T69" s="81">
        <f>AK69</f>
        <v/>
      </c>
      <c r="Y69" s="81" t="n">
        <v>1395</v>
      </c>
      <c r="AC69" s="81" t="n">
        <v>5</v>
      </c>
      <c r="AD69" s="81" t="n">
        <v>14</v>
      </c>
      <c r="AE69" s="81" t="n">
        <v>13</v>
      </c>
    </row>
    <row r="70">
      <c r="A70" s="72">
        <f>$D$25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INDEX($C$5:$C$12,MATCH(I70,$D$5:$D$12,0))</f>
        <v/>
      </c>
      <c r="E70" s="72">
        <f>INDEX($E$5:$E$12,MATCH(D70,$C$5:$C$12,0))</f>
        <v/>
      </c>
      <c r="F70" s="72">
        <f>INDEX($F$5:$F$12,MATCH(D70,$C$5:$C$12,0))</f>
        <v/>
      </c>
      <c r="G70" s="72">
        <f>INDEX($G$5:$G$12,MATCH(D70,$C$5:$C$12,0))</f>
        <v/>
      </c>
      <c r="H70" s="72" t="inlineStr">
        <is>
          <t>039</t>
        </is>
      </c>
      <c r="I70" s="72" t="inlineStr">
        <is>
          <t>stc_a1</t>
        </is>
      </c>
      <c r="J70" s="80" t="n">
        <v>731</v>
      </c>
      <c r="K70" s="72" t="inlineStr">
        <is>
          <t>Danial Paeinmahalli</t>
        </is>
      </c>
      <c r="L70" s="81" t="n">
        <v>1139</v>
      </c>
      <c r="M70" s="81">
        <f>Y70</f>
        <v/>
      </c>
      <c r="N70" s="82" t="n">
        <v>45738</v>
      </c>
      <c r="O70" s="82" t="n">
        <v>45738</v>
      </c>
      <c r="P70" s="82" t="n">
        <v>46589</v>
      </c>
      <c r="R70" s="81">
        <f>SUM(AB70:AG70)</f>
        <v/>
      </c>
      <c r="S70" s="81">
        <f>AI70</f>
        <v/>
      </c>
      <c r="T70" s="81">
        <f>AK70</f>
        <v/>
      </c>
      <c r="Y70" s="81" t="n">
        <v>961</v>
      </c>
      <c r="AC70" s="81" t="n">
        <v>5</v>
      </c>
      <c r="AD70" s="81" t="n">
        <v>13</v>
      </c>
      <c r="AE70" s="81" t="n">
        <v>14</v>
      </c>
    </row>
    <row r="71">
      <c r="A71" s="72">
        <f>$D$25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INDEX($C$5:$C$12,MATCH(I71,$D$5:$D$12,0))</f>
        <v/>
      </c>
      <c r="E71" s="72">
        <f>INDEX($E$5:$E$12,MATCH(D71,$C$5:$C$12,0))</f>
        <v/>
      </c>
      <c r="F71" s="72">
        <f>INDEX($F$5:$F$12,MATCH(D71,$C$5:$C$12,0))</f>
        <v/>
      </c>
      <c r="G71" s="72">
        <f>INDEX($G$5:$G$12,MATCH(D71,$C$5:$C$12,0))</f>
        <v/>
      </c>
      <c r="H71" s="72" t="inlineStr">
        <is>
          <t>040</t>
        </is>
      </c>
      <c r="I71" s="72" t="inlineStr">
        <is>
          <t>stc_a3</t>
        </is>
      </c>
      <c r="J71" s="80" t="n">
        <v>987</v>
      </c>
      <c r="K71" s="72" t="inlineStr">
        <is>
          <t>Hayley Sparks</t>
        </is>
      </c>
      <c r="L71" s="81" t="n">
        <v>1319</v>
      </c>
      <c r="M71" s="81">
        <f>Y71</f>
        <v/>
      </c>
      <c r="N71" s="82" t="n">
        <v>45352</v>
      </c>
      <c r="O71" s="82" t="n">
        <v>45352</v>
      </c>
      <c r="P71" s="82" t="n">
        <v>46568</v>
      </c>
      <c r="R71" s="81">
        <f>SUM(AB71:AG71)</f>
        <v/>
      </c>
      <c r="S71" s="81">
        <f>AI71</f>
        <v/>
      </c>
      <c r="T71" s="81">
        <f>AK71</f>
        <v/>
      </c>
      <c r="Y71" s="81" t="n">
        <v>1295</v>
      </c>
      <c r="AC71" s="81" t="n">
        <v>5</v>
      </c>
      <c r="AD71" s="81" t="n">
        <v>14</v>
      </c>
      <c r="AE71" s="81" t="n">
        <v>13</v>
      </c>
    </row>
    <row r="72">
      <c r="A72" s="72">
        <f>$D$25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INDEX($C$5:$C$12,MATCH(I72,$D$5:$D$12,0))</f>
        <v/>
      </c>
      <c r="E72" s="72">
        <f>INDEX($E$5:$E$12,MATCH(D72,$C$5:$C$12,0))</f>
        <v/>
      </c>
      <c r="F72" s="72">
        <f>INDEX($F$5:$F$12,MATCH(D72,$C$5:$C$12,0))</f>
        <v/>
      </c>
      <c r="G72" s="72">
        <f>INDEX($G$5:$G$12,MATCH(D72,$C$5:$C$12,0))</f>
        <v/>
      </c>
      <c r="H72" s="72" t="inlineStr">
        <is>
          <t>041</t>
        </is>
      </c>
      <c r="I72" s="72" t="inlineStr">
        <is>
          <t>stc_a1</t>
        </is>
      </c>
      <c r="J72" s="80" t="n">
        <v>731</v>
      </c>
      <c r="K72" s="72" t="inlineStr">
        <is>
          <t>Ian Boggs</t>
        </is>
      </c>
      <c r="L72" s="81" t="n">
        <v>1264</v>
      </c>
      <c r="M72" s="81">
        <f>Y72</f>
        <v/>
      </c>
      <c r="N72" s="82" t="n">
        <v>45765</v>
      </c>
      <c r="O72" s="82" t="n">
        <v>45765</v>
      </c>
      <c r="P72" s="82" t="n">
        <v>46494</v>
      </c>
      <c r="R72" s="81">
        <f>SUM(AB72:AG72)</f>
        <v/>
      </c>
      <c r="S72" s="81">
        <f>AI72</f>
        <v/>
      </c>
      <c r="T72" s="81">
        <f>AK72</f>
        <v/>
      </c>
      <c r="Y72" s="81" t="n">
        <v>1261</v>
      </c>
      <c r="AB72" s="81" t="n">
        <v>35</v>
      </c>
      <c r="AC72" s="81" t="n">
        <v>5</v>
      </c>
      <c r="AD72" s="81" t="n">
        <v>14</v>
      </c>
      <c r="AE72" s="81" t="n">
        <v>13</v>
      </c>
    </row>
    <row r="73">
      <c r="A73" s="72">
        <f>$D$25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INDEX($C$5:$C$12,MATCH(I73,$D$5:$D$12,0))</f>
        <v/>
      </c>
      <c r="E73" s="72">
        <f>INDEX($E$5:$E$12,MATCH(D73,$C$5:$C$12,0))</f>
        <v/>
      </c>
      <c r="F73" s="72">
        <f>INDEX($F$5:$F$12,MATCH(D73,$C$5:$C$12,0))</f>
        <v/>
      </c>
      <c r="G73" s="72">
        <f>INDEX($G$5:$G$12,MATCH(D73,$C$5:$C$12,0))</f>
        <v/>
      </c>
      <c r="H73" s="72" t="inlineStr">
        <is>
          <t>042</t>
        </is>
      </c>
      <c r="I73" s="72" t="inlineStr">
        <is>
          <t>stc_a3</t>
        </is>
      </c>
      <c r="J73" s="80" t="n">
        <v>987</v>
      </c>
      <c r="K73" s="72" t="inlineStr">
        <is>
          <t>Richard Saland</t>
        </is>
      </c>
      <c r="L73" s="81" t="n">
        <v>1194</v>
      </c>
      <c r="M73" s="81">
        <f>Y73</f>
        <v/>
      </c>
      <c r="N73" s="82" t="n">
        <v>36039</v>
      </c>
      <c r="O73" s="82" t="n">
        <v>36039</v>
      </c>
      <c r="P73" s="82" t="n">
        <v>46295</v>
      </c>
      <c r="R73" s="81">
        <f>SUM(AB73:AG73)</f>
        <v/>
      </c>
      <c r="S73" s="81">
        <f>AI73</f>
        <v/>
      </c>
      <c r="T73" s="81">
        <f>AK73</f>
        <v/>
      </c>
      <c r="Y73" s="81" t="n">
        <v>1344</v>
      </c>
      <c r="AC73" s="81" t="n">
        <v>5</v>
      </c>
      <c r="AD73" s="81" t="n">
        <v>28</v>
      </c>
      <c r="AE73" s="81" t="n">
        <v>13</v>
      </c>
    </row>
    <row r="74">
      <c r="A74" s="72">
        <f>$D$25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INDEX($C$5:$C$12,MATCH(I74,$D$5:$D$12,0))</f>
        <v/>
      </c>
      <c r="E74" s="72">
        <f>INDEX($E$5:$E$12,MATCH(D74,$C$5:$C$12,0))</f>
        <v/>
      </c>
      <c r="F74" s="72">
        <f>INDEX($F$5:$F$12,MATCH(D74,$C$5:$C$12,0))</f>
        <v/>
      </c>
      <c r="G74" s="72">
        <f>INDEX($G$5:$G$12,MATCH(D74,$C$5:$C$12,0))</f>
        <v/>
      </c>
      <c r="H74" s="72" t="inlineStr">
        <is>
          <t>043</t>
        </is>
      </c>
      <c r="I74" s="72" t="inlineStr">
        <is>
          <t>stc_b1</t>
        </is>
      </c>
      <c r="J74" s="80" t="n">
        <v>1204</v>
      </c>
      <c r="K74" s="72" t="inlineStr">
        <is>
          <t>Jamie Russell</t>
        </is>
      </c>
      <c r="L74" s="81" t="n">
        <v>1443</v>
      </c>
      <c r="M74" s="81">
        <f>Y74</f>
        <v/>
      </c>
      <c r="N74" s="82" t="n">
        <v>44224</v>
      </c>
      <c r="O74" s="82" t="n">
        <v>44224</v>
      </c>
      <c r="P74" s="82" t="n">
        <v>46353</v>
      </c>
      <c r="R74" s="81">
        <f>SUM(AB74:AG74)</f>
        <v/>
      </c>
      <c r="S74" s="81">
        <f>AI74</f>
        <v/>
      </c>
      <c r="T74" s="81">
        <f>AK74</f>
        <v/>
      </c>
      <c r="Y74" s="81" t="n">
        <v>1536</v>
      </c>
      <c r="AB74" s="81" t="n">
        <v>60</v>
      </c>
      <c r="AC74" s="81" t="n">
        <v>5</v>
      </c>
      <c r="AD74" s="81" t="n">
        <v>14</v>
      </c>
      <c r="AE74" s="81" t="n">
        <v>12</v>
      </c>
    </row>
    <row r="75">
      <c r="A75" s="72">
        <f>$D$25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INDEX($C$5:$C$12,MATCH(I75,$D$5:$D$12,0))</f>
        <v/>
      </c>
      <c r="E75" s="72">
        <f>INDEX($E$5:$E$12,MATCH(D75,$C$5:$C$12,0))</f>
        <v/>
      </c>
      <c r="F75" s="72">
        <f>INDEX($F$5:$F$12,MATCH(D75,$C$5:$C$12,0))</f>
        <v/>
      </c>
      <c r="G75" s="72">
        <f>INDEX($G$5:$G$12,MATCH(D75,$C$5:$C$12,0))</f>
        <v/>
      </c>
      <c r="H75" s="72" t="inlineStr">
        <is>
          <t>044</t>
        </is>
      </c>
      <c r="I75" s="72" t="inlineStr">
        <is>
          <t>stc_b1</t>
        </is>
      </c>
      <c r="J75" s="80" t="n">
        <v>1204</v>
      </c>
      <c r="K75" s="72" t="inlineStr">
        <is>
          <t>Christopher Arnett</t>
        </is>
      </c>
      <c r="L75" s="81" t="n">
        <v>1443</v>
      </c>
      <c r="M75" s="81">
        <f>Y75</f>
        <v/>
      </c>
      <c r="N75" s="82" t="n">
        <v>46010</v>
      </c>
      <c r="O75" s="82" t="n">
        <v>46010</v>
      </c>
      <c r="P75" s="82" t="n">
        <v>46436</v>
      </c>
      <c r="R75" s="81">
        <f>SUM(AB75:AG75)</f>
        <v/>
      </c>
      <c r="S75" s="81">
        <f>AI75</f>
        <v/>
      </c>
      <c r="T75" s="81">
        <f>AK75</f>
        <v/>
      </c>
      <c r="Y75" s="81" t="n">
        <v>1558</v>
      </c>
      <c r="AC75" s="81" t="n">
        <v>5</v>
      </c>
      <c r="AD75" s="81" t="n">
        <v>14</v>
      </c>
      <c r="AE75" s="81" t="n">
        <v>12</v>
      </c>
    </row>
    <row r="76">
      <c r="A76" s="72">
        <f>$D$25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INDEX($C$5:$C$12,MATCH(I76,$D$5:$D$12,0))</f>
        <v/>
      </c>
      <c r="E76" s="72">
        <f>INDEX($E$5:$E$12,MATCH(D76,$C$5:$C$12,0))</f>
        <v/>
      </c>
      <c r="F76" s="72">
        <f>INDEX($F$5:$F$12,MATCH(D76,$C$5:$C$12,0))</f>
        <v/>
      </c>
      <c r="G76" s="72">
        <f>INDEX($G$5:$G$12,MATCH(D76,$C$5:$C$12,0))</f>
        <v/>
      </c>
      <c r="H76" s="72" t="inlineStr">
        <is>
          <t>045</t>
        </is>
      </c>
      <c r="I76" s="72" t="inlineStr">
        <is>
          <t>stc_b1</t>
        </is>
      </c>
      <c r="J76" s="80" t="n">
        <v>1204</v>
      </c>
      <c r="K76" s="72" t="inlineStr">
        <is>
          <t>Suzanne Crombie</t>
        </is>
      </c>
      <c r="L76" s="81" t="n">
        <v>1348</v>
      </c>
      <c r="M76" s="81">
        <f>Y76</f>
        <v/>
      </c>
      <c r="N76" s="82" t="n">
        <v>45649</v>
      </c>
      <c r="O76" s="82" t="n">
        <v>45649</v>
      </c>
      <c r="P76" s="82" t="n">
        <v>46440</v>
      </c>
      <c r="R76" s="81">
        <f>SUM(AB76:AG76)</f>
        <v/>
      </c>
      <c r="S76" s="81">
        <f>AI76</f>
        <v/>
      </c>
      <c r="T76" s="81">
        <f>AK76</f>
        <v/>
      </c>
      <c r="Y76" s="81" t="n">
        <v>1344</v>
      </c>
      <c r="AB76" s="81" t="n">
        <v>60</v>
      </c>
      <c r="AC76" s="81" t="n">
        <v>5</v>
      </c>
      <c r="AD76" s="81" t="n">
        <v>14</v>
      </c>
      <c r="AE76" s="81" t="n">
        <v>12</v>
      </c>
    </row>
    <row r="77">
      <c r="A77" s="72">
        <f>$D$25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INDEX($C$5:$C$12,MATCH(I77,$D$5:$D$12,0))</f>
        <v/>
      </c>
      <c r="E77" s="72">
        <f>INDEX($E$5:$E$12,MATCH(D77,$C$5:$C$12,0))</f>
        <v/>
      </c>
      <c r="F77" s="72">
        <f>INDEX($F$5:$F$12,MATCH(D77,$C$5:$C$12,0))</f>
        <v/>
      </c>
      <c r="G77" s="72">
        <f>INDEX($G$5:$G$12,MATCH(D77,$C$5:$C$12,0))</f>
        <v/>
      </c>
      <c r="H77" s="72" t="inlineStr">
        <is>
          <t>046</t>
        </is>
      </c>
      <c r="I77" s="72" t="inlineStr">
        <is>
          <t>stc_b3</t>
        </is>
      </c>
      <c r="J77" s="80" t="n">
        <v>1309</v>
      </c>
      <c r="K77" s="72" t="inlineStr">
        <is>
          <t>Rafeh Safdar</t>
        </is>
      </c>
      <c r="L77" s="81" t="n">
        <v>1466</v>
      </c>
      <c r="M77" s="81">
        <f>Y77</f>
        <v/>
      </c>
      <c r="N77" s="82" t="n">
        <v>45476</v>
      </c>
      <c r="O77" s="82" t="n">
        <v>45476</v>
      </c>
      <c r="P77" s="82" t="n">
        <v>46205</v>
      </c>
      <c r="R77" s="81">
        <f>SUM(AB77:AG77)</f>
        <v/>
      </c>
      <c r="S77" s="81">
        <f>AI77</f>
        <v/>
      </c>
      <c r="T77" s="81">
        <f>AK77</f>
        <v/>
      </c>
      <c r="Y77" s="81" t="n">
        <v>1592</v>
      </c>
      <c r="AB77" s="81" t="n">
        <v>35</v>
      </c>
      <c r="AC77" s="81" t="n">
        <v>5</v>
      </c>
      <c r="AD77" s="81" t="n">
        <v>14</v>
      </c>
      <c r="AE77" s="81" t="n">
        <v>12</v>
      </c>
    </row>
    <row r="78">
      <c r="A78" s="72">
        <f>$D$25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INDEX($C$5:$C$12,MATCH(I78,$D$5:$D$12,0))</f>
        <v/>
      </c>
      <c r="E78" s="72">
        <f>INDEX($E$5:$E$12,MATCH(D78,$C$5:$C$12,0))</f>
        <v/>
      </c>
      <c r="F78" s="72">
        <f>INDEX($F$5:$F$12,MATCH(D78,$C$5:$C$12,0))</f>
        <v/>
      </c>
      <c r="G78" s="72">
        <f>INDEX($G$5:$G$12,MATCH(D78,$C$5:$C$12,0))</f>
        <v/>
      </c>
      <c r="H78" s="72" t="inlineStr">
        <is>
          <t>047</t>
        </is>
      </c>
      <c r="I78" s="72" t="inlineStr">
        <is>
          <t>stc_b1</t>
        </is>
      </c>
      <c r="J78" s="80" t="n">
        <v>1204</v>
      </c>
      <c r="K78" s="72" t="inlineStr">
        <is>
          <t>Melanie Rudy</t>
        </is>
      </c>
      <c r="L78" s="81" t="n">
        <v>1443</v>
      </c>
      <c r="M78" s="81">
        <f>Y78</f>
        <v/>
      </c>
      <c r="N78" s="82" t="n">
        <v>45478</v>
      </c>
      <c r="O78" s="82" t="n">
        <v>45478</v>
      </c>
      <c r="P78" s="82" t="n">
        <v>46238</v>
      </c>
      <c r="R78" s="81">
        <f>SUM(AB78:AG78)</f>
        <v/>
      </c>
      <c r="S78" s="81">
        <f>AI78</f>
        <v/>
      </c>
      <c r="T78" s="81">
        <f>AK78</f>
        <v/>
      </c>
      <c r="Y78" s="81" t="n">
        <v>1546</v>
      </c>
      <c r="AB78" s="81" t="n">
        <v>60</v>
      </c>
      <c r="AC78" s="81" t="n">
        <v>5</v>
      </c>
      <c r="AD78" s="81" t="n">
        <v>14</v>
      </c>
      <c r="AE78" s="81" t="n">
        <v>12</v>
      </c>
    </row>
    <row r="79">
      <c r="A79" s="72">
        <f>$D$25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INDEX($C$5:$C$12,MATCH(I79,$D$5:$D$12,0))</f>
        <v/>
      </c>
      <c r="E79" s="72">
        <f>INDEX($E$5:$E$12,MATCH(D79,$C$5:$C$12,0))</f>
        <v/>
      </c>
      <c r="F79" s="72">
        <f>INDEX($F$5:$F$12,MATCH(D79,$C$5:$C$12,0))</f>
        <v/>
      </c>
      <c r="G79" s="72">
        <f>INDEX($G$5:$G$12,MATCH(D79,$C$5:$C$12,0))</f>
        <v/>
      </c>
      <c r="H79" s="72" t="inlineStr">
        <is>
          <t>048</t>
        </is>
      </c>
      <c r="I79" s="72" t="inlineStr">
        <is>
          <t>stc_b1</t>
        </is>
      </c>
      <c r="J79" s="80" t="n">
        <v>1204</v>
      </c>
      <c r="K79" s="72" t="inlineStr">
        <is>
          <t>Alexander Suffridge</t>
        </is>
      </c>
      <c r="L79" s="81" t="n">
        <v>1443</v>
      </c>
      <c r="M79" s="81">
        <f>Y79</f>
        <v/>
      </c>
      <c r="N79" s="82" t="n">
        <v>44690</v>
      </c>
      <c r="O79" s="82" t="n">
        <v>44690</v>
      </c>
      <c r="P79" s="82" t="n">
        <v>46334</v>
      </c>
      <c r="R79" s="81">
        <f>SUM(AB79:AG79)</f>
        <v/>
      </c>
      <c r="S79" s="81">
        <f>AI79</f>
        <v/>
      </c>
      <c r="T79" s="81">
        <f>AK79</f>
        <v/>
      </c>
      <c r="Y79" s="81" t="n">
        <v>1490</v>
      </c>
      <c r="AB79" s="81" t="n">
        <v>60</v>
      </c>
      <c r="AC79" s="81" t="n">
        <v>5</v>
      </c>
      <c r="AD79" s="81" t="n">
        <v>14</v>
      </c>
      <c r="AE79" s="81" t="n">
        <v>12</v>
      </c>
    </row>
    <row r="80">
      <c r="A80" s="83">
        <f>$D$25</f>
        <v/>
      </c>
      <c r="B80" s="83">
        <f>B79+1</f>
        <v/>
      </c>
      <c r="C80" s="83">
        <f>IF(K80="Vacant","Vac",IF(K80="Model","Model",IF(K80="Admin","Admin",IF(K80="Down","Down",IF(K80="Super","Super","Occ")))))</f>
        <v/>
      </c>
      <c r="D80" s="83">
        <f>INDEX($C$5:$C$12,MATCH(I80,$D$5:$D$12,0))</f>
        <v/>
      </c>
      <c r="E80" s="83">
        <f>INDEX($E$5:$E$12,MATCH(D80,$C$5:$C$12,0))</f>
        <v/>
      </c>
      <c r="F80" s="83">
        <f>INDEX($F$5:$F$12,MATCH(D80,$C$5:$C$12,0))</f>
        <v/>
      </c>
      <c r="G80" s="83">
        <f>INDEX($G$5:$G$12,MATCH(D80,$C$5:$C$12,0))</f>
        <v/>
      </c>
      <c r="H80" s="83" t="inlineStr">
        <is>
          <t>049</t>
        </is>
      </c>
      <c r="I80" s="83" t="inlineStr">
        <is>
          <t>stc_a2</t>
        </is>
      </c>
      <c r="J80" s="84" t="n">
        <v>768</v>
      </c>
      <c r="K80" s="83" t="inlineStr">
        <is>
          <t>Vacant</t>
        </is>
      </c>
      <c r="L80" s="85" t="n">
        <v>1199</v>
      </c>
      <c r="M80" s="85">
        <f>Y80</f>
        <v/>
      </c>
      <c r="N80" s="86" t="n"/>
      <c r="O80" s="86" t="n"/>
      <c r="P80" s="86" t="n"/>
      <c r="Q80" s="86" t="n"/>
      <c r="R80" s="85">
        <f>SUM(AB80:AG80)</f>
        <v/>
      </c>
      <c r="S80" s="85">
        <f>AI80</f>
        <v/>
      </c>
      <c r="T80" s="85">
        <f>AK80</f>
        <v/>
      </c>
      <c r="U80" s="86" t="n"/>
      <c r="V80" s="86" t="n"/>
      <c r="W80" s="86" t="n"/>
      <c r="X80" s="86" t="n"/>
      <c r="Y80" s="85" t="n">
        <v>0</v>
      </c>
      <c r="Z80" s="86" t="n"/>
      <c r="AA80" s="86" t="n"/>
      <c r="AB80" s="86" t="n"/>
      <c r="AC80" s="86" t="n"/>
      <c r="AD80" s="86" t="n"/>
      <c r="AE80" s="86" t="n"/>
      <c r="AF80" s="86" t="n"/>
      <c r="AG80" s="86" t="n"/>
      <c r="AH80" s="86" t="n"/>
      <c r="AI80" s="86" t="n"/>
      <c r="AJ80" s="86" t="n"/>
      <c r="AK80" s="86" t="n"/>
    </row>
    <row r="81">
      <c r="A81" s="72">
        <f>$D$25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INDEX($C$5:$C$12,MATCH(I81,$D$5:$D$12,0))</f>
        <v/>
      </c>
      <c r="E81" s="72">
        <f>INDEX($E$5:$E$12,MATCH(D81,$C$5:$C$12,0))</f>
        <v/>
      </c>
      <c r="F81" s="72">
        <f>INDEX($F$5:$F$12,MATCH(D81,$C$5:$C$12,0))</f>
        <v/>
      </c>
      <c r="G81" s="72">
        <f>INDEX($G$5:$G$12,MATCH(D81,$C$5:$C$12,0))</f>
        <v/>
      </c>
      <c r="H81" s="72" t="inlineStr">
        <is>
          <t>050</t>
        </is>
      </c>
      <c r="I81" s="72" t="inlineStr">
        <is>
          <t>stc_b2</t>
        </is>
      </c>
      <c r="J81" s="80" t="n">
        <v>1214</v>
      </c>
      <c r="K81" s="72" t="inlineStr">
        <is>
          <t>Kathleen Moore</t>
        </is>
      </c>
      <c r="L81" s="81" t="n">
        <v>1466</v>
      </c>
      <c r="M81" s="81">
        <f>Y81</f>
        <v/>
      </c>
      <c r="N81" s="82" t="n">
        <v>46192</v>
      </c>
      <c r="O81" s="82" t="n">
        <v>46192</v>
      </c>
      <c r="P81" s="82" t="n">
        <v>46556</v>
      </c>
      <c r="R81" s="81">
        <f>SUM(AB81:AG81)</f>
        <v/>
      </c>
      <c r="S81" s="81">
        <f>AI81</f>
        <v/>
      </c>
      <c r="T81" s="81">
        <f>AK81</f>
        <v/>
      </c>
      <c r="Y81" s="81" t="n">
        <v>1541</v>
      </c>
      <c r="AC81" s="81" t="n">
        <v>5</v>
      </c>
      <c r="AD81" s="81" t="n">
        <v>14</v>
      </c>
      <c r="AE81" s="81" t="n">
        <v>12</v>
      </c>
    </row>
    <row r="82">
      <c r="A82" s="72">
        <f>$D$25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INDEX($C$5:$C$12,MATCH(I82,$D$5:$D$12,0))</f>
        <v/>
      </c>
      <c r="E82" s="72">
        <f>INDEX($E$5:$E$12,MATCH(D82,$C$5:$C$12,0))</f>
        <v/>
      </c>
      <c r="F82" s="72">
        <f>INDEX($F$5:$F$12,MATCH(D82,$C$5:$C$12,0))</f>
        <v/>
      </c>
      <c r="G82" s="72">
        <f>INDEX($G$5:$G$12,MATCH(D82,$C$5:$C$12,0))</f>
        <v/>
      </c>
      <c r="H82" s="72" t="inlineStr">
        <is>
          <t>051</t>
        </is>
      </c>
      <c r="I82" s="72" t="inlineStr">
        <is>
          <t>stc_a1</t>
        </is>
      </c>
      <c r="J82" s="80" t="n">
        <v>731</v>
      </c>
      <c r="K82" s="72" t="inlineStr">
        <is>
          <t>Elijah Moore</t>
        </is>
      </c>
      <c r="L82" s="81" t="n">
        <v>1264</v>
      </c>
      <c r="M82" s="81">
        <f>Y82</f>
        <v/>
      </c>
      <c r="N82" s="82" t="n">
        <v>46170</v>
      </c>
      <c r="O82" s="82" t="n">
        <v>46170</v>
      </c>
      <c r="P82" s="82" t="n">
        <v>46565</v>
      </c>
      <c r="R82" s="81">
        <f>SUM(AB82:AG82)</f>
        <v/>
      </c>
      <c r="S82" s="81">
        <f>AI82</f>
        <v/>
      </c>
      <c r="T82" s="81">
        <f>AK82</f>
        <v/>
      </c>
      <c r="Y82" s="81" t="n">
        <v>1260</v>
      </c>
      <c r="AC82" s="81" t="n">
        <v>5</v>
      </c>
      <c r="AD82" s="81" t="n">
        <v>14</v>
      </c>
      <c r="AE82" s="81" t="n">
        <v>13</v>
      </c>
    </row>
    <row r="83">
      <c r="A83" s="72">
        <f>$D$25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INDEX($C$5:$C$12,MATCH(I83,$D$5:$D$12,0))</f>
        <v/>
      </c>
      <c r="E83" s="72">
        <f>INDEX($E$5:$E$12,MATCH(D83,$C$5:$C$12,0))</f>
        <v/>
      </c>
      <c r="F83" s="72">
        <f>INDEX($F$5:$F$12,MATCH(D83,$C$5:$C$12,0))</f>
        <v/>
      </c>
      <c r="G83" s="72">
        <f>INDEX($G$5:$G$12,MATCH(D83,$C$5:$C$12,0))</f>
        <v/>
      </c>
      <c r="H83" s="72" t="inlineStr">
        <is>
          <t>052</t>
        </is>
      </c>
      <c r="I83" s="72" t="inlineStr">
        <is>
          <t>stc_a3</t>
        </is>
      </c>
      <c r="J83" s="80" t="n">
        <v>987</v>
      </c>
      <c r="K83" s="72" t="inlineStr">
        <is>
          <t>Sydney McDonald</t>
        </is>
      </c>
      <c r="L83" s="81" t="n">
        <v>1319</v>
      </c>
      <c r="M83" s="81">
        <f>Y83</f>
        <v/>
      </c>
      <c r="N83" s="82" t="n">
        <v>46002</v>
      </c>
      <c r="O83" s="82" t="n">
        <v>46002</v>
      </c>
      <c r="P83" s="82" t="n">
        <v>46428</v>
      </c>
      <c r="R83" s="81">
        <f>SUM(AB83:AG83)</f>
        <v/>
      </c>
      <c r="S83" s="81">
        <f>AI83</f>
        <v/>
      </c>
      <c r="T83" s="81">
        <f>AK83</f>
        <v/>
      </c>
      <c r="Y83" s="81" t="n">
        <v>1349</v>
      </c>
      <c r="AB83" s="81" t="n">
        <v>85</v>
      </c>
      <c r="AC83" s="81" t="n">
        <v>5</v>
      </c>
      <c r="AD83" s="81" t="n">
        <v>14</v>
      </c>
      <c r="AE83" s="81" t="n">
        <v>12</v>
      </c>
    </row>
    <row r="84">
      <c r="A84" s="72">
        <f>$D$25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INDEX($C$5:$C$12,MATCH(I84,$D$5:$D$12,0))</f>
        <v/>
      </c>
      <c r="E84" s="72">
        <f>INDEX($E$5:$E$12,MATCH(D84,$C$5:$C$12,0))</f>
        <v/>
      </c>
      <c r="F84" s="72">
        <f>INDEX($F$5:$F$12,MATCH(D84,$C$5:$C$12,0))</f>
        <v/>
      </c>
      <c r="G84" s="72">
        <f>INDEX($G$5:$G$12,MATCH(D84,$C$5:$C$12,0))</f>
        <v/>
      </c>
      <c r="H84" s="72" t="inlineStr">
        <is>
          <t>053</t>
        </is>
      </c>
      <c r="I84" s="72" t="inlineStr">
        <is>
          <t>stc_a1</t>
        </is>
      </c>
      <c r="J84" s="80" t="n">
        <v>731</v>
      </c>
      <c r="K84" s="72" t="inlineStr">
        <is>
          <t>Jim Blackburn</t>
        </is>
      </c>
      <c r="L84" s="81" t="n">
        <v>1139</v>
      </c>
      <c r="M84" s="81">
        <f>Y84</f>
        <v/>
      </c>
      <c r="N84" s="82" t="n">
        <v>40949</v>
      </c>
      <c r="O84" s="82" t="n">
        <v>40949</v>
      </c>
      <c r="P84" s="82" t="n">
        <v>46212</v>
      </c>
      <c r="R84" s="81">
        <f>SUM(AB84:AG84)</f>
        <v/>
      </c>
      <c r="S84" s="81">
        <f>AI84</f>
        <v/>
      </c>
      <c r="T84" s="81">
        <f>AK84</f>
        <v/>
      </c>
      <c r="Y84" s="81" t="n">
        <v>1040</v>
      </c>
      <c r="AB84" s="81" t="n">
        <v>35</v>
      </c>
      <c r="AC84" s="81" t="n">
        <v>5</v>
      </c>
      <c r="AD84" s="81" t="n">
        <v>14</v>
      </c>
      <c r="AE84" s="81" t="n">
        <v>12</v>
      </c>
    </row>
    <row r="85">
      <c r="A85" s="72">
        <f>$D$25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INDEX($C$5:$C$12,MATCH(I85,$D$5:$D$12,0))</f>
        <v/>
      </c>
      <c r="E85" s="72">
        <f>INDEX($E$5:$E$12,MATCH(D85,$C$5:$C$12,0))</f>
        <v/>
      </c>
      <c r="F85" s="72">
        <f>INDEX($F$5:$F$12,MATCH(D85,$C$5:$C$12,0))</f>
        <v/>
      </c>
      <c r="G85" s="72">
        <f>INDEX($G$5:$G$12,MATCH(D85,$C$5:$C$12,0))</f>
        <v/>
      </c>
      <c r="H85" s="72" t="inlineStr">
        <is>
          <t>054</t>
        </is>
      </c>
      <c r="I85" s="72" t="inlineStr">
        <is>
          <t>stc_a3</t>
        </is>
      </c>
      <c r="J85" s="80" t="n">
        <v>987</v>
      </c>
      <c r="K85" s="72" t="inlineStr">
        <is>
          <t>Brian Claridge</t>
        </is>
      </c>
      <c r="L85" s="81" t="n">
        <v>1319</v>
      </c>
      <c r="M85" s="81">
        <f>Y85</f>
        <v/>
      </c>
      <c r="N85" s="82" t="n">
        <v>45730</v>
      </c>
      <c r="O85" s="82" t="n">
        <v>45730</v>
      </c>
      <c r="P85" s="82" t="n">
        <v>46459</v>
      </c>
      <c r="R85" s="81">
        <f>SUM(AB85:AG85)</f>
        <v/>
      </c>
      <c r="S85" s="81">
        <f>AI85</f>
        <v/>
      </c>
      <c r="T85" s="81">
        <f>AK85</f>
        <v/>
      </c>
      <c r="Y85" s="81" t="n">
        <v>1280</v>
      </c>
      <c r="AB85" s="81" t="n">
        <v>35</v>
      </c>
      <c r="AC85" s="81" t="n">
        <v>5</v>
      </c>
      <c r="AD85" s="81" t="n">
        <v>14</v>
      </c>
      <c r="AE85" s="81" t="n">
        <v>13</v>
      </c>
    </row>
    <row r="86">
      <c r="A86" s="72">
        <f>$D$25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INDEX($C$5:$C$12,MATCH(I86,$D$5:$D$12,0))</f>
        <v/>
      </c>
      <c r="E86" s="72">
        <f>INDEX($E$5:$E$12,MATCH(D86,$C$5:$C$12,0))</f>
        <v/>
      </c>
      <c r="F86" s="72">
        <f>INDEX($F$5:$F$12,MATCH(D86,$C$5:$C$12,0))</f>
        <v/>
      </c>
      <c r="G86" s="72">
        <f>INDEX($G$5:$G$12,MATCH(D86,$C$5:$C$12,0))</f>
        <v/>
      </c>
      <c r="H86" s="72" t="inlineStr">
        <is>
          <t>055</t>
        </is>
      </c>
      <c r="I86" s="72" t="inlineStr">
        <is>
          <t>stc_a1</t>
        </is>
      </c>
      <c r="J86" s="80" t="n">
        <v>731</v>
      </c>
      <c r="K86" s="72" t="inlineStr">
        <is>
          <t>Karly Dadisman</t>
        </is>
      </c>
      <c r="L86" s="81" t="n">
        <v>1264</v>
      </c>
      <c r="M86" s="81">
        <f>Y86</f>
        <v/>
      </c>
      <c r="N86" s="82" t="n">
        <v>45876</v>
      </c>
      <c r="O86" s="82" t="n">
        <v>45876</v>
      </c>
      <c r="P86" s="82" t="n">
        <v>46301</v>
      </c>
      <c r="R86" s="81">
        <f>SUM(AB86:AG86)</f>
        <v/>
      </c>
      <c r="S86" s="81">
        <f>AI86</f>
        <v/>
      </c>
      <c r="T86" s="81">
        <f>AK86</f>
        <v/>
      </c>
      <c r="Y86" s="81" t="n">
        <v>1165</v>
      </c>
      <c r="AC86" s="81" t="n">
        <v>5</v>
      </c>
      <c r="AD86" s="81" t="n">
        <v>14</v>
      </c>
      <c r="AE86" s="81" t="n">
        <v>12</v>
      </c>
      <c r="AF86" s="81" t="n">
        <v>40</v>
      </c>
    </row>
    <row r="87">
      <c r="A87" s="72">
        <f>$D$25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INDEX($C$5:$C$12,MATCH(I87,$D$5:$D$12,0))</f>
        <v/>
      </c>
      <c r="E87" s="72">
        <f>INDEX($E$5:$E$12,MATCH(D87,$C$5:$C$12,0))</f>
        <v/>
      </c>
      <c r="F87" s="72">
        <f>INDEX($F$5:$F$12,MATCH(D87,$C$5:$C$12,0))</f>
        <v/>
      </c>
      <c r="G87" s="72">
        <f>INDEX($G$5:$G$12,MATCH(D87,$C$5:$C$12,0))</f>
        <v/>
      </c>
      <c r="H87" s="72" t="inlineStr">
        <is>
          <t>056</t>
        </is>
      </c>
      <c r="I87" s="72" t="inlineStr">
        <is>
          <t>stc_a3</t>
        </is>
      </c>
      <c r="J87" s="80" t="n">
        <v>987</v>
      </c>
      <c r="K87" s="72" t="inlineStr">
        <is>
          <t>Ziad Alkhamis</t>
        </is>
      </c>
      <c r="L87" s="81" t="n">
        <v>1319</v>
      </c>
      <c r="M87" s="81">
        <f>Y87</f>
        <v/>
      </c>
      <c r="N87" s="82" t="n">
        <v>46157</v>
      </c>
      <c r="O87" s="82" t="n">
        <v>46157</v>
      </c>
      <c r="P87" s="82" t="n">
        <v>46401</v>
      </c>
      <c r="R87" s="81">
        <f>SUM(AB87:AG87)</f>
        <v/>
      </c>
      <c r="S87" s="81">
        <f>AI87</f>
        <v/>
      </c>
      <c r="T87" s="81">
        <f>AK87</f>
        <v/>
      </c>
      <c r="Y87" s="81" t="n">
        <v>1387</v>
      </c>
      <c r="AC87" s="81" t="n">
        <v>5</v>
      </c>
      <c r="AD87" s="81" t="n">
        <v>14</v>
      </c>
      <c r="AE87" s="81" t="n">
        <v>13</v>
      </c>
    </row>
    <row r="88">
      <c r="A88" s="72">
        <f>$D$25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INDEX($C$5:$C$12,MATCH(I88,$D$5:$D$12,0))</f>
        <v/>
      </c>
      <c r="E88" s="72">
        <f>INDEX($E$5:$E$12,MATCH(D88,$C$5:$C$12,0))</f>
        <v/>
      </c>
      <c r="F88" s="72">
        <f>INDEX($F$5:$F$12,MATCH(D88,$C$5:$C$12,0))</f>
        <v/>
      </c>
      <c r="G88" s="72">
        <f>INDEX($G$5:$G$12,MATCH(D88,$C$5:$C$12,0))</f>
        <v/>
      </c>
      <c r="H88" s="72" t="inlineStr">
        <is>
          <t>057</t>
        </is>
      </c>
      <c r="I88" s="72" t="inlineStr">
        <is>
          <t>stc_a1</t>
        </is>
      </c>
      <c r="J88" s="80" t="n">
        <v>731</v>
      </c>
      <c r="K88" s="72" t="inlineStr">
        <is>
          <t>Emerson Taulbee</t>
        </is>
      </c>
      <c r="L88" s="81" t="n">
        <v>1264</v>
      </c>
      <c r="M88" s="81">
        <f>Y88</f>
        <v/>
      </c>
      <c r="N88" s="82" t="n">
        <v>46173</v>
      </c>
      <c r="O88" s="82" t="n">
        <v>46173</v>
      </c>
      <c r="P88" s="82" t="n">
        <v>46537</v>
      </c>
      <c r="R88" s="81">
        <f>SUM(AB88:AG88)</f>
        <v/>
      </c>
      <c r="S88" s="81">
        <f>AI88</f>
        <v/>
      </c>
      <c r="T88" s="81">
        <f>AK88</f>
        <v/>
      </c>
      <c r="Y88" s="81" t="n">
        <v>1328</v>
      </c>
      <c r="AB88" s="81" t="n">
        <v>35</v>
      </c>
      <c r="AC88" s="81" t="n">
        <v>5</v>
      </c>
      <c r="AD88" s="81" t="n">
        <v>14</v>
      </c>
      <c r="AE88" s="81" t="n">
        <v>13</v>
      </c>
    </row>
    <row r="89">
      <c r="A89" s="72">
        <f>$D$25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INDEX($C$5:$C$12,MATCH(I89,$D$5:$D$12,0))</f>
        <v/>
      </c>
      <c r="E89" s="72">
        <f>INDEX($E$5:$E$12,MATCH(D89,$C$5:$C$12,0))</f>
        <v/>
      </c>
      <c r="F89" s="72">
        <f>INDEX($F$5:$F$12,MATCH(D89,$C$5:$C$12,0))</f>
        <v/>
      </c>
      <c r="G89" s="72">
        <f>INDEX($G$5:$G$12,MATCH(D89,$C$5:$C$12,0))</f>
        <v/>
      </c>
      <c r="H89" s="72" t="inlineStr">
        <is>
          <t>058</t>
        </is>
      </c>
      <c r="I89" s="72" t="inlineStr">
        <is>
          <t>stc_a3</t>
        </is>
      </c>
      <c r="J89" s="80" t="n">
        <v>987</v>
      </c>
      <c r="K89" s="72" t="inlineStr">
        <is>
          <t>Alexis Mertz</t>
        </is>
      </c>
      <c r="L89" s="81" t="n">
        <v>1319</v>
      </c>
      <c r="M89" s="81">
        <f>Y89</f>
        <v/>
      </c>
      <c r="N89" s="82" t="n">
        <v>45482</v>
      </c>
      <c r="O89" s="82" t="n">
        <v>45482</v>
      </c>
      <c r="P89" s="82" t="n">
        <v>46242</v>
      </c>
      <c r="Q89" s="82" t="n">
        <v>46242</v>
      </c>
      <c r="R89" s="81">
        <f>SUM(AB89:AG89)</f>
        <v/>
      </c>
      <c r="S89" s="81">
        <f>AI89</f>
        <v/>
      </c>
      <c r="T89" s="81">
        <f>AK89</f>
        <v/>
      </c>
      <c r="Y89" s="81" t="n">
        <v>1375</v>
      </c>
      <c r="AB89" s="81" t="n">
        <v>60</v>
      </c>
      <c r="AC89" s="81" t="n">
        <v>5</v>
      </c>
      <c r="AD89" s="81" t="n">
        <v>14</v>
      </c>
      <c r="AE89" s="81" t="n">
        <v>12</v>
      </c>
    </row>
    <row r="90">
      <c r="A90" s="72">
        <f>$D$25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INDEX($C$5:$C$12,MATCH(I90,$D$5:$D$12,0))</f>
        <v/>
      </c>
      <c r="E90" s="72">
        <f>INDEX($E$5:$E$12,MATCH(D90,$C$5:$C$12,0))</f>
        <v/>
      </c>
      <c r="F90" s="72">
        <f>INDEX($F$5:$F$12,MATCH(D90,$C$5:$C$12,0))</f>
        <v/>
      </c>
      <c r="G90" s="72">
        <f>INDEX($G$5:$G$12,MATCH(D90,$C$5:$C$12,0))</f>
        <v/>
      </c>
      <c r="H90" s="72" t="inlineStr">
        <is>
          <t>059</t>
        </is>
      </c>
      <c r="I90" s="72" t="inlineStr">
        <is>
          <t>stc_a1</t>
        </is>
      </c>
      <c r="J90" s="80" t="n">
        <v>731</v>
      </c>
      <c r="K90" s="72" t="inlineStr">
        <is>
          <t>Annie Cox</t>
        </is>
      </c>
      <c r="L90" s="81" t="n">
        <v>1264</v>
      </c>
      <c r="M90" s="81">
        <f>Y90</f>
        <v/>
      </c>
      <c r="N90" s="82" t="n">
        <v>43995</v>
      </c>
      <c r="O90" s="82" t="n">
        <v>43995</v>
      </c>
      <c r="P90" s="82" t="n">
        <v>46215</v>
      </c>
      <c r="R90" s="81">
        <f>SUM(AB90:AG90)</f>
        <v/>
      </c>
      <c r="S90" s="81">
        <f>AI90</f>
        <v/>
      </c>
      <c r="T90" s="81">
        <f>AK90</f>
        <v/>
      </c>
      <c r="Y90" s="81" t="n">
        <v>1141</v>
      </c>
      <c r="AC90" s="81" t="n">
        <v>5</v>
      </c>
      <c r="AD90" s="81" t="n">
        <v>14</v>
      </c>
      <c r="AE90" s="81" t="n">
        <v>12</v>
      </c>
    </row>
    <row r="91">
      <c r="A91" s="72">
        <f>$D$25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INDEX($C$5:$C$12,MATCH(I91,$D$5:$D$12,0))</f>
        <v/>
      </c>
      <c r="E91" s="72">
        <f>INDEX($E$5:$E$12,MATCH(D91,$C$5:$C$12,0))</f>
        <v/>
      </c>
      <c r="F91" s="72">
        <f>INDEX($F$5:$F$12,MATCH(D91,$C$5:$C$12,0))</f>
        <v/>
      </c>
      <c r="G91" s="72">
        <f>INDEX($G$5:$G$12,MATCH(D91,$C$5:$C$12,0))</f>
        <v/>
      </c>
      <c r="H91" s="72" t="inlineStr">
        <is>
          <t>060</t>
        </is>
      </c>
      <c r="I91" s="72" t="inlineStr">
        <is>
          <t>stc_a3</t>
        </is>
      </c>
      <c r="J91" s="80" t="n">
        <v>987</v>
      </c>
      <c r="K91" s="72" t="inlineStr">
        <is>
          <t>Kristin Worth</t>
        </is>
      </c>
      <c r="L91" s="81" t="n">
        <v>1194</v>
      </c>
      <c r="M91" s="81">
        <f>Y91</f>
        <v/>
      </c>
      <c r="N91" s="82" t="n">
        <v>44044</v>
      </c>
      <c r="O91" s="82" t="n">
        <v>44044</v>
      </c>
      <c r="P91" s="82" t="n">
        <v>46538</v>
      </c>
      <c r="R91" s="81">
        <f>SUM(AB91:AG91)</f>
        <v/>
      </c>
      <c r="S91" s="81">
        <f>AI91</f>
        <v/>
      </c>
      <c r="T91" s="81">
        <f>AK91</f>
        <v/>
      </c>
      <c r="Y91" s="81" t="n">
        <v>1281</v>
      </c>
      <c r="AC91" s="81" t="n">
        <v>5</v>
      </c>
      <c r="AD91" s="81" t="n">
        <v>14</v>
      </c>
      <c r="AE91" s="81" t="n">
        <v>13</v>
      </c>
    </row>
    <row r="92">
      <c r="A92" s="72">
        <f>$D$25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INDEX($C$5:$C$12,MATCH(I92,$D$5:$D$12,0))</f>
        <v/>
      </c>
      <c r="E92" s="72">
        <f>INDEX($E$5:$E$12,MATCH(D92,$C$5:$C$12,0))</f>
        <v/>
      </c>
      <c r="F92" s="72">
        <f>INDEX($F$5:$F$12,MATCH(D92,$C$5:$C$12,0))</f>
        <v/>
      </c>
      <c r="G92" s="72">
        <f>INDEX($G$5:$G$12,MATCH(D92,$C$5:$C$12,0))</f>
        <v/>
      </c>
      <c r="H92" s="72" t="inlineStr">
        <is>
          <t>061</t>
        </is>
      </c>
      <c r="I92" s="72" t="inlineStr">
        <is>
          <t>stc_a1</t>
        </is>
      </c>
      <c r="J92" s="80" t="n">
        <v>731</v>
      </c>
      <c r="K92" s="72" t="inlineStr">
        <is>
          <t>Ryann Walden</t>
        </is>
      </c>
      <c r="L92" s="81" t="n">
        <v>1264</v>
      </c>
      <c r="M92" s="81">
        <f>Y92</f>
        <v/>
      </c>
      <c r="N92" s="82" t="n">
        <v>45762</v>
      </c>
      <c r="O92" s="82" t="n">
        <v>45762</v>
      </c>
      <c r="P92" s="82" t="n">
        <v>46217</v>
      </c>
      <c r="R92" s="81">
        <f>SUM(AB92:AG92)</f>
        <v/>
      </c>
      <c r="S92" s="81">
        <f>AI92</f>
        <v/>
      </c>
      <c r="T92" s="81">
        <f>AK92</f>
        <v/>
      </c>
      <c r="Y92" s="81" t="n">
        <v>1177</v>
      </c>
      <c r="AB92" s="81" t="n">
        <v>60</v>
      </c>
      <c r="AC92" s="81" t="n">
        <v>5</v>
      </c>
      <c r="AD92" s="81" t="n">
        <v>12</v>
      </c>
      <c r="AE92" s="81" t="n">
        <v>12</v>
      </c>
    </row>
    <row r="93">
      <c r="A93" s="72">
        <f>$D$25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INDEX($C$5:$C$12,MATCH(I93,$D$5:$D$12,0))</f>
        <v/>
      </c>
      <c r="E93" s="72">
        <f>INDEX($E$5:$E$12,MATCH(D93,$C$5:$C$12,0))</f>
        <v/>
      </c>
      <c r="F93" s="72">
        <f>INDEX($F$5:$F$12,MATCH(D93,$C$5:$C$12,0))</f>
        <v/>
      </c>
      <c r="G93" s="72">
        <f>INDEX($G$5:$G$12,MATCH(D93,$C$5:$C$12,0))</f>
        <v/>
      </c>
      <c r="H93" s="72" t="inlineStr">
        <is>
          <t>062</t>
        </is>
      </c>
      <c r="I93" s="72" t="inlineStr">
        <is>
          <t>stc_a3</t>
        </is>
      </c>
      <c r="J93" s="80" t="n">
        <v>987</v>
      </c>
      <c r="K93" s="72" t="inlineStr">
        <is>
          <t>Adeline Back</t>
        </is>
      </c>
      <c r="L93" s="81" t="n">
        <v>1319</v>
      </c>
      <c r="M93" s="81">
        <f>Y93</f>
        <v/>
      </c>
      <c r="N93" s="82" t="n">
        <v>45908</v>
      </c>
      <c r="O93" s="82" t="n">
        <v>45908</v>
      </c>
      <c r="P93" s="82" t="n">
        <v>46272</v>
      </c>
      <c r="R93" s="81">
        <f>SUM(AB93:AG93)</f>
        <v/>
      </c>
      <c r="S93" s="81">
        <f>AI93</f>
        <v/>
      </c>
      <c r="T93" s="81">
        <f>AK93</f>
        <v/>
      </c>
      <c r="Y93" s="81" t="n">
        <v>1323</v>
      </c>
      <c r="AC93" s="81" t="n">
        <v>5</v>
      </c>
      <c r="AD93" s="81" t="n">
        <v>14</v>
      </c>
      <c r="AE93" s="81" t="n">
        <v>12</v>
      </c>
    </row>
    <row r="94">
      <c r="A94" s="72">
        <f>$D$25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INDEX($C$5:$C$12,MATCH(I94,$D$5:$D$12,0))</f>
        <v/>
      </c>
      <c r="E94" s="72">
        <f>INDEX($E$5:$E$12,MATCH(D94,$C$5:$C$12,0))</f>
        <v/>
      </c>
      <c r="F94" s="72">
        <f>INDEX($F$5:$F$12,MATCH(D94,$C$5:$C$12,0))</f>
        <v/>
      </c>
      <c r="G94" s="72">
        <f>INDEX($G$5:$G$12,MATCH(D94,$C$5:$C$12,0))</f>
        <v/>
      </c>
      <c r="H94" s="72" t="inlineStr">
        <is>
          <t>063</t>
        </is>
      </c>
      <c r="I94" s="72" t="inlineStr">
        <is>
          <t>stc_a2</t>
        </is>
      </c>
      <c r="J94" s="80" t="n">
        <v>768</v>
      </c>
      <c r="K94" s="72" t="inlineStr">
        <is>
          <t>Emily Yeager</t>
        </is>
      </c>
      <c r="L94" s="81" t="n">
        <v>1270</v>
      </c>
      <c r="M94" s="81">
        <f>Y94</f>
        <v/>
      </c>
      <c r="N94" s="82" t="n">
        <v>45829</v>
      </c>
      <c r="O94" s="82" t="n">
        <v>45829</v>
      </c>
      <c r="P94" s="82" t="n">
        <v>46254</v>
      </c>
      <c r="Q94" s="82" t="n">
        <v>46254</v>
      </c>
      <c r="R94" s="81">
        <f>SUM(AB94:AG94)</f>
        <v/>
      </c>
      <c r="S94" s="81">
        <f>AI94</f>
        <v/>
      </c>
      <c r="T94" s="81">
        <f>AK94</f>
        <v/>
      </c>
      <c r="Y94" s="81" t="n">
        <v>1080</v>
      </c>
      <c r="AC94" s="81" t="n">
        <v>5</v>
      </c>
      <c r="AD94" s="81" t="n">
        <v>14</v>
      </c>
      <c r="AE94" s="81" t="n">
        <v>12</v>
      </c>
    </row>
    <row r="95">
      <c r="A95" s="72">
        <f>$D$25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INDEX($C$5:$C$12,MATCH(I95,$D$5:$D$12,0))</f>
        <v/>
      </c>
      <c r="E95" s="72">
        <f>INDEX($E$5:$E$12,MATCH(D95,$C$5:$C$12,0))</f>
        <v/>
      </c>
      <c r="F95" s="72">
        <f>INDEX($F$5:$F$12,MATCH(D95,$C$5:$C$12,0))</f>
        <v/>
      </c>
      <c r="G95" s="72">
        <f>INDEX($G$5:$G$12,MATCH(D95,$C$5:$C$12,0))</f>
        <v/>
      </c>
      <c r="H95" s="72" t="inlineStr">
        <is>
          <t>064</t>
        </is>
      </c>
      <c r="I95" s="72" t="inlineStr">
        <is>
          <t>stc_b2</t>
        </is>
      </c>
      <c r="J95" s="80" t="n">
        <v>1214</v>
      </c>
      <c r="K95" s="72" t="inlineStr">
        <is>
          <t>Ann Lloyd</t>
        </is>
      </c>
      <c r="L95" s="81" t="n">
        <v>1466</v>
      </c>
      <c r="M95" s="81">
        <f>Y95</f>
        <v/>
      </c>
      <c r="N95" s="82" t="n">
        <v>44170</v>
      </c>
      <c r="O95" s="82" t="n">
        <v>44170</v>
      </c>
      <c r="P95" s="82" t="n">
        <v>46511</v>
      </c>
      <c r="R95" s="81">
        <f>SUM(AB95:AG95)</f>
        <v/>
      </c>
      <c r="S95" s="81">
        <f>AI95</f>
        <v/>
      </c>
      <c r="T95" s="81">
        <f>AK95</f>
        <v/>
      </c>
      <c r="Y95" s="81" t="n">
        <v>1678</v>
      </c>
      <c r="AB95" s="81" t="n">
        <v>60</v>
      </c>
      <c r="AC95" s="81" t="n">
        <v>5</v>
      </c>
      <c r="AD95" s="81" t="n">
        <v>14</v>
      </c>
      <c r="AE95" s="81" t="n">
        <v>13</v>
      </c>
      <c r="AF95" s="81" t="n">
        <v>50</v>
      </c>
    </row>
    <row r="96">
      <c r="A96" s="72">
        <f>$D$25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INDEX($C$5:$C$12,MATCH(I96,$D$5:$D$12,0))</f>
        <v/>
      </c>
      <c r="E96" s="72">
        <f>INDEX($E$5:$E$12,MATCH(D96,$C$5:$C$12,0))</f>
        <v/>
      </c>
      <c r="F96" s="72">
        <f>INDEX($F$5:$F$12,MATCH(D96,$C$5:$C$12,0))</f>
        <v/>
      </c>
      <c r="G96" s="72">
        <f>INDEX($G$5:$G$12,MATCH(D96,$C$5:$C$12,0))</f>
        <v/>
      </c>
      <c r="H96" s="72" t="inlineStr">
        <is>
          <t>065</t>
        </is>
      </c>
      <c r="I96" s="72" t="inlineStr">
        <is>
          <t>stc_b1</t>
        </is>
      </c>
      <c r="J96" s="80" t="n">
        <v>1204</v>
      </c>
      <c r="K96" s="72" t="inlineStr">
        <is>
          <t>Caleb Landis</t>
        </is>
      </c>
      <c r="L96" s="81" t="n">
        <v>1443</v>
      </c>
      <c r="M96" s="81">
        <f>Y96</f>
        <v/>
      </c>
      <c r="N96" s="82" t="n">
        <v>44072</v>
      </c>
      <c r="O96" s="82" t="n">
        <v>44072</v>
      </c>
      <c r="P96" s="82" t="n">
        <v>46231</v>
      </c>
      <c r="Q96" s="82" t="n">
        <v>46231</v>
      </c>
      <c r="R96" s="81">
        <f>SUM(AB96:AG96)</f>
        <v/>
      </c>
      <c r="S96" s="81">
        <f>AI96</f>
        <v/>
      </c>
      <c r="T96" s="81">
        <f>AK96</f>
        <v/>
      </c>
      <c r="Y96" s="81" t="n">
        <v>1471</v>
      </c>
      <c r="AC96" s="81" t="n">
        <v>5</v>
      </c>
      <c r="AD96" s="81" t="n">
        <v>14</v>
      </c>
      <c r="AE96" s="81" t="n">
        <v>12</v>
      </c>
    </row>
    <row r="97">
      <c r="A97" s="72">
        <f>$D$25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INDEX($C$5:$C$12,MATCH(I97,$D$5:$D$12,0))</f>
        <v/>
      </c>
      <c r="E97" s="72">
        <f>INDEX($E$5:$E$12,MATCH(D97,$C$5:$C$12,0))</f>
        <v/>
      </c>
      <c r="F97" s="72">
        <f>INDEX($F$5:$F$12,MATCH(D97,$C$5:$C$12,0))</f>
        <v/>
      </c>
      <c r="G97" s="72">
        <f>INDEX($G$5:$G$12,MATCH(D97,$C$5:$C$12,0))</f>
        <v/>
      </c>
      <c r="H97" s="72" t="inlineStr">
        <is>
          <t>066</t>
        </is>
      </c>
      <c r="I97" s="72" t="inlineStr">
        <is>
          <t>stc_b1</t>
        </is>
      </c>
      <c r="J97" s="80" t="n">
        <v>1204</v>
      </c>
      <c r="K97" s="72" t="inlineStr">
        <is>
          <t>Cyuzuzo Ganza</t>
        </is>
      </c>
      <c r="L97" s="81" t="n">
        <v>1443</v>
      </c>
      <c r="M97" s="81">
        <f>Y97</f>
        <v/>
      </c>
      <c r="N97" s="82" t="n">
        <v>45709</v>
      </c>
      <c r="O97" s="82" t="n">
        <v>45709</v>
      </c>
      <c r="P97" s="82" t="n">
        <v>46527</v>
      </c>
      <c r="R97" s="81">
        <f>SUM(AB97:AG97)</f>
        <v/>
      </c>
      <c r="S97" s="81">
        <f>AI97</f>
        <v/>
      </c>
      <c r="T97" s="81">
        <f>AK97</f>
        <v/>
      </c>
      <c r="Y97" s="81" t="n">
        <v>1531</v>
      </c>
      <c r="AC97" s="81" t="n">
        <v>5</v>
      </c>
      <c r="AD97" s="81" t="n">
        <v>14</v>
      </c>
      <c r="AE97" s="81" t="n">
        <v>13</v>
      </c>
    </row>
    <row r="98">
      <c r="A98" s="72">
        <f>$D$25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INDEX($C$5:$C$12,MATCH(I98,$D$5:$D$12,0))</f>
        <v/>
      </c>
      <c r="E98" s="72">
        <f>INDEX($E$5:$E$12,MATCH(D98,$C$5:$C$12,0))</f>
        <v/>
      </c>
      <c r="F98" s="72">
        <f>INDEX($F$5:$F$12,MATCH(D98,$C$5:$C$12,0))</f>
        <v/>
      </c>
      <c r="G98" s="72">
        <f>INDEX($G$5:$G$12,MATCH(D98,$C$5:$C$12,0))</f>
        <v/>
      </c>
      <c r="H98" s="72" t="inlineStr">
        <is>
          <t>067</t>
        </is>
      </c>
      <c r="I98" s="72" t="inlineStr">
        <is>
          <t>stc_b1</t>
        </is>
      </c>
      <c r="J98" s="80" t="n">
        <v>1204</v>
      </c>
      <c r="K98" s="72" t="inlineStr">
        <is>
          <t>Maria Vazquez</t>
        </is>
      </c>
      <c r="L98" s="81" t="n">
        <v>1443</v>
      </c>
      <c r="M98" s="81">
        <f>Y98</f>
        <v/>
      </c>
      <c r="N98" s="82" t="n">
        <v>45915</v>
      </c>
      <c r="O98" s="82" t="n">
        <v>45915</v>
      </c>
      <c r="P98" s="82" t="n">
        <v>46340</v>
      </c>
      <c r="R98" s="81">
        <f>SUM(AB98:AG98)</f>
        <v/>
      </c>
      <c r="S98" s="81">
        <f>AI98</f>
        <v/>
      </c>
      <c r="T98" s="81">
        <f>AK98</f>
        <v/>
      </c>
      <c r="Y98" s="81" t="n">
        <v>1399</v>
      </c>
      <c r="AC98" s="81" t="n">
        <v>5</v>
      </c>
      <c r="AD98" s="81" t="n">
        <v>14</v>
      </c>
      <c r="AE98" s="81" t="n">
        <v>12</v>
      </c>
      <c r="AF98" s="81" t="n">
        <v>50</v>
      </c>
    </row>
    <row r="99">
      <c r="A99" s="72">
        <f>$D$25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INDEX($C$5:$C$12,MATCH(I99,$D$5:$D$12,0))</f>
        <v/>
      </c>
      <c r="E99" s="72">
        <f>INDEX($E$5:$E$12,MATCH(D99,$C$5:$C$12,0))</f>
        <v/>
      </c>
      <c r="F99" s="72">
        <f>INDEX($F$5:$F$12,MATCH(D99,$C$5:$C$12,0))</f>
        <v/>
      </c>
      <c r="G99" s="72">
        <f>INDEX($G$5:$G$12,MATCH(D99,$C$5:$C$12,0))</f>
        <v/>
      </c>
      <c r="H99" s="72" t="inlineStr">
        <is>
          <t>068</t>
        </is>
      </c>
      <c r="I99" s="72" t="inlineStr">
        <is>
          <t>stc_b3</t>
        </is>
      </c>
      <c r="J99" s="80" t="n">
        <v>1309</v>
      </c>
      <c r="K99" s="72" t="inlineStr">
        <is>
          <t>Allen Shelton</t>
        </is>
      </c>
      <c r="L99" s="81" t="n">
        <v>1466</v>
      </c>
      <c r="M99" s="81">
        <f>Y99</f>
        <v/>
      </c>
      <c r="N99" s="82" t="n">
        <v>46145</v>
      </c>
      <c r="O99" s="82" t="n">
        <v>46145</v>
      </c>
      <c r="P99" s="82" t="n">
        <v>46247</v>
      </c>
      <c r="Q99" s="82" t="n">
        <v>46247</v>
      </c>
      <c r="R99" s="81">
        <f>SUM(AB99:AG99)</f>
        <v/>
      </c>
      <c r="S99" s="81">
        <f>AI99</f>
        <v/>
      </c>
      <c r="T99" s="81">
        <f>AK99</f>
        <v/>
      </c>
      <c r="Y99" s="81" t="n">
        <v>1466</v>
      </c>
      <c r="AC99" s="81" t="n">
        <v>5</v>
      </c>
      <c r="AD99" s="81" t="n">
        <v>14</v>
      </c>
      <c r="AE99" s="81" t="n">
        <v>13</v>
      </c>
    </row>
    <row r="100">
      <c r="A100" s="72">
        <f>$D$25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INDEX($C$5:$C$12,MATCH(I100,$D$5:$D$12,0))</f>
        <v/>
      </c>
      <c r="E100" s="72">
        <f>INDEX($E$5:$E$12,MATCH(D100,$C$5:$C$12,0))</f>
        <v/>
      </c>
      <c r="F100" s="72">
        <f>INDEX($F$5:$F$12,MATCH(D100,$C$5:$C$12,0))</f>
        <v/>
      </c>
      <c r="G100" s="72">
        <f>INDEX($G$5:$G$12,MATCH(D100,$C$5:$C$12,0))</f>
        <v/>
      </c>
      <c r="H100" s="72" t="inlineStr">
        <is>
          <t>069</t>
        </is>
      </c>
      <c r="I100" s="72" t="inlineStr">
        <is>
          <t>stc_b1</t>
        </is>
      </c>
      <c r="J100" s="80" t="n">
        <v>1204</v>
      </c>
      <c r="K100" s="72" t="inlineStr">
        <is>
          <t>Scott Jordan</t>
        </is>
      </c>
      <c r="L100" s="81" t="n">
        <v>1443</v>
      </c>
      <c r="M100" s="81">
        <f>Y100</f>
        <v/>
      </c>
      <c r="N100" s="82" t="n">
        <v>43911</v>
      </c>
      <c r="O100" s="82" t="n">
        <v>43911</v>
      </c>
      <c r="P100" s="82" t="n">
        <v>46407</v>
      </c>
      <c r="R100" s="81">
        <f>SUM(AB100:AG100)</f>
        <v/>
      </c>
      <c r="S100" s="81">
        <f>AI100</f>
        <v/>
      </c>
      <c r="T100" s="81">
        <f>AK100</f>
        <v/>
      </c>
      <c r="Y100" s="81" t="n">
        <v>1331</v>
      </c>
      <c r="AB100" s="81" t="n">
        <v>30</v>
      </c>
      <c r="AC100" s="81" t="n">
        <v>5</v>
      </c>
      <c r="AD100" s="81" t="n">
        <v>14</v>
      </c>
      <c r="AE100" s="81" t="n">
        <v>12</v>
      </c>
    </row>
    <row r="101">
      <c r="A101" s="72">
        <f>$D$25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INDEX($C$5:$C$12,MATCH(I101,$D$5:$D$12,0))</f>
        <v/>
      </c>
      <c r="E101" s="72">
        <f>INDEX($E$5:$E$12,MATCH(D101,$C$5:$C$12,0))</f>
        <v/>
      </c>
      <c r="F101" s="72">
        <f>INDEX($F$5:$F$12,MATCH(D101,$C$5:$C$12,0))</f>
        <v/>
      </c>
      <c r="G101" s="72">
        <f>INDEX($G$5:$G$12,MATCH(D101,$C$5:$C$12,0))</f>
        <v/>
      </c>
      <c r="H101" s="72" t="inlineStr">
        <is>
          <t>070</t>
        </is>
      </c>
      <c r="I101" s="72" t="inlineStr">
        <is>
          <t>stc_b1</t>
        </is>
      </c>
      <c r="J101" s="80" t="n">
        <v>1204</v>
      </c>
      <c r="K101" s="72" t="inlineStr">
        <is>
          <t>Emily Dunagan</t>
        </is>
      </c>
      <c r="L101" s="81" t="n">
        <v>1443</v>
      </c>
      <c r="M101" s="81">
        <f>Y101</f>
        <v/>
      </c>
      <c r="N101" s="82" t="n">
        <v>45427</v>
      </c>
      <c r="O101" s="82" t="n">
        <v>45427</v>
      </c>
      <c r="P101" s="82" t="n">
        <v>46309</v>
      </c>
      <c r="R101" s="81">
        <f>SUM(AB101:AG101)</f>
        <v/>
      </c>
      <c r="S101" s="81">
        <f>AI101</f>
        <v/>
      </c>
      <c r="T101" s="81">
        <f>AK101</f>
        <v/>
      </c>
      <c r="Y101" s="81" t="n">
        <v>1667</v>
      </c>
      <c r="AB101" s="81" t="n">
        <v>35</v>
      </c>
      <c r="AC101" s="81" t="n">
        <v>5</v>
      </c>
      <c r="AD101" s="81" t="n">
        <v>14</v>
      </c>
      <c r="AE101" s="81" t="n">
        <v>12</v>
      </c>
    </row>
    <row r="102">
      <c r="A102" s="72">
        <f>$D$25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INDEX($C$5:$C$12,MATCH(I102,$D$5:$D$12,0))</f>
        <v/>
      </c>
      <c r="E102" s="72">
        <f>INDEX($E$5:$E$12,MATCH(D102,$C$5:$C$12,0))</f>
        <v/>
      </c>
      <c r="F102" s="72">
        <f>INDEX($F$5:$F$12,MATCH(D102,$C$5:$C$12,0))</f>
        <v/>
      </c>
      <c r="G102" s="72">
        <f>INDEX($G$5:$G$12,MATCH(D102,$C$5:$C$12,0))</f>
        <v/>
      </c>
      <c r="H102" s="72" t="inlineStr">
        <is>
          <t>071</t>
        </is>
      </c>
      <c r="I102" s="72" t="inlineStr">
        <is>
          <t>stc_a1</t>
        </is>
      </c>
      <c r="J102" s="80" t="n">
        <v>731</v>
      </c>
      <c r="K102" s="72" t="inlineStr">
        <is>
          <t>Alicia Wheeler</t>
        </is>
      </c>
      <c r="L102" s="81" t="n">
        <v>1264</v>
      </c>
      <c r="M102" s="81">
        <f>Y102</f>
        <v/>
      </c>
      <c r="N102" s="82" t="n">
        <v>45950</v>
      </c>
      <c r="O102" s="82" t="n">
        <v>45950</v>
      </c>
      <c r="P102" s="82" t="n">
        <v>46314</v>
      </c>
      <c r="R102" s="81">
        <f>SUM(AB102:AG102)</f>
        <v/>
      </c>
      <c r="S102" s="81">
        <f>AI102</f>
        <v/>
      </c>
      <c r="T102" s="81">
        <f>AK102</f>
        <v/>
      </c>
      <c r="Y102" s="81" t="n">
        <v>1162</v>
      </c>
      <c r="AC102" s="81" t="n">
        <v>5</v>
      </c>
      <c r="AD102" s="81" t="n">
        <v>14</v>
      </c>
      <c r="AE102" s="81" t="n">
        <v>12</v>
      </c>
    </row>
    <row r="103">
      <c r="A103" s="72">
        <f>$D$25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INDEX($C$5:$C$12,MATCH(I103,$D$5:$D$12,0))</f>
        <v/>
      </c>
      <c r="E103" s="72">
        <f>INDEX($E$5:$E$12,MATCH(D103,$C$5:$C$12,0))</f>
        <v/>
      </c>
      <c r="F103" s="72">
        <f>INDEX($F$5:$F$12,MATCH(D103,$C$5:$C$12,0))</f>
        <v/>
      </c>
      <c r="G103" s="72">
        <f>INDEX($G$5:$G$12,MATCH(D103,$C$5:$C$12,0))</f>
        <v/>
      </c>
      <c r="H103" s="72" t="inlineStr">
        <is>
          <t>072</t>
        </is>
      </c>
      <c r="I103" s="72" t="inlineStr">
        <is>
          <t>stc_a3</t>
        </is>
      </c>
      <c r="J103" s="80" t="n">
        <v>987</v>
      </c>
      <c r="K103" s="72" t="inlineStr">
        <is>
          <t>Mark Williams</t>
        </is>
      </c>
      <c r="L103" s="81" t="n">
        <v>1319</v>
      </c>
      <c r="M103" s="81">
        <f>Y103</f>
        <v/>
      </c>
      <c r="N103" s="82" t="n">
        <v>45939</v>
      </c>
      <c r="O103" s="82" t="n">
        <v>45939</v>
      </c>
      <c r="P103" s="82" t="n">
        <v>46303</v>
      </c>
      <c r="R103" s="81">
        <f>SUM(AB103:AG103)</f>
        <v/>
      </c>
      <c r="S103" s="81">
        <f>AI103</f>
        <v/>
      </c>
      <c r="T103" s="81">
        <f>AK103</f>
        <v/>
      </c>
      <c r="Y103" s="81" t="n">
        <v>1358</v>
      </c>
      <c r="AB103" s="81" t="n">
        <v>35</v>
      </c>
      <c r="AC103" s="81" t="n">
        <v>5</v>
      </c>
      <c r="AD103" s="81" t="n">
        <v>14</v>
      </c>
      <c r="AE103" s="81" t="n">
        <v>12</v>
      </c>
      <c r="AF103" s="81" t="n">
        <v>40</v>
      </c>
    </row>
    <row r="104">
      <c r="A104" s="72">
        <f>$D$25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INDEX($C$5:$C$12,MATCH(I104,$D$5:$D$12,0))</f>
        <v/>
      </c>
      <c r="E104" s="72">
        <f>INDEX($E$5:$E$12,MATCH(D104,$C$5:$C$12,0))</f>
        <v/>
      </c>
      <c r="F104" s="72">
        <f>INDEX($F$5:$F$12,MATCH(D104,$C$5:$C$12,0))</f>
        <v/>
      </c>
      <c r="G104" s="72">
        <f>INDEX($G$5:$G$12,MATCH(D104,$C$5:$C$12,0))</f>
        <v/>
      </c>
      <c r="H104" s="72" t="inlineStr">
        <is>
          <t>073</t>
        </is>
      </c>
      <c r="I104" s="72" t="inlineStr">
        <is>
          <t>stc_a1</t>
        </is>
      </c>
      <c r="J104" s="80" t="n">
        <v>731</v>
      </c>
      <c r="K104" s="72" t="inlineStr">
        <is>
          <t>Ian Sethi</t>
        </is>
      </c>
      <c r="L104" s="81" t="n">
        <v>1264</v>
      </c>
      <c r="M104" s="81">
        <f>Y104</f>
        <v/>
      </c>
      <c r="N104" s="82" t="n">
        <v>44804</v>
      </c>
      <c r="O104" s="82" t="n">
        <v>44804</v>
      </c>
      <c r="P104" s="82" t="n">
        <v>46356</v>
      </c>
      <c r="R104" s="81">
        <f>SUM(AB104:AG104)</f>
        <v/>
      </c>
      <c r="S104" s="81">
        <f>AI104</f>
        <v/>
      </c>
      <c r="T104" s="81">
        <f>AK104</f>
        <v/>
      </c>
      <c r="Y104" s="81" t="n">
        <v>1231</v>
      </c>
      <c r="AB104" s="81" t="n">
        <v>35</v>
      </c>
      <c r="AC104" s="81" t="n">
        <v>5</v>
      </c>
      <c r="AD104" s="81" t="n">
        <v>14</v>
      </c>
      <c r="AE104" s="81" t="n">
        <v>12</v>
      </c>
    </row>
    <row r="105">
      <c r="A105" s="72">
        <f>$D$25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INDEX($C$5:$C$12,MATCH(I105,$D$5:$D$12,0))</f>
        <v/>
      </c>
      <c r="E105" s="72">
        <f>INDEX($E$5:$E$12,MATCH(D105,$C$5:$C$12,0))</f>
        <v/>
      </c>
      <c r="F105" s="72">
        <f>INDEX($F$5:$F$12,MATCH(D105,$C$5:$C$12,0))</f>
        <v/>
      </c>
      <c r="G105" s="72">
        <f>INDEX($G$5:$G$12,MATCH(D105,$C$5:$C$12,0))</f>
        <v/>
      </c>
      <c r="H105" s="72" t="inlineStr">
        <is>
          <t>074</t>
        </is>
      </c>
      <c r="I105" s="72" t="inlineStr">
        <is>
          <t>stc_a3</t>
        </is>
      </c>
      <c r="J105" s="80" t="n">
        <v>987</v>
      </c>
      <c r="K105" s="72" t="inlineStr">
        <is>
          <t>Sandra Sanchez</t>
        </is>
      </c>
      <c r="L105" s="81" t="n">
        <v>1319</v>
      </c>
      <c r="M105" s="81">
        <f>Y105</f>
        <v/>
      </c>
      <c r="N105" s="82" t="n">
        <v>44494</v>
      </c>
      <c r="O105" s="82" t="n">
        <v>44494</v>
      </c>
      <c r="P105" s="82" t="n">
        <v>46592</v>
      </c>
      <c r="R105" s="81">
        <f>SUM(AB105:AG105)</f>
        <v/>
      </c>
      <c r="S105" s="81">
        <f>AI105</f>
        <v/>
      </c>
      <c r="T105" s="81">
        <f>AK105</f>
        <v/>
      </c>
      <c r="Y105" s="81" t="n">
        <v>1315</v>
      </c>
      <c r="AC105" s="81" t="n">
        <v>5</v>
      </c>
      <c r="AD105" s="81" t="n">
        <v>14</v>
      </c>
      <c r="AE105" s="81" t="n">
        <v>13</v>
      </c>
      <c r="AF105" s="81" t="n">
        <v>40</v>
      </c>
    </row>
    <row r="106">
      <c r="A106" s="72">
        <f>$D$25</f>
        <v/>
      </c>
      <c r="B106" s="72">
        <f>B105+1</f>
        <v/>
      </c>
      <c r="C106" s="72">
        <f>IF(K106="Vacant","Vac",IF(K106="Model","Model",IF(K106="Admin","Admin",IF(K106="Down","Down",IF(K106="Super","Super","Occ")))))</f>
        <v/>
      </c>
      <c r="D106" s="72">
        <f>INDEX($C$5:$C$12,MATCH(I106,$D$5:$D$12,0))</f>
        <v/>
      </c>
      <c r="E106" s="72">
        <f>INDEX($E$5:$E$12,MATCH(D106,$C$5:$C$12,0))</f>
        <v/>
      </c>
      <c r="F106" s="72">
        <f>INDEX($F$5:$F$12,MATCH(D106,$C$5:$C$12,0))</f>
        <v/>
      </c>
      <c r="G106" s="72">
        <f>INDEX($G$5:$G$12,MATCH(D106,$C$5:$C$12,0))</f>
        <v/>
      </c>
      <c r="H106" s="72" t="inlineStr">
        <is>
          <t>075</t>
        </is>
      </c>
      <c r="I106" s="72" t="inlineStr">
        <is>
          <t>stc_b3</t>
        </is>
      </c>
      <c r="J106" s="80" t="n">
        <v>1309</v>
      </c>
      <c r="K106" s="72" t="inlineStr">
        <is>
          <t>Megan Spadoni</t>
        </is>
      </c>
      <c r="L106" s="81" t="n">
        <v>1391</v>
      </c>
      <c r="M106" s="81">
        <f>Y106</f>
        <v/>
      </c>
      <c r="N106" s="82" t="n">
        <v>43134</v>
      </c>
      <c r="O106" s="82" t="n">
        <v>43134</v>
      </c>
      <c r="P106" s="82" t="n">
        <v>46236</v>
      </c>
      <c r="R106" s="81">
        <f>SUM(AB106:AG106)</f>
        <v/>
      </c>
      <c r="S106" s="81">
        <f>AI106</f>
        <v/>
      </c>
      <c r="T106" s="81">
        <f>AK106</f>
        <v/>
      </c>
      <c r="Y106" s="81" t="n">
        <v>1424</v>
      </c>
      <c r="AB106" s="81" t="n">
        <v>60</v>
      </c>
      <c r="AC106" s="81" t="n">
        <v>5</v>
      </c>
      <c r="AD106" s="81" t="n">
        <v>14</v>
      </c>
      <c r="AE106" s="81" t="n">
        <v>12</v>
      </c>
      <c r="AF106" s="81" t="n">
        <v>80</v>
      </c>
    </row>
    <row r="107">
      <c r="A107" s="72">
        <f>$D$25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INDEX($C$5:$C$12,MATCH(I107,$D$5:$D$12,0))</f>
        <v/>
      </c>
      <c r="E107" s="72">
        <f>INDEX($E$5:$E$12,MATCH(D107,$C$5:$C$12,0))</f>
        <v/>
      </c>
      <c r="F107" s="72">
        <f>INDEX($F$5:$F$12,MATCH(D107,$C$5:$C$12,0))</f>
        <v/>
      </c>
      <c r="G107" s="72">
        <f>INDEX($G$5:$G$12,MATCH(D107,$C$5:$C$12,0))</f>
        <v/>
      </c>
      <c r="H107" s="72" t="inlineStr">
        <is>
          <t>076</t>
        </is>
      </c>
      <c r="I107" s="72" t="inlineStr">
        <is>
          <t>stc_b4</t>
        </is>
      </c>
      <c r="J107" s="80" t="n">
        <v>1405</v>
      </c>
      <c r="K107" s="72" t="inlineStr">
        <is>
          <t>William (Keagan) Ransdell</t>
        </is>
      </c>
      <c r="L107" s="81" t="n">
        <v>1522</v>
      </c>
      <c r="M107" s="81">
        <f>Y107</f>
        <v/>
      </c>
      <c r="N107" s="82" t="n">
        <v>44805</v>
      </c>
      <c r="O107" s="82" t="n">
        <v>44805</v>
      </c>
      <c r="P107" s="82" t="n">
        <v>46387</v>
      </c>
      <c r="R107" s="81">
        <f>SUM(AB107:AG107)</f>
        <v/>
      </c>
      <c r="S107" s="81">
        <f>AI107</f>
        <v/>
      </c>
      <c r="T107" s="81">
        <f>AK107</f>
        <v/>
      </c>
      <c r="Y107" s="81" t="n">
        <v>1590</v>
      </c>
      <c r="AC107" s="81" t="n">
        <v>5</v>
      </c>
      <c r="AD107" s="81" t="n">
        <v>14</v>
      </c>
      <c r="AE107" s="81" t="n">
        <v>12</v>
      </c>
      <c r="AK107" s="81" t="n">
        <v>-795</v>
      </c>
    </row>
    <row r="108">
      <c r="A108" s="72">
        <f>$D$25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INDEX($C$5:$C$12,MATCH(I108,$D$5:$D$12,0))</f>
        <v/>
      </c>
      <c r="E108" s="72">
        <f>INDEX($E$5:$E$12,MATCH(D108,$C$5:$C$12,0))</f>
        <v/>
      </c>
      <c r="F108" s="72">
        <f>INDEX($F$5:$F$12,MATCH(D108,$C$5:$C$12,0))</f>
        <v/>
      </c>
      <c r="G108" s="72">
        <f>INDEX($G$5:$G$12,MATCH(D108,$C$5:$C$12,0))</f>
        <v/>
      </c>
      <c r="H108" s="72" t="inlineStr">
        <is>
          <t>077</t>
        </is>
      </c>
      <c r="I108" s="72" t="inlineStr">
        <is>
          <t>stc_b1</t>
        </is>
      </c>
      <c r="J108" s="80" t="n">
        <v>1204</v>
      </c>
      <c r="K108" s="72" t="inlineStr">
        <is>
          <t>Lily Wilson</t>
        </is>
      </c>
      <c r="L108" s="81" t="n">
        <v>1463</v>
      </c>
      <c r="M108" s="81">
        <f>Y108</f>
        <v/>
      </c>
      <c r="N108" s="82" t="n">
        <v>45660</v>
      </c>
      <c r="O108" s="82" t="n">
        <v>45660</v>
      </c>
      <c r="P108" s="82" t="n">
        <v>46540</v>
      </c>
      <c r="R108" s="81">
        <f>SUM(AB108:AG108)</f>
        <v/>
      </c>
      <c r="S108" s="81">
        <f>AI108</f>
        <v/>
      </c>
      <c r="T108" s="81">
        <f>AK108</f>
        <v/>
      </c>
      <c r="Y108" s="81" t="n">
        <v>1528</v>
      </c>
      <c r="AC108" s="81" t="n">
        <v>5</v>
      </c>
      <c r="AD108" s="81" t="n">
        <v>14</v>
      </c>
      <c r="AE108" s="81" t="n">
        <v>13</v>
      </c>
    </row>
    <row r="109">
      <c r="A109" s="72">
        <f>$D$25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INDEX($C$5:$C$12,MATCH(I109,$D$5:$D$12,0))</f>
        <v/>
      </c>
      <c r="E109" s="72">
        <f>INDEX($E$5:$E$12,MATCH(D109,$C$5:$C$12,0))</f>
        <v/>
      </c>
      <c r="F109" s="72">
        <f>INDEX($F$5:$F$12,MATCH(D109,$C$5:$C$12,0))</f>
        <v/>
      </c>
      <c r="G109" s="72">
        <f>INDEX($G$5:$G$12,MATCH(D109,$C$5:$C$12,0))</f>
        <v/>
      </c>
      <c r="H109" s="72" t="inlineStr">
        <is>
          <t>078</t>
        </is>
      </c>
      <c r="I109" s="72" t="inlineStr">
        <is>
          <t>stc_b4</t>
        </is>
      </c>
      <c r="J109" s="80" t="n">
        <v>1405</v>
      </c>
      <c r="K109" s="72" t="inlineStr">
        <is>
          <t>Madeline Davis</t>
        </is>
      </c>
      <c r="L109" s="81" t="n">
        <v>1542</v>
      </c>
      <c r="M109" s="81">
        <f>Y109</f>
        <v/>
      </c>
      <c r="N109" s="82" t="n">
        <v>46007</v>
      </c>
      <c r="O109" s="82" t="n">
        <v>46007</v>
      </c>
      <c r="P109" s="82" t="n">
        <v>46433</v>
      </c>
      <c r="R109" s="81">
        <f>SUM(AB109:AG109)</f>
        <v/>
      </c>
      <c r="S109" s="81">
        <f>AI109</f>
        <v/>
      </c>
      <c r="T109" s="81">
        <f>AK109</f>
        <v/>
      </c>
      <c r="Y109" s="81" t="n">
        <v>1698</v>
      </c>
      <c r="AB109" s="81" t="n">
        <v>85</v>
      </c>
      <c r="AC109" s="81" t="n">
        <v>5</v>
      </c>
      <c r="AD109" s="81" t="n">
        <v>14</v>
      </c>
      <c r="AE109" s="81" t="n">
        <v>12</v>
      </c>
    </row>
    <row r="110">
      <c r="A110" s="72">
        <f>$D$25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INDEX($C$5:$C$12,MATCH(I110,$D$5:$D$12,0))</f>
        <v/>
      </c>
      <c r="E110" s="72">
        <f>INDEX($E$5:$E$12,MATCH(D110,$C$5:$C$12,0))</f>
        <v/>
      </c>
      <c r="F110" s="72">
        <f>INDEX($F$5:$F$12,MATCH(D110,$C$5:$C$12,0))</f>
        <v/>
      </c>
      <c r="G110" s="72">
        <f>INDEX($G$5:$G$12,MATCH(D110,$C$5:$C$12,0))</f>
        <v/>
      </c>
      <c r="H110" s="72" t="inlineStr">
        <is>
          <t>079</t>
        </is>
      </c>
      <c r="I110" s="72" t="inlineStr">
        <is>
          <t>stc_a2</t>
        </is>
      </c>
      <c r="J110" s="80" t="n">
        <v>768</v>
      </c>
      <c r="K110" s="72" t="inlineStr">
        <is>
          <t>Emily Goertz</t>
        </is>
      </c>
      <c r="L110" s="81" t="n">
        <v>1290</v>
      </c>
      <c r="M110" s="81">
        <f>Y110</f>
        <v/>
      </c>
      <c r="N110" s="82" t="n">
        <v>46128</v>
      </c>
      <c r="O110" s="82" t="n">
        <v>46128</v>
      </c>
      <c r="P110" s="82" t="n">
        <v>46487</v>
      </c>
      <c r="R110" s="81">
        <f>SUM(AB110:AG110)</f>
        <v/>
      </c>
      <c r="S110" s="81">
        <f>AI110</f>
        <v/>
      </c>
      <c r="T110" s="81">
        <f>AK110</f>
        <v/>
      </c>
      <c r="Y110" s="81" t="n">
        <v>1199</v>
      </c>
      <c r="AC110" s="81" t="n">
        <v>5</v>
      </c>
      <c r="AD110" s="81" t="n">
        <v>14</v>
      </c>
      <c r="AE110" s="81" t="n">
        <v>13</v>
      </c>
    </row>
    <row r="111">
      <c r="A111" s="72">
        <f>$D$25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INDEX($C$5:$C$12,MATCH(I111,$D$5:$D$12,0))</f>
        <v/>
      </c>
      <c r="E111" s="72">
        <f>INDEX($E$5:$E$12,MATCH(D111,$C$5:$C$12,0))</f>
        <v/>
      </c>
      <c r="F111" s="72">
        <f>INDEX($F$5:$F$12,MATCH(D111,$C$5:$C$12,0))</f>
        <v/>
      </c>
      <c r="G111" s="72">
        <f>INDEX($G$5:$G$12,MATCH(D111,$C$5:$C$12,0))</f>
        <v/>
      </c>
      <c r="H111" s="72" t="inlineStr">
        <is>
          <t>080</t>
        </is>
      </c>
      <c r="I111" s="72" t="inlineStr">
        <is>
          <t>stc_b2</t>
        </is>
      </c>
      <c r="J111" s="80" t="n">
        <v>1214</v>
      </c>
      <c r="K111" s="72" t="inlineStr">
        <is>
          <t>William Blane</t>
        </is>
      </c>
      <c r="L111" s="81" t="n">
        <v>1486</v>
      </c>
      <c r="M111" s="81">
        <f>Y111</f>
        <v/>
      </c>
      <c r="N111" s="82" t="n">
        <v>45860</v>
      </c>
      <c r="O111" s="82" t="n">
        <v>45860</v>
      </c>
      <c r="P111" s="82" t="n">
        <v>46224</v>
      </c>
      <c r="Q111" s="82" t="n">
        <v>46224</v>
      </c>
      <c r="R111" s="81">
        <f>SUM(AB111:AG111)</f>
        <v/>
      </c>
      <c r="S111" s="81">
        <f>AI111</f>
        <v/>
      </c>
      <c r="T111" s="81">
        <f>AK111</f>
        <v/>
      </c>
      <c r="Y111" s="81" t="n">
        <v>1627</v>
      </c>
      <c r="AC111" s="81" t="n">
        <v>5</v>
      </c>
      <c r="AD111" s="81" t="n">
        <v>14</v>
      </c>
      <c r="AE111" s="81" t="n">
        <v>12</v>
      </c>
      <c r="AF111" s="81" t="n">
        <v>40</v>
      </c>
    </row>
    <row r="112">
      <c r="A112" s="72">
        <f>$D$25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INDEX($C$5:$C$12,MATCH(I112,$D$5:$D$12,0))</f>
        <v/>
      </c>
      <c r="E112" s="72">
        <f>INDEX($E$5:$E$12,MATCH(D112,$C$5:$C$12,0))</f>
        <v/>
      </c>
      <c r="F112" s="72">
        <f>INDEX($F$5:$F$12,MATCH(D112,$C$5:$C$12,0))</f>
        <v/>
      </c>
      <c r="G112" s="72">
        <f>INDEX($G$5:$G$12,MATCH(D112,$C$5:$C$12,0))</f>
        <v/>
      </c>
      <c r="H112" s="72" t="inlineStr">
        <is>
          <t>081</t>
        </is>
      </c>
      <c r="I112" s="72" t="inlineStr">
        <is>
          <t>stc_a1</t>
        </is>
      </c>
      <c r="J112" s="80" t="n">
        <v>731</v>
      </c>
      <c r="K112" s="72" t="inlineStr">
        <is>
          <t>Jennifer Glissman</t>
        </is>
      </c>
      <c r="L112" s="81" t="n">
        <v>1264</v>
      </c>
      <c r="M112" s="81">
        <f>Y112</f>
        <v/>
      </c>
      <c r="N112" s="82" t="n">
        <v>45057</v>
      </c>
      <c r="O112" s="82" t="n">
        <v>45057</v>
      </c>
      <c r="P112" s="82" t="n">
        <v>46336</v>
      </c>
      <c r="R112" s="81">
        <f>SUM(AB112:AG112)</f>
        <v/>
      </c>
      <c r="S112" s="81">
        <f>AI112</f>
        <v/>
      </c>
      <c r="T112" s="81">
        <f>AK112</f>
        <v/>
      </c>
      <c r="Y112" s="81" t="n">
        <v>1058</v>
      </c>
      <c r="AC112" s="81" t="n">
        <v>5</v>
      </c>
      <c r="AD112" s="81" t="n">
        <v>14</v>
      </c>
      <c r="AE112" s="81" t="n">
        <v>12</v>
      </c>
      <c r="AF112" s="81" t="n">
        <v>40</v>
      </c>
    </row>
    <row r="113">
      <c r="A113" s="72">
        <f>$D$25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INDEX($C$5:$C$12,MATCH(I113,$D$5:$D$12,0))</f>
        <v/>
      </c>
      <c r="E113" s="72">
        <f>INDEX($E$5:$E$12,MATCH(D113,$C$5:$C$12,0))</f>
        <v/>
      </c>
      <c r="F113" s="72">
        <f>INDEX($F$5:$F$12,MATCH(D113,$C$5:$C$12,0))</f>
        <v/>
      </c>
      <c r="G113" s="72">
        <f>INDEX($G$5:$G$12,MATCH(D113,$C$5:$C$12,0))</f>
        <v/>
      </c>
      <c r="H113" s="72" t="inlineStr">
        <is>
          <t>082</t>
        </is>
      </c>
      <c r="I113" s="72" t="inlineStr">
        <is>
          <t>stc_a3</t>
        </is>
      </c>
      <c r="J113" s="80" t="n">
        <v>987</v>
      </c>
      <c r="K113" s="72" t="inlineStr">
        <is>
          <t>Nicholas Coffman</t>
        </is>
      </c>
      <c r="L113" s="81" t="n">
        <v>1319</v>
      </c>
      <c r="M113" s="81">
        <f>Y113</f>
        <v/>
      </c>
      <c r="N113" s="82" t="n">
        <v>45853</v>
      </c>
      <c r="O113" s="82" t="n">
        <v>45853</v>
      </c>
      <c r="P113" s="82" t="n">
        <v>46248</v>
      </c>
      <c r="Q113" s="82" t="n">
        <v>46248</v>
      </c>
      <c r="R113" s="81">
        <f>SUM(AB113:AG113)</f>
        <v/>
      </c>
      <c r="S113" s="81">
        <f>AI113</f>
        <v/>
      </c>
      <c r="T113" s="81">
        <f>AK113</f>
        <v/>
      </c>
      <c r="Y113" s="81" t="n">
        <v>1450</v>
      </c>
      <c r="AC113" s="81" t="n">
        <v>5</v>
      </c>
      <c r="AD113" s="81" t="n">
        <v>14</v>
      </c>
      <c r="AE113" s="81" t="n">
        <v>12</v>
      </c>
    </row>
    <row r="114">
      <c r="A114" s="72">
        <f>$D$25</f>
        <v/>
      </c>
      <c r="B114" s="72">
        <f>B113+1</f>
        <v/>
      </c>
      <c r="C114" s="72">
        <f>IF(K114="Vacant","Vac",IF(K114="Model","Model",IF(K114="Admin","Admin",IF(K114="Down","Down",IF(K114="Super","Super","Occ")))))</f>
        <v/>
      </c>
      <c r="D114" s="72">
        <f>INDEX($C$5:$C$12,MATCH(I114,$D$5:$D$12,0))</f>
        <v/>
      </c>
      <c r="E114" s="72">
        <f>INDEX($E$5:$E$12,MATCH(D114,$C$5:$C$12,0))</f>
        <v/>
      </c>
      <c r="F114" s="72">
        <f>INDEX($F$5:$F$12,MATCH(D114,$C$5:$C$12,0))</f>
        <v/>
      </c>
      <c r="G114" s="72">
        <f>INDEX($G$5:$G$12,MATCH(D114,$C$5:$C$12,0))</f>
        <v/>
      </c>
      <c r="H114" s="72" t="inlineStr">
        <is>
          <t>083</t>
        </is>
      </c>
      <c r="I114" s="72" t="inlineStr">
        <is>
          <t>stc_a1</t>
        </is>
      </c>
      <c r="J114" s="80" t="n">
        <v>731</v>
      </c>
      <c r="K114" s="72" t="inlineStr">
        <is>
          <t>Randall Finch</t>
        </is>
      </c>
      <c r="L114" s="81" t="n">
        <v>1264</v>
      </c>
      <c r="M114" s="81">
        <f>Y114</f>
        <v/>
      </c>
      <c r="N114" s="82" t="n">
        <v>45955</v>
      </c>
      <c r="O114" s="82" t="n">
        <v>45955</v>
      </c>
      <c r="P114" s="82" t="n">
        <v>46319</v>
      </c>
      <c r="R114" s="81">
        <f>SUM(AB114:AG114)</f>
        <v/>
      </c>
      <c r="S114" s="81">
        <f>AI114</f>
        <v/>
      </c>
      <c r="T114" s="81">
        <f>AK114</f>
        <v/>
      </c>
      <c r="Y114" s="81" t="n">
        <v>1162</v>
      </c>
      <c r="AC114" s="81" t="n">
        <v>5</v>
      </c>
      <c r="AD114" s="81" t="n">
        <v>14</v>
      </c>
      <c r="AE114" s="81" t="n">
        <v>12</v>
      </c>
    </row>
    <row r="115">
      <c r="A115" s="72">
        <f>$D$25</f>
        <v/>
      </c>
      <c r="B115" s="72">
        <f>B114+1</f>
        <v/>
      </c>
      <c r="C115" s="72">
        <f>IF(K115="Vacant","Vac",IF(K115="Model","Model",IF(K115="Admin","Admin",IF(K115="Down","Down",IF(K115="Super","Super","Occ")))))</f>
        <v/>
      </c>
      <c r="D115" s="72">
        <f>INDEX($C$5:$C$12,MATCH(I115,$D$5:$D$12,0))</f>
        <v/>
      </c>
      <c r="E115" s="72">
        <f>INDEX($E$5:$E$12,MATCH(D115,$C$5:$C$12,0))</f>
        <v/>
      </c>
      <c r="F115" s="72">
        <f>INDEX($F$5:$F$12,MATCH(D115,$C$5:$C$12,0))</f>
        <v/>
      </c>
      <c r="G115" s="72">
        <f>INDEX($G$5:$G$12,MATCH(D115,$C$5:$C$12,0))</f>
        <v/>
      </c>
      <c r="H115" s="72" t="inlineStr">
        <is>
          <t>084</t>
        </is>
      </c>
      <c r="I115" s="72" t="inlineStr">
        <is>
          <t>stc_a3</t>
        </is>
      </c>
      <c r="J115" s="80" t="n">
        <v>987</v>
      </c>
      <c r="K115" s="72" t="inlineStr">
        <is>
          <t>Michael Miller</t>
        </is>
      </c>
      <c r="L115" s="81" t="n">
        <v>1194</v>
      </c>
      <c r="M115" s="81">
        <f>Y115</f>
        <v/>
      </c>
      <c r="N115" s="82" t="n">
        <v>39022</v>
      </c>
      <c r="O115" s="82" t="n">
        <v>39022</v>
      </c>
      <c r="P115" s="82" t="n">
        <v>46477</v>
      </c>
      <c r="R115" s="81">
        <f>SUM(AB115:AG115)</f>
        <v/>
      </c>
      <c r="S115" s="81">
        <f>AI115</f>
        <v/>
      </c>
      <c r="T115" s="81">
        <f>AK115</f>
        <v/>
      </c>
      <c r="Y115" s="81" t="n">
        <v>1102</v>
      </c>
      <c r="AC115" s="81" t="n">
        <v>5</v>
      </c>
      <c r="AD115" s="81" t="n">
        <v>14</v>
      </c>
      <c r="AE115" s="81" t="n">
        <v>12</v>
      </c>
    </row>
    <row r="116">
      <c r="A116" s="72">
        <f>$D$25</f>
        <v/>
      </c>
      <c r="B116" s="72">
        <f>B115+1</f>
        <v/>
      </c>
      <c r="C116" s="72">
        <f>IF(K116="Vacant","Vac",IF(K116="Model","Model",IF(K116="Admin","Admin",IF(K116="Down","Down",IF(K116="Super","Super","Occ")))))</f>
        <v/>
      </c>
      <c r="D116" s="72">
        <f>INDEX($C$5:$C$12,MATCH(I116,$D$5:$D$12,0))</f>
        <v/>
      </c>
      <c r="E116" s="72">
        <f>INDEX($E$5:$E$12,MATCH(D116,$C$5:$C$12,0))</f>
        <v/>
      </c>
      <c r="F116" s="72">
        <f>INDEX($F$5:$F$12,MATCH(D116,$C$5:$C$12,0))</f>
        <v/>
      </c>
      <c r="G116" s="72">
        <f>INDEX($G$5:$G$12,MATCH(D116,$C$5:$C$12,0))</f>
        <v/>
      </c>
      <c r="H116" s="72" t="inlineStr">
        <is>
          <t>085</t>
        </is>
      </c>
      <c r="I116" s="72" t="inlineStr">
        <is>
          <t>stc_a1</t>
        </is>
      </c>
      <c r="J116" s="80" t="n">
        <v>731</v>
      </c>
      <c r="K116" s="72" t="inlineStr">
        <is>
          <t>Kate Milner</t>
        </is>
      </c>
      <c r="L116" s="81" t="n">
        <v>1169</v>
      </c>
      <c r="M116" s="81">
        <f>Y116</f>
        <v/>
      </c>
      <c r="N116" s="82" t="n">
        <v>45230</v>
      </c>
      <c r="O116" s="82" t="n">
        <v>45230</v>
      </c>
      <c r="P116" s="82" t="n">
        <v>46599</v>
      </c>
      <c r="R116" s="81">
        <f>SUM(AB116:AG116)</f>
        <v/>
      </c>
      <c r="S116" s="81">
        <f>AI116</f>
        <v/>
      </c>
      <c r="T116" s="81">
        <f>AK116</f>
        <v/>
      </c>
      <c r="Y116" s="81" t="n">
        <v>1112</v>
      </c>
      <c r="AB116" s="81" t="n">
        <v>35</v>
      </c>
      <c r="AC116" s="81" t="n">
        <v>5</v>
      </c>
      <c r="AD116" s="81" t="n">
        <v>12</v>
      </c>
      <c r="AE116" s="81" t="n">
        <v>12</v>
      </c>
      <c r="AF116" s="81" t="n">
        <v>40</v>
      </c>
    </row>
    <row r="117">
      <c r="A117" s="72">
        <f>$D$25</f>
        <v/>
      </c>
      <c r="B117" s="72">
        <f>B116+1</f>
        <v/>
      </c>
      <c r="C117" s="72">
        <f>IF(K117="Vacant","Vac",IF(K117="Model","Model",IF(K117="Admin","Admin",IF(K117="Down","Down",IF(K117="Super","Super","Occ")))))</f>
        <v/>
      </c>
      <c r="D117" s="72">
        <f>INDEX($C$5:$C$12,MATCH(I117,$D$5:$D$12,0))</f>
        <v/>
      </c>
      <c r="E117" s="72">
        <f>INDEX($E$5:$E$12,MATCH(D117,$C$5:$C$12,0))</f>
        <v/>
      </c>
      <c r="F117" s="72">
        <f>INDEX($F$5:$F$12,MATCH(D117,$C$5:$C$12,0))</f>
        <v/>
      </c>
      <c r="G117" s="72">
        <f>INDEX($G$5:$G$12,MATCH(D117,$C$5:$C$12,0))</f>
        <v/>
      </c>
      <c r="H117" s="72" t="inlineStr">
        <is>
          <t>086</t>
        </is>
      </c>
      <c r="I117" s="72" t="inlineStr">
        <is>
          <t>stc_a3</t>
        </is>
      </c>
      <c r="J117" s="80" t="n">
        <v>987</v>
      </c>
      <c r="K117" s="72" t="inlineStr">
        <is>
          <t>Rebecca Miner</t>
        </is>
      </c>
      <c r="L117" s="81" t="n">
        <v>1319</v>
      </c>
      <c r="M117" s="81">
        <f>Y117</f>
        <v/>
      </c>
      <c r="N117" s="82" t="n">
        <v>45815</v>
      </c>
      <c r="O117" s="82" t="n">
        <v>45815</v>
      </c>
      <c r="P117" s="82" t="n">
        <v>46271</v>
      </c>
      <c r="R117" s="81">
        <f>SUM(AB117:AG117)</f>
        <v/>
      </c>
      <c r="S117" s="81">
        <f>AI117</f>
        <v/>
      </c>
      <c r="T117" s="81">
        <f>AK117</f>
        <v/>
      </c>
      <c r="Y117" s="81" t="n">
        <v>1356</v>
      </c>
      <c r="AC117" s="81" t="n">
        <v>5</v>
      </c>
      <c r="AD117" s="81" t="n">
        <v>14</v>
      </c>
      <c r="AE117" s="81" t="n">
        <v>12</v>
      </c>
      <c r="AF117" s="81" t="n">
        <v>40</v>
      </c>
    </row>
    <row r="118">
      <c r="A118" s="72">
        <f>$D$25</f>
        <v/>
      </c>
      <c r="B118" s="72">
        <f>B117+1</f>
        <v/>
      </c>
      <c r="C118" s="72">
        <f>IF(K118="Vacant","Vac",IF(K118="Model","Model",IF(K118="Admin","Admin",IF(K118="Down","Down",IF(K118="Super","Super","Occ")))))</f>
        <v/>
      </c>
      <c r="D118" s="72">
        <f>INDEX($C$5:$C$12,MATCH(I118,$D$5:$D$12,0))</f>
        <v/>
      </c>
      <c r="E118" s="72">
        <f>INDEX($E$5:$E$12,MATCH(D118,$C$5:$C$12,0))</f>
        <v/>
      </c>
      <c r="F118" s="72">
        <f>INDEX($F$5:$F$12,MATCH(D118,$C$5:$C$12,0))</f>
        <v/>
      </c>
      <c r="G118" s="72">
        <f>INDEX($G$5:$G$12,MATCH(D118,$C$5:$C$12,0))</f>
        <v/>
      </c>
      <c r="H118" s="72" t="inlineStr">
        <is>
          <t>087</t>
        </is>
      </c>
      <c r="I118" s="72" t="inlineStr">
        <is>
          <t>stc_a1</t>
        </is>
      </c>
      <c r="J118" s="80" t="n">
        <v>731</v>
      </c>
      <c r="K118" s="72" t="inlineStr">
        <is>
          <t>Zachary Brangers</t>
        </is>
      </c>
      <c r="L118" s="81" t="n">
        <v>1264</v>
      </c>
      <c r="M118" s="81">
        <f>Y118</f>
        <v/>
      </c>
      <c r="N118" s="82" t="n">
        <v>46148</v>
      </c>
      <c r="O118" s="82" t="n">
        <v>46148</v>
      </c>
      <c r="P118" s="82" t="n">
        <v>46512</v>
      </c>
      <c r="R118" s="81">
        <f>SUM(AB118:AG118)</f>
        <v/>
      </c>
      <c r="S118" s="81">
        <f>AI118</f>
        <v/>
      </c>
      <c r="T118" s="81">
        <f>AK118</f>
        <v/>
      </c>
      <c r="Y118" s="81" t="n">
        <v>1272</v>
      </c>
      <c r="AC118" s="81" t="n">
        <v>5</v>
      </c>
      <c r="AD118" s="81" t="n">
        <v>14</v>
      </c>
      <c r="AE118" s="81" t="n">
        <v>13</v>
      </c>
    </row>
    <row r="119">
      <c r="A119" s="72">
        <f>$D$25</f>
        <v/>
      </c>
      <c r="B119" s="72">
        <f>B118+1</f>
        <v/>
      </c>
      <c r="C119" s="72">
        <f>IF(K119="Vacant","Vac",IF(K119="Model","Model",IF(K119="Admin","Admin",IF(K119="Down","Down",IF(K119="Super","Super","Occ")))))</f>
        <v/>
      </c>
      <c r="D119" s="72">
        <f>INDEX($C$5:$C$12,MATCH(I119,$D$5:$D$12,0))</f>
        <v/>
      </c>
      <c r="E119" s="72">
        <f>INDEX($E$5:$E$12,MATCH(D119,$C$5:$C$12,0))</f>
        <v/>
      </c>
      <c r="F119" s="72">
        <f>INDEX($F$5:$F$12,MATCH(D119,$C$5:$C$12,0))</f>
        <v/>
      </c>
      <c r="G119" s="72">
        <f>INDEX($G$5:$G$12,MATCH(D119,$C$5:$C$12,0))</f>
        <v/>
      </c>
      <c r="H119" s="72" t="inlineStr">
        <is>
          <t>088</t>
        </is>
      </c>
      <c r="I119" s="72" t="inlineStr">
        <is>
          <t>stc_a3</t>
        </is>
      </c>
      <c r="J119" s="80" t="n">
        <v>987</v>
      </c>
      <c r="K119" s="72" t="inlineStr">
        <is>
          <t>David Meharg</t>
        </is>
      </c>
      <c r="L119" s="81" t="n">
        <v>1194</v>
      </c>
      <c r="M119" s="81">
        <f>Y119</f>
        <v/>
      </c>
      <c r="N119" s="82" t="n">
        <v>38991</v>
      </c>
      <c r="O119" s="82" t="n">
        <v>38991</v>
      </c>
      <c r="P119" s="82" t="n">
        <v>46265</v>
      </c>
      <c r="R119" s="81">
        <f>SUM(AB119:AG119)</f>
        <v/>
      </c>
      <c r="S119" s="81">
        <f>AI119</f>
        <v/>
      </c>
      <c r="T119" s="81">
        <f>AK119</f>
        <v/>
      </c>
      <c r="Y119" s="81" t="n">
        <v>1049</v>
      </c>
      <c r="AC119" s="81" t="n">
        <v>5</v>
      </c>
      <c r="AD119" s="81" t="n">
        <v>14</v>
      </c>
      <c r="AE119" s="81" t="n">
        <v>12</v>
      </c>
      <c r="AF119" s="81" t="n">
        <v>40</v>
      </c>
    </row>
    <row r="120">
      <c r="A120" s="72">
        <f>$D$25</f>
        <v/>
      </c>
      <c r="B120" s="72">
        <f>B119+1</f>
        <v/>
      </c>
      <c r="C120" s="72">
        <f>IF(K120="Vacant","Vac",IF(K120="Model","Model",IF(K120="Admin","Admin",IF(K120="Down","Down",IF(K120="Super","Super","Occ")))))</f>
        <v/>
      </c>
      <c r="D120" s="72">
        <f>INDEX($C$5:$C$12,MATCH(I120,$D$5:$D$12,0))</f>
        <v/>
      </c>
      <c r="E120" s="72">
        <f>INDEX($E$5:$E$12,MATCH(D120,$C$5:$C$12,0))</f>
        <v/>
      </c>
      <c r="F120" s="72">
        <f>INDEX($F$5:$F$12,MATCH(D120,$C$5:$C$12,0))</f>
        <v/>
      </c>
      <c r="G120" s="72">
        <f>INDEX($G$5:$G$12,MATCH(D120,$C$5:$C$12,0))</f>
        <v/>
      </c>
      <c r="H120" s="72" t="inlineStr">
        <is>
          <t>089</t>
        </is>
      </c>
      <c r="I120" s="72" t="inlineStr">
        <is>
          <t>stc_a1</t>
        </is>
      </c>
      <c r="J120" s="80" t="n">
        <v>731</v>
      </c>
      <c r="K120" s="72" t="inlineStr">
        <is>
          <t>Nicholas Meade</t>
        </is>
      </c>
      <c r="L120" s="81" t="n">
        <v>1264</v>
      </c>
      <c r="M120" s="81">
        <f>Y120</f>
        <v/>
      </c>
      <c r="N120" s="82" t="n">
        <v>45093</v>
      </c>
      <c r="O120" s="82" t="n">
        <v>45093</v>
      </c>
      <c r="P120" s="82" t="n">
        <v>46249</v>
      </c>
      <c r="Q120" s="82" t="n">
        <v>46249</v>
      </c>
      <c r="R120" s="81">
        <f>SUM(AB120:AG120)</f>
        <v/>
      </c>
      <c r="S120" s="81">
        <f>AI120</f>
        <v/>
      </c>
      <c r="T120" s="81">
        <f>AK120</f>
        <v/>
      </c>
      <c r="Y120" s="81" t="n">
        <v>1249</v>
      </c>
      <c r="AC120" s="81" t="n">
        <v>5</v>
      </c>
      <c r="AD120" s="81" t="n">
        <v>14</v>
      </c>
      <c r="AE120" s="81" t="n">
        <v>12</v>
      </c>
    </row>
    <row r="121">
      <c r="A121" s="72">
        <f>$D$25</f>
        <v/>
      </c>
      <c r="B121" s="72">
        <f>B120+1</f>
        <v/>
      </c>
      <c r="C121" s="72">
        <f>IF(K121="Vacant","Vac",IF(K121="Model","Model",IF(K121="Admin","Admin",IF(K121="Down","Down",IF(K121="Super","Super","Occ")))))</f>
        <v/>
      </c>
      <c r="D121" s="72">
        <f>INDEX($C$5:$C$12,MATCH(I121,$D$5:$D$12,0))</f>
        <v/>
      </c>
      <c r="E121" s="72">
        <f>INDEX($E$5:$E$12,MATCH(D121,$C$5:$C$12,0))</f>
        <v/>
      </c>
      <c r="F121" s="72">
        <f>INDEX($F$5:$F$12,MATCH(D121,$C$5:$C$12,0))</f>
        <v/>
      </c>
      <c r="G121" s="72">
        <f>INDEX($G$5:$G$12,MATCH(D121,$C$5:$C$12,0))</f>
        <v/>
      </c>
      <c r="H121" s="72" t="inlineStr">
        <is>
          <t>090</t>
        </is>
      </c>
      <c r="I121" s="72" t="inlineStr">
        <is>
          <t>stc_a3</t>
        </is>
      </c>
      <c r="J121" s="80" t="n">
        <v>987</v>
      </c>
      <c r="K121" s="72" t="inlineStr">
        <is>
          <t>Mary Schmid</t>
        </is>
      </c>
      <c r="L121" s="81" t="n">
        <v>1319</v>
      </c>
      <c r="M121" s="81">
        <f>Y121</f>
        <v/>
      </c>
      <c r="N121" s="82" t="n">
        <v>46003</v>
      </c>
      <c r="O121" s="82" t="n">
        <v>46003</v>
      </c>
      <c r="P121" s="82" t="n">
        <v>46429</v>
      </c>
      <c r="R121" s="81">
        <f>SUM(AB121:AG121)</f>
        <v/>
      </c>
      <c r="S121" s="81">
        <f>AI121</f>
        <v/>
      </c>
      <c r="T121" s="81">
        <f>AK121</f>
        <v/>
      </c>
      <c r="Y121" s="81" t="n">
        <v>1372</v>
      </c>
      <c r="AB121" s="81" t="n">
        <v>35</v>
      </c>
      <c r="AC121" s="81" t="n">
        <v>5</v>
      </c>
      <c r="AD121" s="81" t="n">
        <v>14</v>
      </c>
      <c r="AE121" s="81" t="n">
        <v>12</v>
      </c>
      <c r="AF121" s="81" t="n">
        <v>40</v>
      </c>
    </row>
    <row r="122">
      <c r="A122" s="72">
        <f>$D$25</f>
        <v/>
      </c>
      <c r="B122" s="72">
        <f>B121+1</f>
        <v/>
      </c>
      <c r="C122" s="72">
        <f>IF(K122="Vacant","Vac",IF(K122="Model","Model",IF(K122="Admin","Admin",IF(K122="Down","Down",IF(K122="Super","Super","Occ")))))</f>
        <v/>
      </c>
      <c r="D122" s="72">
        <f>INDEX($C$5:$C$12,MATCH(I122,$D$5:$D$12,0))</f>
        <v/>
      </c>
      <c r="E122" s="72">
        <f>INDEX($E$5:$E$12,MATCH(D122,$C$5:$C$12,0))</f>
        <v/>
      </c>
      <c r="F122" s="72">
        <f>INDEX($F$5:$F$12,MATCH(D122,$C$5:$C$12,0))</f>
        <v/>
      </c>
      <c r="G122" s="72">
        <f>INDEX($G$5:$G$12,MATCH(D122,$C$5:$C$12,0))</f>
        <v/>
      </c>
      <c r="H122" s="72" t="inlineStr">
        <is>
          <t>091</t>
        </is>
      </c>
      <c r="I122" s="72" t="inlineStr">
        <is>
          <t>stc_a1</t>
        </is>
      </c>
      <c r="J122" s="80" t="n">
        <v>731</v>
      </c>
      <c r="K122" s="72" t="inlineStr">
        <is>
          <t>Eli Mitchell</t>
        </is>
      </c>
      <c r="L122" s="81" t="n">
        <v>1139</v>
      </c>
      <c r="M122" s="81">
        <f>Y122</f>
        <v/>
      </c>
      <c r="N122" s="82" t="n">
        <v>45607</v>
      </c>
      <c r="O122" s="82" t="n">
        <v>45607</v>
      </c>
      <c r="P122" s="82" t="n">
        <v>46336</v>
      </c>
      <c r="R122" s="81">
        <f>SUM(AB122:AG122)</f>
        <v/>
      </c>
      <c r="S122" s="81">
        <f>AI122</f>
        <v/>
      </c>
      <c r="T122" s="81">
        <f>AK122</f>
        <v/>
      </c>
      <c r="Y122" s="81" t="n">
        <v>1145</v>
      </c>
      <c r="AC122" s="81" t="n">
        <v>5</v>
      </c>
      <c r="AD122" s="81" t="n">
        <v>14</v>
      </c>
      <c r="AE122" s="81" t="n">
        <v>12</v>
      </c>
      <c r="AF122" s="81" t="n">
        <v>40</v>
      </c>
    </row>
    <row r="123">
      <c r="A123" s="72">
        <f>$D$25</f>
        <v/>
      </c>
      <c r="B123" s="72">
        <f>B122+1</f>
        <v/>
      </c>
      <c r="C123" s="72">
        <f>IF(K123="Vacant","Vac",IF(K123="Model","Model",IF(K123="Admin","Admin",IF(K123="Down","Down",IF(K123="Super","Super","Occ")))))</f>
        <v/>
      </c>
      <c r="D123" s="72">
        <f>INDEX($C$5:$C$12,MATCH(I123,$D$5:$D$12,0))</f>
        <v/>
      </c>
      <c r="E123" s="72">
        <f>INDEX($E$5:$E$12,MATCH(D123,$C$5:$C$12,0))</f>
        <v/>
      </c>
      <c r="F123" s="72">
        <f>INDEX($F$5:$F$12,MATCH(D123,$C$5:$C$12,0))</f>
        <v/>
      </c>
      <c r="G123" s="72">
        <f>INDEX($G$5:$G$12,MATCH(D123,$C$5:$C$12,0))</f>
        <v/>
      </c>
      <c r="H123" s="72" t="inlineStr">
        <is>
          <t>092</t>
        </is>
      </c>
      <c r="I123" s="72" t="inlineStr">
        <is>
          <t>stc_a3</t>
        </is>
      </c>
      <c r="J123" s="80" t="n">
        <v>987</v>
      </c>
      <c r="K123" s="72" t="inlineStr">
        <is>
          <t>Model</t>
        </is>
      </c>
      <c r="L123" s="81" t="n">
        <v>1319</v>
      </c>
      <c r="M123" s="81">
        <f>Y123</f>
        <v/>
      </c>
      <c r="R123" s="81">
        <f>SUM(AB123:AG123)</f>
        <v/>
      </c>
      <c r="S123" s="81">
        <f>AI123</f>
        <v/>
      </c>
      <c r="T123" s="81">
        <f>AK123</f>
        <v/>
      </c>
      <c r="Y123" s="81" t="n">
        <v>1319</v>
      </c>
      <c r="AI123" s="81" t="n">
        <v>-1319</v>
      </c>
    </row>
    <row r="124">
      <c r="A124" s="72">
        <f>$D$25</f>
        <v/>
      </c>
      <c r="B124" s="72">
        <f>B123+1</f>
        <v/>
      </c>
      <c r="C124" s="72">
        <f>IF(K124="Vacant","Vac",IF(K124="Model","Model",IF(K124="Admin","Admin",IF(K124="Down","Down",IF(K124="Super","Super","Occ")))))</f>
        <v/>
      </c>
      <c r="D124" s="72">
        <f>INDEX($C$5:$C$12,MATCH(I124,$D$5:$D$12,0))</f>
        <v/>
      </c>
      <c r="E124" s="72">
        <f>INDEX($E$5:$E$12,MATCH(D124,$C$5:$C$12,0))</f>
        <v/>
      </c>
      <c r="F124" s="72">
        <f>INDEX($F$5:$F$12,MATCH(D124,$C$5:$C$12,0))</f>
        <v/>
      </c>
      <c r="G124" s="72">
        <f>INDEX($G$5:$G$12,MATCH(D124,$C$5:$C$12,0))</f>
        <v/>
      </c>
      <c r="H124" s="72" t="inlineStr">
        <is>
          <t>093</t>
        </is>
      </c>
      <c r="I124" s="72" t="inlineStr">
        <is>
          <t>stc_a2</t>
        </is>
      </c>
      <c r="J124" s="80" t="n">
        <v>768</v>
      </c>
      <c r="K124" s="72" t="inlineStr">
        <is>
          <t>Emily Watkins</t>
        </is>
      </c>
      <c r="L124" s="81" t="n">
        <v>1195</v>
      </c>
      <c r="M124" s="81">
        <f>Y124</f>
        <v/>
      </c>
      <c r="N124" s="82" t="n">
        <v>45884</v>
      </c>
      <c r="O124" s="82" t="n">
        <v>45884</v>
      </c>
      <c r="P124" s="82" t="n">
        <v>46248</v>
      </c>
      <c r="Q124" s="82" t="n">
        <v>46248</v>
      </c>
      <c r="R124" s="81">
        <f>SUM(AB124:AG124)</f>
        <v/>
      </c>
      <c r="S124" s="81">
        <f>AI124</f>
        <v/>
      </c>
      <c r="T124" s="81">
        <f>AK124</f>
        <v/>
      </c>
      <c r="Y124" s="81" t="n">
        <v>1165</v>
      </c>
      <c r="AC124" s="81" t="n">
        <v>5</v>
      </c>
      <c r="AD124" s="81" t="n">
        <v>14</v>
      </c>
      <c r="AE124" s="81" t="n">
        <v>12</v>
      </c>
    </row>
    <row r="125">
      <c r="A125" s="83">
        <f>$D$25</f>
        <v/>
      </c>
      <c r="B125" s="83">
        <f>B124+1</f>
        <v/>
      </c>
      <c r="C125" s="83">
        <f>IF(K125="Vacant","Vac",IF(K125="Model","Model",IF(K125="Admin","Admin",IF(K125="Down","Down",IF(K125="Super","Super","Occ")))))</f>
        <v/>
      </c>
      <c r="D125" s="83">
        <f>INDEX($C$5:$C$12,MATCH(I125,$D$5:$D$12,0))</f>
        <v/>
      </c>
      <c r="E125" s="83">
        <f>INDEX($E$5:$E$12,MATCH(D125,$C$5:$C$12,0))</f>
        <v/>
      </c>
      <c r="F125" s="83">
        <f>INDEX($F$5:$F$12,MATCH(D125,$C$5:$C$12,0))</f>
        <v/>
      </c>
      <c r="G125" s="83">
        <f>INDEX($G$5:$G$12,MATCH(D125,$C$5:$C$12,0))</f>
        <v/>
      </c>
      <c r="H125" s="83" t="inlineStr">
        <is>
          <t>094</t>
        </is>
      </c>
      <c r="I125" s="83" t="inlineStr">
        <is>
          <t>stc_b2</t>
        </is>
      </c>
      <c r="J125" s="84" t="n">
        <v>1214</v>
      </c>
      <c r="K125" s="83" t="inlineStr">
        <is>
          <t>Vacant</t>
        </is>
      </c>
      <c r="L125" s="85" t="n">
        <v>1541</v>
      </c>
      <c r="M125" s="85">
        <f>Y125</f>
        <v/>
      </c>
      <c r="N125" s="86" t="n"/>
      <c r="O125" s="86" t="n"/>
      <c r="P125" s="86" t="n"/>
      <c r="Q125" s="86" t="n"/>
      <c r="R125" s="85">
        <f>SUM(AB125:AG125)</f>
        <v/>
      </c>
      <c r="S125" s="85">
        <f>AI125</f>
        <v/>
      </c>
      <c r="T125" s="85">
        <f>AK125</f>
        <v/>
      </c>
      <c r="U125" s="86" t="n"/>
      <c r="V125" s="86" t="n"/>
      <c r="W125" s="86" t="n"/>
      <c r="X125" s="86" t="n"/>
      <c r="Y125" s="85" t="n">
        <v>0</v>
      </c>
      <c r="Z125" s="86" t="n"/>
      <c r="AA125" s="86" t="n"/>
      <c r="AB125" s="86" t="n"/>
      <c r="AC125" s="86" t="n"/>
      <c r="AD125" s="86" t="n"/>
      <c r="AE125" s="86" t="n"/>
      <c r="AF125" s="86" t="n"/>
      <c r="AG125" s="86" t="n"/>
      <c r="AH125" s="86" t="n"/>
      <c r="AI125" s="86" t="n"/>
      <c r="AJ125" s="86" t="n"/>
      <c r="AK125" s="86" t="n"/>
    </row>
    <row r="126">
      <c r="A126" s="72">
        <f>$D$25</f>
        <v/>
      </c>
      <c r="B126" s="72">
        <f>B125+1</f>
        <v/>
      </c>
      <c r="C126" s="72">
        <f>IF(K126="Vacant","Vac",IF(K126="Model","Model",IF(K126="Admin","Admin",IF(K126="Down","Down",IF(K126="Super","Super","Occ")))))</f>
        <v/>
      </c>
      <c r="D126" s="72">
        <f>INDEX($C$5:$C$12,MATCH(I126,$D$5:$D$12,0))</f>
        <v/>
      </c>
      <c r="E126" s="72">
        <f>INDEX($E$5:$E$12,MATCH(D126,$C$5:$C$12,0))</f>
        <v/>
      </c>
      <c r="F126" s="72">
        <f>INDEX($F$5:$F$12,MATCH(D126,$C$5:$C$12,0))</f>
        <v/>
      </c>
      <c r="G126" s="72">
        <f>INDEX($G$5:$G$12,MATCH(D126,$C$5:$C$12,0))</f>
        <v/>
      </c>
      <c r="H126" s="72" t="inlineStr">
        <is>
          <t>095</t>
        </is>
      </c>
      <c r="I126" s="72" t="inlineStr">
        <is>
          <t>stc_b3</t>
        </is>
      </c>
      <c r="J126" s="80" t="n">
        <v>1309</v>
      </c>
      <c r="K126" s="72" t="inlineStr">
        <is>
          <t>Hannah Kitt</t>
        </is>
      </c>
      <c r="L126" s="81" t="n">
        <v>1486</v>
      </c>
      <c r="M126" s="81">
        <f>Y126</f>
        <v/>
      </c>
      <c r="N126" s="82" t="n">
        <v>45828</v>
      </c>
      <c r="O126" s="82" t="n">
        <v>45828</v>
      </c>
      <c r="P126" s="82" t="n">
        <v>46557</v>
      </c>
      <c r="R126" s="81">
        <f>SUM(AB126:AG126)</f>
        <v/>
      </c>
      <c r="S126" s="81">
        <f>AI126</f>
        <v/>
      </c>
      <c r="T126" s="81">
        <f>AK126</f>
        <v/>
      </c>
      <c r="Y126" s="81" t="n">
        <v>1542</v>
      </c>
      <c r="AC126" s="81" t="n">
        <v>5</v>
      </c>
      <c r="AD126" s="81" t="n">
        <v>14</v>
      </c>
      <c r="AE126" s="81" t="n">
        <v>13</v>
      </c>
      <c r="AF126" s="81" t="n">
        <v>25</v>
      </c>
    </row>
    <row r="127">
      <c r="A127" s="72">
        <f>$D$25</f>
        <v/>
      </c>
      <c r="B127" s="72">
        <f>B126+1</f>
        <v/>
      </c>
      <c r="C127" s="72">
        <f>IF(K127="Vacant","Vac",IF(K127="Model","Model",IF(K127="Admin","Admin",IF(K127="Down","Down",IF(K127="Super","Super","Occ")))))</f>
        <v/>
      </c>
      <c r="D127" s="72">
        <f>INDEX($C$5:$C$12,MATCH(I127,$D$5:$D$12,0))</f>
        <v/>
      </c>
      <c r="E127" s="72">
        <f>INDEX($E$5:$E$12,MATCH(D127,$C$5:$C$12,0))</f>
        <v/>
      </c>
      <c r="F127" s="72">
        <f>INDEX($F$5:$F$12,MATCH(D127,$C$5:$C$12,0))</f>
        <v/>
      </c>
      <c r="G127" s="72">
        <f>INDEX($G$5:$G$12,MATCH(D127,$C$5:$C$12,0))</f>
        <v/>
      </c>
      <c r="H127" s="72" t="inlineStr">
        <is>
          <t>096</t>
        </is>
      </c>
      <c r="I127" s="72" t="inlineStr">
        <is>
          <t>stc_b1</t>
        </is>
      </c>
      <c r="J127" s="80" t="n">
        <v>1204</v>
      </c>
      <c r="K127" s="72" t="inlineStr">
        <is>
          <t>Paige Mallon</t>
        </is>
      </c>
      <c r="L127" s="81" t="n">
        <v>1463</v>
      </c>
      <c r="M127" s="81">
        <f>Y127</f>
        <v/>
      </c>
      <c r="N127" s="82" t="n">
        <v>46205</v>
      </c>
      <c r="O127" s="82" t="n">
        <v>46205</v>
      </c>
      <c r="P127" s="82" t="n">
        <v>46569</v>
      </c>
      <c r="R127" s="81">
        <f>SUM(AB127:AG127)</f>
        <v/>
      </c>
      <c r="S127" s="81">
        <f>AI127</f>
        <v/>
      </c>
      <c r="T127" s="81">
        <f>AK127</f>
        <v/>
      </c>
      <c r="Y127" s="81" t="n">
        <v>1510</v>
      </c>
      <c r="AC127" s="81" t="n">
        <v>5</v>
      </c>
      <c r="AD127" s="81" t="n">
        <v>14</v>
      </c>
      <c r="AE127" s="81" t="n">
        <v>12</v>
      </c>
    </row>
    <row r="128">
      <c r="A128" s="72">
        <f>$D$25</f>
        <v/>
      </c>
      <c r="B128" s="72">
        <f>B127+1</f>
        <v/>
      </c>
      <c r="C128" s="72">
        <f>IF(K128="Vacant","Vac",IF(K128="Model","Model",IF(K128="Admin","Admin",IF(K128="Down","Down",IF(K128="Super","Super","Occ")))))</f>
        <v/>
      </c>
      <c r="D128" s="72">
        <f>INDEX($C$5:$C$12,MATCH(I128,$D$5:$D$12,0))</f>
        <v/>
      </c>
      <c r="E128" s="72">
        <f>INDEX($E$5:$E$12,MATCH(D128,$C$5:$C$12,0))</f>
        <v/>
      </c>
      <c r="F128" s="72">
        <f>INDEX($F$5:$F$12,MATCH(D128,$C$5:$C$12,0))</f>
        <v/>
      </c>
      <c r="G128" s="72">
        <f>INDEX($G$5:$G$12,MATCH(D128,$C$5:$C$12,0))</f>
        <v/>
      </c>
      <c r="H128" s="72" t="inlineStr">
        <is>
          <t>097</t>
        </is>
      </c>
      <c r="I128" s="72" t="inlineStr">
        <is>
          <t>stc_b4</t>
        </is>
      </c>
      <c r="J128" s="80" t="n">
        <v>1405</v>
      </c>
      <c r="K128" s="72" t="inlineStr">
        <is>
          <t>Camille Diaz Feliciano</t>
        </is>
      </c>
      <c r="L128" s="81" t="n">
        <v>1562</v>
      </c>
      <c r="M128" s="81">
        <f>Y128</f>
        <v/>
      </c>
      <c r="N128" s="82" t="n">
        <v>46010</v>
      </c>
      <c r="O128" s="82" t="n">
        <v>46010</v>
      </c>
      <c r="P128" s="82" t="n">
        <v>46436</v>
      </c>
      <c r="R128" s="81">
        <f>SUM(AB128:AG128)</f>
        <v/>
      </c>
      <c r="S128" s="81">
        <f>AI128</f>
        <v/>
      </c>
      <c r="T128" s="81">
        <f>AK128</f>
        <v/>
      </c>
      <c r="Y128" s="81" t="n">
        <v>1541</v>
      </c>
      <c r="AC128" s="81" t="n">
        <v>5</v>
      </c>
      <c r="AD128" s="81" t="n">
        <v>14</v>
      </c>
      <c r="AE128" s="81" t="n">
        <v>12</v>
      </c>
      <c r="AF128" s="81" t="n">
        <v>25</v>
      </c>
    </row>
    <row r="129">
      <c r="A129" s="72">
        <f>$D$25</f>
        <v/>
      </c>
      <c r="B129" s="72">
        <f>B128+1</f>
        <v/>
      </c>
      <c r="C129" s="72">
        <f>IF(K129="Vacant","Vac",IF(K129="Model","Model",IF(K129="Admin","Admin",IF(K129="Down","Down",IF(K129="Super","Super","Occ")))))</f>
        <v/>
      </c>
      <c r="D129" s="72">
        <f>INDEX($C$5:$C$12,MATCH(I129,$D$5:$D$12,0))</f>
        <v/>
      </c>
      <c r="E129" s="72">
        <f>INDEX($E$5:$E$12,MATCH(D129,$C$5:$C$12,0))</f>
        <v/>
      </c>
      <c r="F129" s="72">
        <f>INDEX($F$5:$F$12,MATCH(D129,$C$5:$C$12,0))</f>
        <v/>
      </c>
      <c r="G129" s="72">
        <f>INDEX($G$5:$G$12,MATCH(D129,$C$5:$C$12,0))</f>
        <v/>
      </c>
      <c r="H129" s="72" t="inlineStr">
        <is>
          <t>098</t>
        </is>
      </c>
      <c r="I129" s="72" t="inlineStr">
        <is>
          <t>stc_b3</t>
        </is>
      </c>
      <c r="J129" s="80" t="n">
        <v>1309</v>
      </c>
      <c r="K129" s="72" t="inlineStr">
        <is>
          <t>Grant Holsinger</t>
        </is>
      </c>
      <c r="L129" s="81" t="n">
        <v>1486</v>
      </c>
      <c r="M129" s="81">
        <f>Y129</f>
        <v/>
      </c>
      <c r="N129" s="82" t="n">
        <v>45800</v>
      </c>
      <c r="O129" s="82" t="n">
        <v>45800</v>
      </c>
      <c r="P129" s="82" t="n">
        <v>46256</v>
      </c>
      <c r="R129" s="81">
        <f>SUM(AB129:AG129)</f>
        <v/>
      </c>
      <c r="S129" s="81">
        <f>AI129</f>
        <v/>
      </c>
      <c r="T129" s="81">
        <f>AK129</f>
        <v/>
      </c>
      <c r="Y129" s="81" t="n">
        <v>1603</v>
      </c>
      <c r="AB129" s="81" t="n">
        <v>35</v>
      </c>
      <c r="AC129" s="81" t="n">
        <v>5</v>
      </c>
      <c r="AD129" s="81" t="n">
        <v>14</v>
      </c>
      <c r="AE129" s="81" t="n">
        <v>12</v>
      </c>
    </row>
    <row r="130">
      <c r="A130" s="72">
        <f>$D$25</f>
        <v/>
      </c>
      <c r="B130" s="72">
        <f>B129+1</f>
        <v/>
      </c>
      <c r="C130" s="72">
        <f>IF(K130="Vacant","Vac",IF(K130="Model","Model",IF(K130="Admin","Admin",IF(K130="Down","Down",IF(K130="Super","Super","Occ")))))</f>
        <v/>
      </c>
      <c r="D130" s="72">
        <f>INDEX($C$5:$C$12,MATCH(I130,$D$5:$D$12,0))</f>
        <v/>
      </c>
      <c r="E130" s="72">
        <f>INDEX($E$5:$E$12,MATCH(D130,$C$5:$C$12,0))</f>
        <v/>
      </c>
      <c r="F130" s="72">
        <f>INDEX($F$5:$F$12,MATCH(D130,$C$5:$C$12,0))</f>
        <v/>
      </c>
      <c r="G130" s="72">
        <f>INDEX($G$5:$G$12,MATCH(D130,$C$5:$C$12,0))</f>
        <v/>
      </c>
      <c r="H130" s="72" t="inlineStr">
        <is>
          <t>099</t>
        </is>
      </c>
      <c r="I130" s="72" t="inlineStr">
        <is>
          <t>stc_b1</t>
        </is>
      </c>
      <c r="J130" s="80" t="n">
        <v>1204</v>
      </c>
      <c r="K130" s="72" t="inlineStr">
        <is>
          <t>Seddik Benaissa</t>
        </is>
      </c>
      <c r="L130" s="81" t="n">
        <v>1338</v>
      </c>
      <c r="M130" s="81">
        <f>Y130</f>
        <v/>
      </c>
      <c r="N130" s="82" t="n">
        <v>45660</v>
      </c>
      <c r="O130" s="82" t="n">
        <v>45660</v>
      </c>
      <c r="P130" s="82" t="n">
        <v>46267</v>
      </c>
      <c r="Q130" s="82" t="n">
        <v>46267</v>
      </c>
      <c r="R130" s="81">
        <f>SUM(AB130:AG130)</f>
        <v/>
      </c>
      <c r="S130" s="81">
        <f>AI130</f>
        <v/>
      </c>
      <c r="T130" s="81">
        <f>AK130</f>
        <v/>
      </c>
      <c r="Y130" s="81" t="n">
        <v>1566</v>
      </c>
      <c r="AC130" s="81" t="n">
        <v>5</v>
      </c>
      <c r="AD130" s="81" t="n">
        <v>14</v>
      </c>
      <c r="AE130" s="81" t="n">
        <v>13</v>
      </c>
    </row>
    <row r="131">
      <c r="A131" s="72">
        <f>$D$25</f>
        <v/>
      </c>
      <c r="B131" s="72">
        <f>B130+1</f>
        <v/>
      </c>
      <c r="C131" s="72">
        <f>IF(K131="Vacant","Vac",IF(K131="Model","Model",IF(K131="Admin","Admin",IF(K131="Down","Down",IF(K131="Super","Super","Occ")))))</f>
        <v/>
      </c>
      <c r="D131" s="72">
        <f>INDEX($C$5:$C$12,MATCH(I131,$D$5:$D$12,0))</f>
        <v/>
      </c>
      <c r="E131" s="72">
        <f>INDEX($E$5:$E$12,MATCH(D131,$C$5:$C$12,0))</f>
        <v/>
      </c>
      <c r="F131" s="72">
        <f>INDEX($F$5:$F$12,MATCH(D131,$C$5:$C$12,0))</f>
        <v/>
      </c>
      <c r="G131" s="72">
        <f>INDEX($G$5:$G$12,MATCH(D131,$C$5:$C$12,0))</f>
        <v/>
      </c>
      <c r="H131" s="72" t="inlineStr">
        <is>
          <t>100</t>
        </is>
      </c>
      <c r="I131" s="72" t="inlineStr">
        <is>
          <t>stc_b4</t>
        </is>
      </c>
      <c r="J131" s="80" t="n">
        <v>1405</v>
      </c>
      <c r="K131" s="72" t="inlineStr">
        <is>
          <t>Charles Hackbart</t>
        </is>
      </c>
      <c r="L131" s="81" t="n">
        <v>1417</v>
      </c>
      <c r="M131" s="81">
        <f>Y131</f>
        <v/>
      </c>
      <c r="N131" s="82" t="n">
        <v>46180</v>
      </c>
      <c r="O131" s="82" t="n">
        <v>46180</v>
      </c>
      <c r="P131" s="82" t="n">
        <v>46564</v>
      </c>
      <c r="R131" s="81">
        <f>SUM(AB131:AG131)</f>
        <v/>
      </c>
      <c r="S131" s="81">
        <f>AI131</f>
        <v/>
      </c>
      <c r="T131" s="81">
        <f>AK131</f>
        <v/>
      </c>
      <c r="Y131" s="81" t="n">
        <v>3106</v>
      </c>
      <c r="AB131" s="81" t="n">
        <v>35</v>
      </c>
      <c r="AC131" s="81" t="n">
        <v>5</v>
      </c>
      <c r="AD131" s="81" t="n">
        <v>14</v>
      </c>
      <c r="AE131" s="81" t="n">
        <v>13</v>
      </c>
    </row>
    <row r="132">
      <c r="A132" s="72">
        <f>$D$25</f>
        <v/>
      </c>
      <c r="B132" s="72">
        <f>B131+1</f>
        <v/>
      </c>
      <c r="C132" s="72">
        <f>IF(K132="Vacant","Vac",IF(K132="Model","Model",IF(K132="Admin","Admin",IF(K132="Down","Down",IF(K132="Super","Super","Occ")))))</f>
        <v/>
      </c>
      <c r="D132" s="72">
        <f>INDEX($C$5:$C$12,MATCH(I132,$D$5:$D$12,0))</f>
        <v/>
      </c>
      <c r="E132" s="72">
        <f>INDEX($E$5:$E$12,MATCH(D132,$C$5:$C$12,0))</f>
        <v/>
      </c>
      <c r="F132" s="72">
        <f>INDEX($F$5:$F$12,MATCH(D132,$C$5:$C$12,0))</f>
        <v/>
      </c>
      <c r="G132" s="72">
        <f>INDEX($G$5:$G$12,MATCH(D132,$C$5:$C$12,0))</f>
        <v/>
      </c>
      <c r="H132" s="72" t="inlineStr">
        <is>
          <t>101</t>
        </is>
      </c>
      <c r="I132" s="72" t="inlineStr">
        <is>
          <t>stc_b3</t>
        </is>
      </c>
      <c r="J132" s="80" t="n">
        <v>1309</v>
      </c>
      <c r="K132" s="72" t="inlineStr">
        <is>
          <t>Fernando Hernandez Gomez</t>
        </is>
      </c>
      <c r="L132" s="81" t="n">
        <v>1361</v>
      </c>
      <c r="M132" s="81">
        <f>Y132</f>
        <v/>
      </c>
      <c r="N132" s="82" t="n">
        <v>45691</v>
      </c>
      <c r="O132" s="82" t="n">
        <v>45691</v>
      </c>
      <c r="P132" s="82" t="n">
        <v>46540</v>
      </c>
      <c r="R132" s="81">
        <f>SUM(AB132:AG132)</f>
        <v/>
      </c>
      <c r="S132" s="81">
        <f>AI132</f>
        <v/>
      </c>
      <c r="T132" s="81">
        <f>AK132</f>
        <v/>
      </c>
      <c r="Y132" s="81" t="n">
        <v>1492</v>
      </c>
      <c r="AB132" s="81" t="n">
        <v>35</v>
      </c>
      <c r="AC132" s="81" t="n">
        <v>5</v>
      </c>
      <c r="AD132" s="81" t="n">
        <v>14</v>
      </c>
      <c r="AE132" s="81" t="n">
        <v>13</v>
      </c>
      <c r="AF132" s="81" t="n">
        <v>40</v>
      </c>
    </row>
    <row r="133">
      <c r="A133" s="72">
        <f>$D$25</f>
        <v/>
      </c>
      <c r="B133" s="72">
        <f>B132+1</f>
        <v/>
      </c>
      <c r="C133" s="72">
        <f>IF(K133="Vacant","Vac",IF(K133="Model","Model",IF(K133="Admin","Admin",IF(K133="Down","Down",IF(K133="Super","Super","Occ")))))</f>
        <v/>
      </c>
      <c r="D133" s="72">
        <f>INDEX($C$5:$C$12,MATCH(I133,$D$5:$D$12,0))</f>
        <v/>
      </c>
      <c r="E133" s="72">
        <f>INDEX($E$5:$E$12,MATCH(D133,$C$5:$C$12,0))</f>
        <v/>
      </c>
      <c r="F133" s="72">
        <f>INDEX($F$5:$F$12,MATCH(D133,$C$5:$C$12,0))</f>
        <v/>
      </c>
      <c r="G133" s="72">
        <f>INDEX($G$5:$G$12,MATCH(D133,$C$5:$C$12,0))</f>
        <v/>
      </c>
      <c r="H133" s="72" t="inlineStr">
        <is>
          <t>102</t>
        </is>
      </c>
      <c r="I133" s="72" t="inlineStr">
        <is>
          <t>stc_b1</t>
        </is>
      </c>
      <c r="J133" s="80" t="n">
        <v>1204</v>
      </c>
      <c r="K133" s="72" t="inlineStr">
        <is>
          <t>Matthew Smith</t>
        </is>
      </c>
      <c r="L133" s="81" t="n">
        <v>1338</v>
      </c>
      <c r="M133" s="81">
        <f>Y133</f>
        <v/>
      </c>
      <c r="N133" s="82" t="n">
        <v>41867</v>
      </c>
      <c r="O133" s="82" t="n">
        <v>41867</v>
      </c>
      <c r="P133" s="82" t="n">
        <v>45915</v>
      </c>
      <c r="R133" s="81">
        <f>SUM(AB133:AG133)</f>
        <v/>
      </c>
      <c r="S133" s="81">
        <f>AI133</f>
        <v/>
      </c>
      <c r="T133" s="81">
        <f>AK133</f>
        <v/>
      </c>
      <c r="Y133" s="81" t="n">
        <v>1248</v>
      </c>
      <c r="AC133" s="81" t="n">
        <v>5</v>
      </c>
      <c r="AD133" s="81" t="n">
        <v>10</v>
      </c>
      <c r="AE133" s="81" t="n">
        <v>12</v>
      </c>
    </row>
    <row r="134">
      <c r="A134" s="72">
        <f>$D$25</f>
        <v/>
      </c>
      <c r="B134" s="72">
        <f>B133+1</f>
        <v/>
      </c>
      <c r="C134" s="72">
        <f>IF(K134="Vacant","Vac",IF(K134="Model","Model",IF(K134="Admin","Admin",IF(K134="Down","Down",IF(K134="Super","Super","Occ")))))</f>
        <v/>
      </c>
      <c r="D134" s="72">
        <f>INDEX($C$5:$C$12,MATCH(I134,$D$5:$D$12,0))</f>
        <v/>
      </c>
      <c r="E134" s="72">
        <f>INDEX($E$5:$E$12,MATCH(D134,$C$5:$C$12,0))</f>
        <v/>
      </c>
      <c r="F134" s="72">
        <f>INDEX($F$5:$F$12,MATCH(D134,$C$5:$C$12,0))</f>
        <v/>
      </c>
      <c r="G134" s="72">
        <f>INDEX($G$5:$G$12,MATCH(D134,$C$5:$C$12,0))</f>
        <v/>
      </c>
      <c r="H134" s="72" t="inlineStr">
        <is>
          <t>103</t>
        </is>
      </c>
      <c r="I134" s="72" t="inlineStr">
        <is>
          <t>stc_b4</t>
        </is>
      </c>
      <c r="J134" s="80" t="n">
        <v>1405</v>
      </c>
      <c r="K134" s="72" t="inlineStr">
        <is>
          <t>Alfred Russell</t>
        </is>
      </c>
      <c r="L134" s="81" t="n">
        <v>1417</v>
      </c>
      <c r="M134" s="81">
        <f>Y134</f>
        <v/>
      </c>
      <c r="N134" s="82" t="n">
        <v>43449</v>
      </c>
      <c r="O134" s="82" t="n">
        <v>43449</v>
      </c>
      <c r="P134" s="82" t="n">
        <v>46490</v>
      </c>
      <c r="R134" s="81">
        <f>SUM(AB134:AG134)</f>
        <v/>
      </c>
      <c r="S134" s="81">
        <f>AI134</f>
        <v/>
      </c>
      <c r="T134" s="81">
        <f>AK134</f>
        <v/>
      </c>
      <c r="Y134" s="81" t="n">
        <v>1425</v>
      </c>
      <c r="AC134" s="81" t="n">
        <v>5</v>
      </c>
      <c r="AD134" s="81" t="n">
        <v>14</v>
      </c>
      <c r="AE134" s="81" t="n">
        <v>13</v>
      </c>
      <c r="AF134" s="81" t="n">
        <v>50</v>
      </c>
    </row>
    <row r="135">
      <c r="A135" s="72">
        <f>$D$25</f>
        <v/>
      </c>
      <c r="B135" s="72">
        <f>B134+1</f>
        <v/>
      </c>
      <c r="C135" s="72">
        <f>IF(K135="Vacant","Vac",IF(K135="Model","Model",IF(K135="Admin","Admin",IF(K135="Down","Down",IF(K135="Super","Super","Occ")))))</f>
        <v/>
      </c>
      <c r="D135" s="72">
        <f>INDEX($C$5:$C$12,MATCH(I135,$D$5:$D$12,0))</f>
        <v/>
      </c>
      <c r="E135" s="72">
        <f>INDEX($E$5:$E$12,MATCH(D135,$C$5:$C$12,0))</f>
        <v/>
      </c>
      <c r="F135" s="72">
        <f>INDEX($F$5:$F$12,MATCH(D135,$C$5:$C$12,0))</f>
        <v/>
      </c>
      <c r="G135" s="72">
        <f>INDEX($G$5:$G$12,MATCH(D135,$C$5:$C$12,0))</f>
        <v/>
      </c>
      <c r="H135" s="72" t="inlineStr">
        <is>
          <t>104</t>
        </is>
      </c>
      <c r="I135" s="72" t="inlineStr">
        <is>
          <t>stc_b1</t>
        </is>
      </c>
      <c r="J135" s="80" t="n">
        <v>1204</v>
      </c>
      <c r="K135" s="72" t="inlineStr">
        <is>
          <t>Isaac Session</t>
        </is>
      </c>
      <c r="L135" s="81" t="n">
        <v>1463</v>
      </c>
      <c r="M135" s="81">
        <f>Y135</f>
        <v/>
      </c>
      <c r="N135" s="82" t="n">
        <v>45945</v>
      </c>
      <c r="O135" s="82" t="n">
        <v>45945</v>
      </c>
      <c r="P135" s="82" t="n">
        <v>46370</v>
      </c>
      <c r="R135" s="81">
        <f>SUM(AB135:AG135)</f>
        <v/>
      </c>
      <c r="S135" s="81">
        <f>AI135</f>
        <v/>
      </c>
      <c r="T135" s="81">
        <f>AK135</f>
        <v/>
      </c>
      <c r="Y135" s="81" t="n">
        <v>1455</v>
      </c>
      <c r="AC135" s="81" t="n">
        <v>5</v>
      </c>
      <c r="AD135" s="81" t="n">
        <v>14</v>
      </c>
      <c r="AE135" s="81" t="n">
        <v>12</v>
      </c>
    </row>
    <row r="136">
      <c r="A136" s="72">
        <f>$D$25</f>
        <v/>
      </c>
      <c r="B136" s="72">
        <f>B135+1</f>
        <v/>
      </c>
      <c r="C136" s="72">
        <f>IF(K136="Vacant","Vac",IF(K136="Model","Model",IF(K136="Admin","Admin",IF(K136="Down","Down",IF(K136="Super","Super","Occ")))))</f>
        <v/>
      </c>
      <c r="D136" s="72">
        <f>INDEX($C$5:$C$12,MATCH(I136,$D$5:$D$12,0))</f>
        <v/>
      </c>
      <c r="E136" s="72">
        <f>INDEX($E$5:$E$12,MATCH(D136,$C$5:$C$12,0))</f>
        <v/>
      </c>
      <c r="F136" s="72">
        <f>INDEX($F$5:$F$12,MATCH(D136,$C$5:$C$12,0))</f>
        <v/>
      </c>
      <c r="G136" s="72">
        <f>INDEX($G$5:$G$12,MATCH(D136,$C$5:$C$12,0))</f>
        <v/>
      </c>
      <c r="H136" s="72" t="inlineStr">
        <is>
          <t>105</t>
        </is>
      </c>
      <c r="I136" s="72" t="inlineStr">
        <is>
          <t>stc_b1</t>
        </is>
      </c>
      <c r="J136" s="80" t="n">
        <v>1204</v>
      </c>
      <c r="K136" s="72" t="inlineStr">
        <is>
          <t>Austin Wilkins</t>
        </is>
      </c>
      <c r="L136" s="81" t="n">
        <v>1547</v>
      </c>
      <c r="M136" s="81">
        <f>Y136</f>
        <v/>
      </c>
      <c r="N136" s="82" t="n">
        <v>45702</v>
      </c>
      <c r="O136" s="82" t="n">
        <v>45702</v>
      </c>
      <c r="P136" s="82" t="n">
        <v>46581</v>
      </c>
      <c r="R136" s="81">
        <f>SUM(AB136:AG136)</f>
        <v/>
      </c>
      <c r="S136" s="81">
        <f>AI136</f>
        <v/>
      </c>
      <c r="T136" s="81">
        <f>AK136</f>
        <v/>
      </c>
      <c r="Y136" s="81" t="n">
        <v>1666</v>
      </c>
      <c r="AB136" s="81" t="n">
        <v>60</v>
      </c>
      <c r="AC136" s="81" t="n">
        <v>5</v>
      </c>
      <c r="AD136" s="81" t="n">
        <v>14</v>
      </c>
      <c r="AE136" s="81" t="n">
        <v>13</v>
      </c>
      <c r="AF136" s="81" t="n">
        <v>40</v>
      </c>
    </row>
    <row r="137">
      <c r="A137" s="72">
        <f>$D$25</f>
        <v/>
      </c>
      <c r="B137" s="72">
        <f>B136+1</f>
        <v/>
      </c>
      <c r="C137" s="72">
        <f>IF(K137="Vacant","Vac",IF(K137="Model","Model",IF(K137="Admin","Admin",IF(K137="Down","Down",IF(K137="Super","Super","Occ")))))</f>
        <v/>
      </c>
      <c r="D137" s="72">
        <f>INDEX($C$5:$C$12,MATCH(I137,$D$5:$D$12,0))</f>
        <v/>
      </c>
      <c r="E137" s="72">
        <f>INDEX($E$5:$E$12,MATCH(D137,$C$5:$C$12,0))</f>
        <v/>
      </c>
      <c r="F137" s="72">
        <f>INDEX($F$5:$F$12,MATCH(D137,$C$5:$C$12,0))</f>
        <v/>
      </c>
      <c r="G137" s="72">
        <f>INDEX($G$5:$G$12,MATCH(D137,$C$5:$C$12,0))</f>
        <v/>
      </c>
      <c r="H137" s="72" t="inlineStr">
        <is>
          <t>106</t>
        </is>
      </c>
      <c r="I137" s="72" t="inlineStr">
        <is>
          <t>stc_b4</t>
        </is>
      </c>
      <c r="J137" s="80" t="n">
        <v>1405</v>
      </c>
      <c r="K137" s="72" t="inlineStr">
        <is>
          <t>Sydney Langdon</t>
        </is>
      </c>
      <c r="L137" s="81" t="n">
        <v>1447</v>
      </c>
      <c r="M137" s="81">
        <f>Y137</f>
        <v/>
      </c>
      <c r="N137" s="82" t="n">
        <v>45511</v>
      </c>
      <c r="O137" s="82" t="n">
        <v>45511</v>
      </c>
      <c r="P137" s="82" t="n">
        <v>46240</v>
      </c>
      <c r="Q137" s="82" t="n">
        <v>46240</v>
      </c>
      <c r="R137" s="81">
        <f>SUM(AB137:AG137)</f>
        <v/>
      </c>
      <c r="S137" s="81">
        <f>AI137</f>
        <v/>
      </c>
      <c r="T137" s="81">
        <f>AK137</f>
        <v/>
      </c>
      <c r="Y137" s="81" t="n">
        <v>1588</v>
      </c>
      <c r="AC137" s="81" t="n">
        <v>5</v>
      </c>
      <c r="AD137" s="81" t="n">
        <v>14</v>
      </c>
      <c r="AE137" s="81" t="n">
        <v>12</v>
      </c>
    </row>
    <row r="138">
      <c r="A138" s="72">
        <f>$D$25</f>
        <v/>
      </c>
      <c r="B138" s="72">
        <f>B137+1</f>
        <v/>
      </c>
      <c r="C138" s="72">
        <f>IF(K138="Vacant","Vac",IF(K138="Model","Model",IF(K138="Admin","Admin",IF(K138="Down","Down",IF(K138="Super","Super","Occ")))))</f>
        <v/>
      </c>
      <c r="D138" s="72">
        <f>INDEX($C$5:$C$12,MATCH(I138,$D$5:$D$12,0))</f>
        <v/>
      </c>
      <c r="E138" s="72">
        <f>INDEX($E$5:$E$12,MATCH(D138,$C$5:$C$12,0))</f>
        <v/>
      </c>
      <c r="F138" s="72">
        <f>INDEX($F$5:$F$12,MATCH(D138,$C$5:$C$12,0))</f>
        <v/>
      </c>
      <c r="G138" s="72">
        <f>INDEX($G$5:$G$12,MATCH(D138,$C$5:$C$12,0))</f>
        <v/>
      </c>
      <c r="H138" s="72" t="inlineStr">
        <is>
          <t>107</t>
        </is>
      </c>
      <c r="I138" s="72" t="inlineStr">
        <is>
          <t>stc_a1</t>
        </is>
      </c>
      <c r="J138" s="80" t="n">
        <v>731</v>
      </c>
      <c r="K138" s="72" t="inlineStr">
        <is>
          <t>Leah Blevins</t>
        </is>
      </c>
      <c r="L138" s="81" t="n">
        <v>1139</v>
      </c>
      <c r="M138" s="81">
        <f>Y138</f>
        <v/>
      </c>
      <c r="N138" s="82" t="n">
        <v>45862</v>
      </c>
      <c r="O138" s="82" t="n">
        <v>45862</v>
      </c>
      <c r="P138" s="82" t="n">
        <v>46226</v>
      </c>
      <c r="Q138" s="82" t="n">
        <v>46226</v>
      </c>
      <c r="R138" s="81">
        <f>SUM(AB138:AG138)</f>
        <v/>
      </c>
      <c r="S138" s="81">
        <f>AI138</f>
        <v/>
      </c>
      <c r="T138" s="81">
        <f>AK138</f>
        <v/>
      </c>
      <c r="Y138" s="81" t="n">
        <v>1081</v>
      </c>
      <c r="AC138" s="81" t="n">
        <v>5</v>
      </c>
      <c r="AD138" s="81" t="n">
        <v>14</v>
      </c>
      <c r="AE138" s="81" t="n">
        <v>12</v>
      </c>
    </row>
    <row r="139">
      <c r="A139" s="72">
        <f>$D$25</f>
        <v/>
      </c>
      <c r="B139" s="72">
        <f>B138+1</f>
        <v/>
      </c>
      <c r="C139" s="72">
        <f>IF(K139="Vacant","Vac",IF(K139="Model","Model",IF(K139="Admin","Admin",IF(K139="Down","Down",IF(K139="Super","Super","Occ")))))</f>
        <v/>
      </c>
      <c r="D139" s="72">
        <f>INDEX($C$5:$C$12,MATCH(I139,$D$5:$D$12,0))</f>
        <v/>
      </c>
      <c r="E139" s="72">
        <f>INDEX($E$5:$E$12,MATCH(D139,$C$5:$C$12,0))</f>
        <v/>
      </c>
      <c r="F139" s="72">
        <f>INDEX($F$5:$F$12,MATCH(D139,$C$5:$C$12,0))</f>
        <v/>
      </c>
      <c r="G139" s="72">
        <f>INDEX($G$5:$G$12,MATCH(D139,$C$5:$C$12,0))</f>
        <v/>
      </c>
      <c r="H139" s="72" t="inlineStr">
        <is>
          <t>108</t>
        </is>
      </c>
      <c r="I139" s="72" t="inlineStr">
        <is>
          <t>stc_a3</t>
        </is>
      </c>
      <c r="J139" s="80" t="n">
        <v>987</v>
      </c>
      <c r="K139" s="72" t="inlineStr">
        <is>
          <t>Alicia Thompson</t>
        </is>
      </c>
      <c r="L139" s="81" t="n">
        <v>1319</v>
      </c>
      <c r="M139" s="81">
        <f>Y139</f>
        <v/>
      </c>
      <c r="N139" s="82" t="n">
        <v>44431</v>
      </c>
      <c r="O139" s="82" t="n">
        <v>44431</v>
      </c>
      <c r="P139" s="82" t="n">
        <v>46256</v>
      </c>
      <c r="Q139" s="82" t="n">
        <v>46256</v>
      </c>
      <c r="R139" s="81">
        <f>SUM(AB139:AG139)</f>
        <v/>
      </c>
      <c r="S139" s="81">
        <f>AI139</f>
        <v/>
      </c>
      <c r="T139" s="81">
        <f>AK139</f>
        <v/>
      </c>
      <c r="Y139" s="81" t="n">
        <v>1816</v>
      </c>
      <c r="AC139" s="81" t="n">
        <v>5</v>
      </c>
      <c r="AD139" s="81" t="n">
        <v>14</v>
      </c>
      <c r="AG139" s="81" t="n">
        <v>13</v>
      </c>
    </row>
    <row r="140">
      <c r="A140" s="72">
        <f>$D$25</f>
        <v/>
      </c>
      <c r="B140" s="72">
        <f>B139+1</f>
        <v/>
      </c>
      <c r="C140" s="72">
        <f>IF(K140="Vacant","Vac",IF(K140="Model","Model",IF(K140="Admin","Admin",IF(K140="Down","Down",IF(K140="Super","Super","Occ")))))</f>
        <v/>
      </c>
      <c r="D140" s="72">
        <f>INDEX($C$5:$C$12,MATCH(I140,$D$5:$D$12,0))</f>
        <v/>
      </c>
      <c r="E140" s="72">
        <f>INDEX($E$5:$E$12,MATCH(D140,$C$5:$C$12,0))</f>
        <v/>
      </c>
      <c r="F140" s="72">
        <f>INDEX($F$5:$F$12,MATCH(D140,$C$5:$C$12,0))</f>
        <v/>
      </c>
      <c r="G140" s="72">
        <f>INDEX($G$5:$G$12,MATCH(D140,$C$5:$C$12,0))</f>
        <v/>
      </c>
      <c r="H140" s="72" t="inlineStr">
        <is>
          <t>109</t>
        </is>
      </c>
      <c r="I140" s="72" t="inlineStr">
        <is>
          <t>stc_a1</t>
        </is>
      </c>
      <c r="J140" s="80" t="n">
        <v>731</v>
      </c>
      <c r="K140" s="72" t="inlineStr">
        <is>
          <t>Kendyl Phillips</t>
        </is>
      </c>
      <c r="L140" s="81" t="n">
        <v>1264</v>
      </c>
      <c r="M140" s="81">
        <f>Y140</f>
        <v/>
      </c>
      <c r="N140" s="82" t="n">
        <v>45759</v>
      </c>
      <c r="O140" s="82" t="n">
        <v>45759</v>
      </c>
      <c r="P140" s="82" t="n">
        <v>46214</v>
      </c>
      <c r="Q140" s="82" t="n">
        <v>46251</v>
      </c>
      <c r="R140" s="81">
        <f>SUM(AB140:AG140)</f>
        <v/>
      </c>
      <c r="S140" s="81">
        <f>AI140</f>
        <v/>
      </c>
      <c r="T140" s="81">
        <f>AK140</f>
        <v/>
      </c>
      <c r="Y140" s="81" t="n">
        <v>999</v>
      </c>
      <c r="AC140" s="81" t="n">
        <v>5</v>
      </c>
      <c r="AD140" s="81" t="n">
        <v>12</v>
      </c>
      <c r="AE140" s="81" t="n">
        <v>12</v>
      </c>
    </row>
    <row r="141">
      <c r="A141" s="72">
        <f>$D$25</f>
        <v/>
      </c>
      <c r="B141" s="72">
        <f>B140+1</f>
        <v/>
      </c>
      <c r="C141" s="72">
        <f>IF(K141="Vacant","Vac",IF(K141="Model","Model",IF(K141="Admin","Admin",IF(K141="Down","Down",IF(K141="Super","Super","Occ")))))</f>
        <v/>
      </c>
      <c r="D141" s="72">
        <f>INDEX($C$5:$C$12,MATCH(I141,$D$5:$D$12,0))</f>
        <v/>
      </c>
      <c r="E141" s="72">
        <f>INDEX($E$5:$E$12,MATCH(D141,$C$5:$C$12,0))</f>
        <v/>
      </c>
      <c r="F141" s="72">
        <f>INDEX($F$5:$F$12,MATCH(D141,$C$5:$C$12,0))</f>
        <v/>
      </c>
      <c r="G141" s="72">
        <f>INDEX($G$5:$G$12,MATCH(D141,$C$5:$C$12,0))</f>
        <v/>
      </c>
      <c r="H141" s="72" t="inlineStr">
        <is>
          <t>110</t>
        </is>
      </c>
      <c r="I141" s="72" t="inlineStr">
        <is>
          <t>stc_a3</t>
        </is>
      </c>
      <c r="J141" s="80" t="n">
        <v>987</v>
      </c>
      <c r="K141" s="72" t="inlineStr">
        <is>
          <t>Spenser Adkins</t>
        </is>
      </c>
      <c r="L141" s="81" t="n">
        <v>1319</v>
      </c>
      <c r="M141" s="81">
        <f>Y141</f>
        <v/>
      </c>
      <c r="N141" s="82" t="n">
        <v>46022</v>
      </c>
      <c r="O141" s="82" t="n">
        <v>46022</v>
      </c>
      <c r="P141" s="82" t="n">
        <v>46417</v>
      </c>
      <c r="R141" s="81">
        <f>SUM(AB141:AG141)</f>
        <v/>
      </c>
      <c r="S141" s="81">
        <f>AI141</f>
        <v/>
      </c>
      <c r="T141" s="81">
        <f>AK141</f>
        <v/>
      </c>
      <c r="Y141" s="81" t="n">
        <v>1304</v>
      </c>
      <c r="AB141" s="81" t="n">
        <v>35</v>
      </c>
      <c r="AC141" s="81" t="n">
        <v>5</v>
      </c>
      <c r="AD141" s="81" t="n">
        <v>14</v>
      </c>
      <c r="AE141" s="81" t="n">
        <v>12</v>
      </c>
    </row>
    <row r="142">
      <c r="A142" s="72">
        <f>$D$25</f>
        <v/>
      </c>
      <c r="B142" s="72">
        <f>B141+1</f>
        <v/>
      </c>
      <c r="C142" s="72">
        <f>IF(K142="Vacant","Vac",IF(K142="Model","Model",IF(K142="Admin","Admin",IF(K142="Down","Down",IF(K142="Super","Super","Occ")))))</f>
        <v/>
      </c>
      <c r="D142" s="72">
        <f>INDEX($C$5:$C$12,MATCH(I142,$D$5:$D$12,0))</f>
        <v/>
      </c>
      <c r="E142" s="72">
        <f>INDEX($E$5:$E$12,MATCH(D142,$C$5:$C$12,0))</f>
        <v/>
      </c>
      <c r="F142" s="72">
        <f>INDEX($F$5:$F$12,MATCH(D142,$C$5:$C$12,0))</f>
        <v/>
      </c>
      <c r="G142" s="72">
        <f>INDEX($G$5:$G$12,MATCH(D142,$C$5:$C$12,0))</f>
        <v/>
      </c>
      <c r="H142" s="72" t="inlineStr">
        <is>
          <t>111</t>
        </is>
      </c>
      <c r="I142" s="72" t="inlineStr">
        <is>
          <t>stc_b1</t>
        </is>
      </c>
      <c r="J142" s="80" t="n">
        <v>1204</v>
      </c>
      <c r="K142" s="72" t="inlineStr">
        <is>
          <t>Alexis Brown</t>
        </is>
      </c>
      <c r="L142" s="81" t="n">
        <v>1443</v>
      </c>
      <c r="M142" s="81">
        <f>Y142</f>
        <v/>
      </c>
      <c r="N142" s="82" t="n">
        <v>46176</v>
      </c>
      <c r="O142" s="82" t="n">
        <v>46176</v>
      </c>
      <c r="P142" s="82" t="n">
        <v>46365</v>
      </c>
      <c r="R142" s="81">
        <f>SUM(AB142:AG142)</f>
        <v/>
      </c>
      <c r="S142" s="81">
        <f>AI142</f>
        <v/>
      </c>
      <c r="T142" s="81">
        <f>AK142</f>
        <v/>
      </c>
      <c r="Y142" s="81" t="n">
        <v>1498</v>
      </c>
      <c r="AC142" s="81" t="n">
        <v>5</v>
      </c>
      <c r="AD142" s="81" t="n">
        <v>14</v>
      </c>
      <c r="AE142" s="81" t="n">
        <v>13</v>
      </c>
    </row>
    <row r="143">
      <c r="A143" s="72">
        <f>$D$25</f>
        <v/>
      </c>
      <c r="B143" s="72">
        <f>B142+1</f>
        <v/>
      </c>
      <c r="C143" s="72">
        <f>IF(K143="Vacant","Vac",IF(K143="Model","Model",IF(K143="Admin","Admin",IF(K143="Down","Down",IF(K143="Super","Super","Occ")))))</f>
        <v/>
      </c>
      <c r="D143" s="72">
        <f>INDEX($C$5:$C$12,MATCH(I143,$D$5:$D$12,0))</f>
        <v/>
      </c>
      <c r="E143" s="72">
        <f>INDEX($E$5:$E$12,MATCH(D143,$C$5:$C$12,0))</f>
        <v/>
      </c>
      <c r="F143" s="72">
        <f>INDEX($F$5:$F$12,MATCH(D143,$C$5:$C$12,0))</f>
        <v/>
      </c>
      <c r="G143" s="72">
        <f>INDEX($G$5:$G$12,MATCH(D143,$C$5:$C$12,0))</f>
        <v/>
      </c>
      <c r="H143" s="72" t="inlineStr">
        <is>
          <t>112</t>
        </is>
      </c>
      <c r="I143" s="72" t="inlineStr">
        <is>
          <t>stc_b1</t>
        </is>
      </c>
      <c r="J143" s="80" t="n">
        <v>1204</v>
      </c>
      <c r="K143" s="72" t="inlineStr">
        <is>
          <t>Chloe Ditka</t>
        </is>
      </c>
      <c r="L143" s="81" t="n">
        <v>1463</v>
      </c>
      <c r="M143" s="81">
        <f>Y143</f>
        <v/>
      </c>
      <c r="N143" s="82" t="n">
        <v>45391</v>
      </c>
      <c r="O143" s="82" t="n">
        <v>45391</v>
      </c>
      <c r="P143" s="82" t="n">
        <v>46546</v>
      </c>
      <c r="R143" s="81">
        <f>SUM(AB143:AG143)</f>
        <v/>
      </c>
      <c r="S143" s="81">
        <f>AI143</f>
        <v/>
      </c>
      <c r="T143" s="81">
        <f>AK143</f>
        <v/>
      </c>
      <c r="Y143" s="81" t="n">
        <v>1485</v>
      </c>
      <c r="AB143" s="81" t="n">
        <v>35</v>
      </c>
      <c r="AC143" s="81" t="n">
        <v>5</v>
      </c>
      <c r="AD143" s="81" t="n">
        <v>14</v>
      </c>
      <c r="AE143" s="81" t="n">
        <v>13</v>
      </c>
      <c r="AF143" s="81" t="n">
        <v>80</v>
      </c>
    </row>
    <row r="144">
      <c r="A144" s="72">
        <f>$D$25</f>
        <v/>
      </c>
      <c r="B144" s="72">
        <f>B143+1</f>
        <v/>
      </c>
      <c r="C144" s="72">
        <f>IF(K144="Vacant","Vac",IF(K144="Model","Model",IF(K144="Admin","Admin",IF(K144="Down","Down",IF(K144="Super","Super","Occ")))))</f>
        <v/>
      </c>
      <c r="D144" s="72">
        <f>INDEX($C$5:$C$12,MATCH(I144,$D$5:$D$12,0))</f>
        <v/>
      </c>
      <c r="E144" s="72">
        <f>INDEX($E$5:$E$12,MATCH(D144,$C$5:$C$12,0))</f>
        <v/>
      </c>
      <c r="F144" s="72">
        <f>INDEX($F$5:$F$12,MATCH(D144,$C$5:$C$12,0))</f>
        <v/>
      </c>
      <c r="G144" s="72">
        <f>INDEX($G$5:$G$12,MATCH(D144,$C$5:$C$12,0))</f>
        <v/>
      </c>
      <c r="H144" s="72" t="inlineStr">
        <is>
          <t>113</t>
        </is>
      </c>
      <c r="I144" s="72" t="inlineStr">
        <is>
          <t>stc_b4</t>
        </is>
      </c>
      <c r="J144" s="80" t="n">
        <v>1405</v>
      </c>
      <c r="K144" s="72" t="inlineStr">
        <is>
          <t>Jonathann Jones</t>
        </is>
      </c>
      <c r="L144" s="81" t="n">
        <v>1542</v>
      </c>
      <c r="M144" s="81">
        <f>Y144</f>
        <v/>
      </c>
      <c r="N144" s="82" t="n">
        <v>45244</v>
      </c>
      <c r="O144" s="82" t="n">
        <v>45244</v>
      </c>
      <c r="P144" s="82" t="n">
        <v>46387</v>
      </c>
      <c r="R144" s="81">
        <f>SUM(AB144:AG144)</f>
        <v/>
      </c>
      <c r="S144" s="81">
        <f>AI144</f>
        <v/>
      </c>
      <c r="T144" s="81">
        <f>AK144</f>
        <v/>
      </c>
      <c r="Y144" s="81" t="n">
        <v>1060</v>
      </c>
      <c r="AB144" s="81" t="n">
        <v>80</v>
      </c>
      <c r="AC144" s="81" t="n">
        <v>5</v>
      </c>
      <c r="AD144" s="81" t="n">
        <v>14</v>
      </c>
      <c r="AE144" s="81" t="n">
        <v>12</v>
      </c>
      <c r="AF144" s="81" t="n">
        <v>40</v>
      </c>
      <c r="AK144" s="81" t="n">
        <v>-1060</v>
      </c>
    </row>
    <row r="145">
      <c r="A145" s="72">
        <f>$D$25</f>
        <v/>
      </c>
      <c r="B145" s="72">
        <f>B144+1</f>
        <v/>
      </c>
      <c r="C145" s="72">
        <f>IF(K145="Vacant","Vac",IF(K145="Model","Model",IF(K145="Admin","Admin",IF(K145="Down","Down",IF(K145="Super","Super","Occ")))))</f>
        <v/>
      </c>
      <c r="D145" s="72">
        <f>INDEX($C$5:$C$12,MATCH(I145,$D$5:$D$12,0))</f>
        <v/>
      </c>
      <c r="E145" s="72">
        <f>INDEX($E$5:$E$12,MATCH(D145,$C$5:$C$12,0))</f>
        <v/>
      </c>
      <c r="F145" s="72">
        <f>INDEX($F$5:$F$12,MATCH(D145,$C$5:$C$12,0))</f>
        <v/>
      </c>
      <c r="G145" s="72">
        <f>INDEX($G$5:$G$12,MATCH(D145,$C$5:$C$12,0))</f>
        <v/>
      </c>
      <c r="H145" s="72" t="inlineStr">
        <is>
          <t>114</t>
        </is>
      </c>
      <c r="I145" s="72" t="inlineStr">
        <is>
          <t>stc_b3</t>
        </is>
      </c>
      <c r="J145" s="80" t="n">
        <v>1309</v>
      </c>
      <c r="K145" s="72" t="inlineStr">
        <is>
          <t>Melissa Biddle</t>
        </is>
      </c>
      <c r="L145" s="81" t="n">
        <v>1486</v>
      </c>
      <c r="M145" s="81">
        <f>Y145</f>
        <v/>
      </c>
      <c r="N145" s="82" t="n">
        <v>45649</v>
      </c>
      <c r="O145" s="82" t="n">
        <v>45649</v>
      </c>
      <c r="P145" s="82" t="n">
        <v>46378</v>
      </c>
      <c r="R145" s="81">
        <f>SUM(AB145:AG145)</f>
        <v/>
      </c>
      <c r="S145" s="81">
        <f>AI145</f>
        <v/>
      </c>
      <c r="T145" s="81">
        <f>AK145</f>
        <v/>
      </c>
      <c r="Y145" s="81" t="n">
        <v>1399</v>
      </c>
      <c r="AC145" s="81" t="n">
        <v>5</v>
      </c>
      <c r="AD145" s="81" t="n">
        <v>14</v>
      </c>
      <c r="AE145" s="81" t="n">
        <v>12</v>
      </c>
      <c r="AF145" s="81" t="n">
        <v>80</v>
      </c>
    </row>
    <row r="146">
      <c r="A146" s="72">
        <f>$D$25</f>
        <v/>
      </c>
      <c r="B146" s="72">
        <f>B145+1</f>
        <v/>
      </c>
      <c r="C146" s="72">
        <f>IF(K146="Vacant","Vac",IF(K146="Model","Model",IF(K146="Admin","Admin",IF(K146="Down","Down",IF(K146="Super","Super","Occ")))))</f>
        <v/>
      </c>
      <c r="D146" s="72">
        <f>INDEX($C$5:$C$12,MATCH(I146,$D$5:$D$12,0))</f>
        <v/>
      </c>
      <c r="E146" s="72">
        <f>INDEX($E$5:$E$12,MATCH(D146,$C$5:$C$12,0))</f>
        <v/>
      </c>
      <c r="F146" s="72">
        <f>INDEX($F$5:$F$12,MATCH(D146,$C$5:$C$12,0))</f>
        <v/>
      </c>
      <c r="G146" s="72">
        <f>INDEX($G$5:$G$12,MATCH(D146,$C$5:$C$12,0))</f>
        <v/>
      </c>
      <c r="H146" s="72" t="inlineStr">
        <is>
          <t>115</t>
        </is>
      </c>
      <c r="I146" s="72" t="inlineStr">
        <is>
          <t>stc_b1</t>
        </is>
      </c>
      <c r="J146" s="80" t="n">
        <v>1204</v>
      </c>
      <c r="K146" s="72" t="inlineStr">
        <is>
          <t>Muhammad Sipes</t>
        </is>
      </c>
      <c r="L146" s="81" t="n">
        <v>1463</v>
      </c>
      <c r="M146" s="81">
        <f>Y146</f>
        <v/>
      </c>
      <c r="N146" s="82" t="n">
        <v>46178</v>
      </c>
      <c r="O146" s="82" t="n">
        <v>46178</v>
      </c>
      <c r="P146" s="82" t="n">
        <v>46542</v>
      </c>
      <c r="R146" s="81">
        <f>SUM(AB146:AG146)</f>
        <v/>
      </c>
      <c r="S146" s="81">
        <f>AI146</f>
        <v/>
      </c>
      <c r="T146" s="81">
        <f>AK146</f>
        <v/>
      </c>
      <c r="Y146" s="81" t="n">
        <v>1490</v>
      </c>
      <c r="AC146" s="81" t="n">
        <v>5</v>
      </c>
      <c r="AD146" s="81" t="n">
        <v>14</v>
      </c>
      <c r="AE146" s="81" t="n">
        <v>12</v>
      </c>
    </row>
    <row r="147">
      <c r="A147" s="72">
        <f>$D$25</f>
        <v/>
      </c>
      <c r="B147" s="72">
        <f>B146+1</f>
        <v/>
      </c>
      <c r="C147" s="72">
        <f>IF(K147="Vacant","Vac",IF(K147="Model","Model",IF(K147="Admin","Admin",IF(K147="Down","Down",IF(K147="Super","Super","Occ")))))</f>
        <v/>
      </c>
      <c r="D147" s="72">
        <f>INDEX($C$5:$C$12,MATCH(I147,$D$5:$D$12,0))</f>
        <v/>
      </c>
      <c r="E147" s="72">
        <f>INDEX($E$5:$E$12,MATCH(D147,$C$5:$C$12,0))</f>
        <v/>
      </c>
      <c r="F147" s="72">
        <f>INDEX($F$5:$F$12,MATCH(D147,$C$5:$C$12,0))</f>
        <v/>
      </c>
      <c r="G147" s="72">
        <f>INDEX($G$5:$G$12,MATCH(D147,$C$5:$C$12,0))</f>
        <v/>
      </c>
      <c r="H147" s="72" t="inlineStr">
        <is>
          <t>116</t>
        </is>
      </c>
      <c r="I147" s="72" t="inlineStr">
        <is>
          <t>stc_b4</t>
        </is>
      </c>
      <c r="J147" s="80" t="n">
        <v>1405</v>
      </c>
      <c r="K147" s="72" t="inlineStr">
        <is>
          <t>Paige Hensley</t>
        </is>
      </c>
      <c r="L147" s="81" t="n">
        <v>1542</v>
      </c>
      <c r="M147" s="81">
        <f>Y147</f>
        <v/>
      </c>
      <c r="N147" s="82" t="n">
        <v>45918</v>
      </c>
      <c r="O147" s="82" t="n">
        <v>45918</v>
      </c>
      <c r="P147" s="82" t="n">
        <v>46282</v>
      </c>
      <c r="R147" s="81">
        <f>SUM(AB147:AG147)</f>
        <v/>
      </c>
      <c r="S147" s="81">
        <f>AI147</f>
        <v/>
      </c>
      <c r="T147" s="81">
        <f>AK147</f>
        <v/>
      </c>
      <c r="Y147" s="81" t="n">
        <v>1599</v>
      </c>
      <c r="AB147" s="81" t="n">
        <v>35</v>
      </c>
      <c r="AC147" s="81" t="n">
        <v>5</v>
      </c>
      <c r="AD147" s="81" t="n">
        <v>14</v>
      </c>
      <c r="AE147" s="81" t="n">
        <v>12</v>
      </c>
    </row>
    <row r="148">
      <c r="A148" s="72">
        <f>$D$25</f>
        <v/>
      </c>
      <c r="B148" s="72">
        <f>B147+1</f>
        <v/>
      </c>
      <c r="C148" s="72">
        <f>IF(K148="Vacant","Vac",IF(K148="Model","Model",IF(K148="Admin","Admin",IF(K148="Down","Down",IF(K148="Super","Super","Occ")))))</f>
        <v/>
      </c>
      <c r="D148" s="72">
        <f>INDEX($C$5:$C$12,MATCH(I148,$D$5:$D$12,0))</f>
        <v/>
      </c>
      <c r="E148" s="72">
        <f>INDEX($E$5:$E$12,MATCH(D148,$C$5:$C$12,0))</f>
        <v/>
      </c>
      <c r="F148" s="72">
        <f>INDEX($F$5:$F$12,MATCH(D148,$C$5:$C$12,0))</f>
        <v/>
      </c>
      <c r="G148" s="72">
        <f>INDEX($G$5:$G$12,MATCH(D148,$C$5:$C$12,0))</f>
        <v/>
      </c>
      <c r="H148" s="72" t="inlineStr">
        <is>
          <t>117</t>
        </is>
      </c>
      <c r="I148" s="72" t="inlineStr">
        <is>
          <t>stc_a2</t>
        </is>
      </c>
      <c r="J148" s="80" t="n">
        <v>768</v>
      </c>
      <c r="K148" s="72" t="inlineStr">
        <is>
          <t>Sydney Hornsby</t>
        </is>
      </c>
      <c r="L148" s="81" t="n">
        <v>1270</v>
      </c>
      <c r="M148" s="81">
        <f>Y148</f>
        <v/>
      </c>
      <c r="N148" s="82" t="n">
        <v>45135</v>
      </c>
      <c r="O148" s="82" t="n">
        <v>45135</v>
      </c>
      <c r="P148" s="82" t="n">
        <v>46322</v>
      </c>
      <c r="R148" s="81">
        <f>SUM(AB148:AG148)</f>
        <v/>
      </c>
      <c r="S148" s="81">
        <f>AI148</f>
        <v/>
      </c>
      <c r="T148" s="81">
        <f>AK148</f>
        <v/>
      </c>
      <c r="Y148" s="81" t="n">
        <v>1174</v>
      </c>
      <c r="AC148" s="81" t="n">
        <v>5</v>
      </c>
      <c r="AD148" s="81" t="n">
        <v>14</v>
      </c>
      <c r="AE148" s="81" t="n">
        <v>12</v>
      </c>
      <c r="AF148" s="81" t="n">
        <v>40</v>
      </c>
    </row>
    <row r="149">
      <c r="A149" s="72">
        <f>$D$25</f>
        <v/>
      </c>
      <c r="B149" s="72">
        <f>B148+1</f>
        <v/>
      </c>
      <c r="C149" s="72">
        <f>IF(K149="Vacant","Vac",IF(K149="Model","Model",IF(K149="Admin","Admin",IF(K149="Down","Down",IF(K149="Super","Super","Occ")))))</f>
        <v/>
      </c>
      <c r="D149" s="72">
        <f>INDEX($C$5:$C$12,MATCH(I149,$D$5:$D$12,0))</f>
        <v/>
      </c>
      <c r="E149" s="72">
        <f>INDEX($E$5:$E$12,MATCH(D149,$C$5:$C$12,0))</f>
        <v/>
      </c>
      <c r="F149" s="72">
        <f>INDEX($F$5:$F$12,MATCH(D149,$C$5:$C$12,0))</f>
        <v/>
      </c>
      <c r="G149" s="72">
        <f>INDEX($G$5:$G$12,MATCH(D149,$C$5:$C$12,0))</f>
        <v/>
      </c>
      <c r="H149" s="72" t="inlineStr">
        <is>
          <t>118</t>
        </is>
      </c>
      <c r="I149" s="72" t="inlineStr">
        <is>
          <t>stc_b2</t>
        </is>
      </c>
      <c r="J149" s="80" t="n">
        <v>1214</v>
      </c>
      <c r="K149" s="72" t="inlineStr">
        <is>
          <t>Morgan Black</t>
        </is>
      </c>
      <c r="L149" s="81" t="n">
        <v>1341</v>
      </c>
      <c r="M149" s="81">
        <f>Y149</f>
        <v/>
      </c>
      <c r="N149" s="82" t="n">
        <v>43511</v>
      </c>
      <c r="O149" s="82" t="n">
        <v>43511</v>
      </c>
      <c r="P149" s="82" t="n">
        <v>46484</v>
      </c>
      <c r="R149" s="81">
        <f>SUM(AB149:AG149)</f>
        <v/>
      </c>
      <c r="S149" s="81">
        <f>AI149</f>
        <v/>
      </c>
      <c r="T149" s="81">
        <f>AK149</f>
        <v/>
      </c>
      <c r="Y149" s="81" t="n">
        <v>1340</v>
      </c>
      <c r="AB149" s="81" t="n">
        <v>60</v>
      </c>
      <c r="AC149" s="81" t="n">
        <v>5</v>
      </c>
      <c r="AD149" s="81" t="n">
        <v>14</v>
      </c>
      <c r="AE149" s="81" t="n">
        <v>13</v>
      </c>
    </row>
    <row r="150">
      <c r="A150" s="72">
        <f>$D$25</f>
        <v/>
      </c>
      <c r="B150" s="72">
        <f>B149+1</f>
        <v/>
      </c>
      <c r="C150" s="72">
        <f>IF(K150="Vacant","Vac",IF(K150="Model","Model",IF(K150="Admin","Admin",IF(K150="Down","Down",IF(K150="Super","Super","Occ")))))</f>
        <v/>
      </c>
      <c r="D150" s="72">
        <f>INDEX($C$5:$C$12,MATCH(I150,$D$5:$D$12,0))</f>
        <v/>
      </c>
      <c r="E150" s="72">
        <f>INDEX($E$5:$E$12,MATCH(D150,$C$5:$C$12,0))</f>
        <v/>
      </c>
      <c r="F150" s="72">
        <f>INDEX($F$5:$F$12,MATCH(D150,$C$5:$C$12,0))</f>
        <v/>
      </c>
      <c r="G150" s="72">
        <f>INDEX($G$5:$G$12,MATCH(D150,$C$5:$C$12,0))</f>
        <v/>
      </c>
      <c r="H150" s="72" t="inlineStr">
        <is>
          <t>119</t>
        </is>
      </c>
      <c r="I150" s="72" t="inlineStr">
        <is>
          <t>stc_a1</t>
        </is>
      </c>
      <c r="J150" s="80" t="n">
        <v>731</v>
      </c>
      <c r="K150" s="72" t="inlineStr">
        <is>
          <t>Chloe Snow</t>
        </is>
      </c>
      <c r="L150" s="81" t="n">
        <v>1264</v>
      </c>
      <c r="M150" s="81">
        <f>Y150</f>
        <v/>
      </c>
      <c r="N150" s="82" t="n">
        <v>46191</v>
      </c>
      <c r="O150" s="82" t="n">
        <v>46191</v>
      </c>
      <c r="P150" s="82" t="n">
        <v>46555</v>
      </c>
      <c r="R150" s="81">
        <f>SUM(AB150:AG150)</f>
        <v/>
      </c>
      <c r="S150" s="81">
        <f>AI150</f>
        <v/>
      </c>
      <c r="T150" s="81">
        <f>AK150</f>
        <v/>
      </c>
      <c r="Y150" s="81" t="n">
        <v>1361</v>
      </c>
      <c r="AC150" s="81" t="n">
        <v>5</v>
      </c>
      <c r="AD150" s="81" t="n">
        <v>14</v>
      </c>
      <c r="AE150" s="81" t="n">
        <v>13</v>
      </c>
    </row>
    <row r="151">
      <c r="A151" s="72">
        <f>$D$25</f>
        <v/>
      </c>
      <c r="B151" s="72">
        <f>B150+1</f>
        <v/>
      </c>
      <c r="C151" s="72">
        <f>IF(K151="Vacant","Vac",IF(K151="Model","Model",IF(K151="Admin","Admin",IF(K151="Down","Down",IF(K151="Super","Super","Occ")))))</f>
        <v/>
      </c>
      <c r="D151" s="72">
        <f>INDEX($C$5:$C$12,MATCH(I151,$D$5:$D$12,0))</f>
        <v/>
      </c>
      <c r="E151" s="72">
        <f>INDEX($E$5:$E$12,MATCH(D151,$C$5:$C$12,0))</f>
        <v/>
      </c>
      <c r="F151" s="72">
        <f>INDEX($F$5:$F$12,MATCH(D151,$C$5:$C$12,0))</f>
        <v/>
      </c>
      <c r="G151" s="72">
        <f>INDEX($G$5:$G$12,MATCH(D151,$C$5:$C$12,0))</f>
        <v/>
      </c>
      <c r="H151" s="72" t="inlineStr">
        <is>
          <t>120</t>
        </is>
      </c>
      <c r="I151" s="72" t="inlineStr">
        <is>
          <t>stc_a3</t>
        </is>
      </c>
      <c r="J151" s="80" t="n">
        <v>987</v>
      </c>
      <c r="K151" s="72" t="inlineStr">
        <is>
          <t>Daniel Corsmeier</t>
        </is>
      </c>
      <c r="L151" s="81" t="n">
        <v>1319</v>
      </c>
      <c r="M151" s="81">
        <f>Y151</f>
        <v/>
      </c>
      <c r="N151" s="82" t="n">
        <v>43706</v>
      </c>
      <c r="O151" s="82" t="n">
        <v>43706</v>
      </c>
      <c r="P151" s="82" t="n">
        <v>46477</v>
      </c>
      <c r="R151" s="81">
        <f>SUM(AB151:AG151)</f>
        <v/>
      </c>
      <c r="S151" s="81">
        <f>AI151</f>
        <v/>
      </c>
      <c r="T151" s="81">
        <f>AK151</f>
        <v/>
      </c>
      <c r="Y151" s="81" t="n">
        <v>1092</v>
      </c>
      <c r="AC151" s="81" t="n">
        <v>5</v>
      </c>
      <c r="AD151" s="81" t="n">
        <v>14</v>
      </c>
      <c r="AE151" s="81" t="n">
        <v>12</v>
      </c>
    </row>
    <row r="152">
      <c r="A152" s="72">
        <f>$D$25</f>
        <v/>
      </c>
      <c r="B152" s="72">
        <f>B151+1</f>
        <v/>
      </c>
      <c r="C152" s="72">
        <f>IF(K152="Vacant","Vac",IF(K152="Model","Model",IF(K152="Admin","Admin",IF(K152="Down","Down",IF(K152="Super","Super","Occ")))))</f>
        <v/>
      </c>
      <c r="D152" s="72">
        <f>INDEX($C$5:$C$12,MATCH(I152,$D$5:$D$12,0))</f>
        <v/>
      </c>
      <c r="E152" s="72">
        <f>INDEX($E$5:$E$12,MATCH(D152,$C$5:$C$12,0))</f>
        <v/>
      </c>
      <c r="F152" s="72">
        <f>INDEX($F$5:$F$12,MATCH(D152,$C$5:$C$12,0))</f>
        <v/>
      </c>
      <c r="G152" s="72">
        <f>INDEX($G$5:$G$12,MATCH(D152,$C$5:$C$12,0))</f>
        <v/>
      </c>
      <c r="H152" s="72" t="inlineStr">
        <is>
          <t>121</t>
        </is>
      </c>
      <c r="I152" s="72" t="inlineStr">
        <is>
          <t>stc_a1</t>
        </is>
      </c>
      <c r="J152" s="80" t="n">
        <v>731</v>
      </c>
      <c r="K152" s="72" t="inlineStr">
        <is>
          <t>Bella Vincent</t>
        </is>
      </c>
      <c r="L152" s="81" t="n">
        <v>1264</v>
      </c>
      <c r="M152" s="81">
        <f>Y152</f>
        <v/>
      </c>
      <c r="N152" s="82" t="n">
        <v>45833</v>
      </c>
      <c r="O152" s="82" t="n">
        <v>45833</v>
      </c>
      <c r="P152" s="82" t="n">
        <v>46258</v>
      </c>
      <c r="R152" s="81">
        <f>SUM(AB152:AG152)</f>
        <v/>
      </c>
      <c r="S152" s="81">
        <f>AI152</f>
        <v/>
      </c>
      <c r="T152" s="81">
        <f>AK152</f>
        <v/>
      </c>
      <c r="Y152" s="81" t="n">
        <v>1200</v>
      </c>
      <c r="AB152" s="81" t="n">
        <v>35</v>
      </c>
      <c r="AC152" s="81" t="n">
        <v>5</v>
      </c>
      <c r="AD152" s="81" t="n">
        <v>14</v>
      </c>
      <c r="AE152" s="81" t="n">
        <v>12</v>
      </c>
    </row>
    <row r="153">
      <c r="A153" s="72">
        <f>$D$25</f>
        <v/>
      </c>
      <c r="B153" s="72">
        <f>B152+1</f>
        <v/>
      </c>
      <c r="C153" s="72">
        <f>IF(K153="Vacant","Vac",IF(K153="Model","Model",IF(K153="Admin","Admin",IF(K153="Down","Down",IF(K153="Super","Super","Occ")))))</f>
        <v/>
      </c>
      <c r="D153" s="72">
        <f>INDEX($C$5:$C$12,MATCH(I153,$D$5:$D$12,0))</f>
        <v/>
      </c>
      <c r="E153" s="72">
        <f>INDEX($E$5:$E$12,MATCH(D153,$C$5:$C$12,0))</f>
        <v/>
      </c>
      <c r="F153" s="72">
        <f>INDEX($F$5:$F$12,MATCH(D153,$C$5:$C$12,0))</f>
        <v/>
      </c>
      <c r="G153" s="72">
        <f>INDEX($G$5:$G$12,MATCH(D153,$C$5:$C$12,0))</f>
        <v/>
      </c>
      <c r="H153" s="72" t="inlineStr">
        <is>
          <t>122</t>
        </is>
      </c>
      <c r="I153" s="72" t="inlineStr">
        <is>
          <t>stc_a3</t>
        </is>
      </c>
      <c r="J153" s="80" t="n">
        <v>987</v>
      </c>
      <c r="K153" s="72" t="inlineStr">
        <is>
          <t>Hunter Jones</t>
        </is>
      </c>
      <c r="L153" s="81" t="n">
        <v>1194</v>
      </c>
      <c r="M153" s="81">
        <f>Y153</f>
        <v/>
      </c>
      <c r="N153" s="82" t="n">
        <v>45331</v>
      </c>
      <c r="O153" s="82" t="n">
        <v>45331</v>
      </c>
      <c r="P153" s="82" t="n">
        <v>46546</v>
      </c>
      <c r="R153" s="81">
        <f>SUM(AB153:AG153)</f>
        <v/>
      </c>
      <c r="S153" s="81">
        <f>AI153</f>
        <v/>
      </c>
      <c r="T153" s="81">
        <f>AK153</f>
        <v/>
      </c>
      <c r="Y153" s="81" t="n">
        <v>1164</v>
      </c>
      <c r="AC153" s="81" t="n">
        <v>5</v>
      </c>
      <c r="AD153" s="81" t="n">
        <v>14</v>
      </c>
      <c r="AE153" s="81" t="n">
        <v>13</v>
      </c>
    </row>
    <row r="154">
      <c r="A154" s="72">
        <f>$D$25</f>
        <v/>
      </c>
      <c r="B154" s="72">
        <f>B153+1</f>
        <v/>
      </c>
      <c r="C154" s="72">
        <f>IF(K154="Vacant","Vac",IF(K154="Model","Model",IF(K154="Admin","Admin",IF(K154="Down","Down",IF(K154="Super","Super","Occ")))))</f>
        <v/>
      </c>
      <c r="D154" s="72">
        <f>INDEX($C$5:$C$12,MATCH(I154,$D$5:$D$12,0))</f>
        <v/>
      </c>
      <c r="E154" s="72">
        <f>INDEX($E$5:$E$12,MATCH(D154,$C$5:$C$12,0))</f>
        <v/>
      </c>
      <c r="F154" s="72">
        <f>INDEX($F$5:$F$12,MATCH(D154,$C$5:$C$12,0))</f>
        <v/>
      </c>
      <c r="G154" s="72">
        <f>INDEX($G$5:$G$12,MATCH(D154,$C$5:$C$12,0))</f>
        <v/>
      </c>
      <c r="H154" s="72" t="inlineStr">
        <is>
          <t>123</t>
        </is>
      </c>
      <c r="I154" s="72" t="inlineStr">
        <is>
          <t>stc_a1</t>
        </is>
      </c>
      <c r="J154" s="80" t="n">
        <v>731</v>
      </c>
      <c r="K154" s="72" t="inlineStr">
        <is>
          <t>Samuel Stayton</t>
        </is>
      </c>
      <c r="L154" s="81" t="n">
        <v>1264</v>
      </c>
      <c r="M154" s="81">
        <f>Y154</f>
        <v/>
      </c>
      <c r="N154" s="82" t="n">
        <v>45813</v>
      </c>
      <c r="O154" s="82" t="n">
        <v>45813</v>
      </c>
      <c r="P154" s="82" t="n">
        <v>46542</v>
      </c>
      <c r="R154" s="81">
        <f>SUM(AB154:AG154)</f>
        <v/>
      </c>
      <c r="S154" s="81">
        <f>AI154</f>
        <v/>
      </c>
      <c r="T154" s="81">
        <f>AK154</f>
        <v/>
      </c>
      <c r="Y154" s="81" t="n">
        <v>1249</v>
      </c>
      <c r="AB154" s="81" t="n">
        <v>60</v>
      </c>
      <c r="AC154" s="81" t="n">
        <v>5</v>
      </c>
      <c r="AD154" s="81" t="n">
        <v>14</v>
      </c>
      <c r="AE154" s="81" t="n">
        <v>13</v>
      </c>
    </row>
    <row r="155">
      <c r="A155" s="72">
        <f>$D$25</f>
        <v/>
      </c>
      <c r="B155" s="72">
        <f>B154+1</f>
        <v/>
      </c>
      <c r="C155" s="72">
        <f>IF(K155="Vacant","Vac",IF(K155="Model","Model",IF(K155="Admin","Admin",IF(K155="Down","Down",IF(K155="Super","Super","Occ")))))</f>
        <v/>
      </c>
      <c r="D155" s="72">
        <f>INDEX($C$5:$C$12,MATCH(I155,$D$5:$D$12,0))</f>
        <v/>
      </c>
      <c r="E155" s="72">
        <f>INDEX($E$5:$E$12,MATCH(D155,$C$5:$C$12,0))</f>
        <v/>
      </c>
      <c r="F155" s="72">
        <f>INDEX($F$5:$F$12,MATCH(D155,$C$5:$C$12,0))</f>
        <v/>
      </c>
      <c r="G155" s="72">
        <f>INDEX($G$5:$G$12,MATCH(D155,$C$5:$C$12,0))</f>
        <v/>
      </c>
      <c r="H155" s="72" t="inlineStr">
        <is>
          <t>124</t>
        </is>
      </c>
      <c r="I155" s="72" t="inlineStr">
        <is>
          <t>stc_a3</t>
        </is>
      </c>
      <c r="J155" s="80" t="n">
        <v>987</v>
      </c>
      <c r="K155" s="72" t="inlineStr">
        <is>
          <t>Kennedy Keller</t>
        </is>
      </c>
      <c r="L155" s="81" t="n">
        <v>1319</v>
      </c>
      <c r="M155" s="81">
        <f>Y155</f>
        <v/>
      </c>
      <c r="N155" s="82" t="n">
        <v>45856</v>
      </c>
      <c r="O155" s="82" t="n">
        <v>45856</v>
      </c>
      <c r="P155" s="82" t="n">
        <v>46251</v>
      </c>
      <c r="Q155" s="82" t="n">
        <v>46251</v>
      </c>
      <c r="R155" s="81">
        <f>SUM(AB155:AG155)</f>
        <v/>
      </c>
      <c r="S155" s="81">
        <f>AI155</f>
        <v/>
      </c>
      <c r="T155" s="81">
        <f>AK155</f>
        <v/>
      </c>
      <c r="Y155" s="81" t="n">
        <v>1419</v>
      </c>
      <c r="AC155" s="81" t="n">
        <v>5</v>
      </c>
      <c r="AD155" s="81" t="n">
        <v>14</v>
      </c>
      <c r="AE155" s="81" t="n">
        <v>12</v>
      </c>
      <c r="AF155" s="81" t="n">
        <v>40</v>
      </c>
    </row>
    <row r="156">
      <c r="A156" s="72">
        <f>$D$25</f>
        <v/>
      </c>
      <c r="B156" s="72">
        <f>B155+1</f>
        <v/>
      </c>
      <c r="C156" s="72">
        <f>IF(K156="Vacant","Vac",IF(K156="Model","Model",IF(K156="Admin","Admin",IF(K156="Down","Down",IF(K156="Super","Super","Occ")))))</f>
        <v/>
      </c>
      <c r="D156" s="72">
        <f>INDEX($C$5:$C$12,MATCH(I156,$D$5:$D$12,0))</f>
        <v/>
      </c>
      <c r="E156" s="72">
        <f>INDEX($E$5:$E$12,MATCH(D156,$C$5:$C$12,0))</f>
        <v/>
      </c>
      <c r="F156" s="72">
        <f>INDEX($F$5:$F$12,MATCH(D156,$C$5:$C$12,0))</f>
        <v/>
      </c>
      <c r="G156" s="72">
        <f>INDEX($G$5:$G$12,MATCH(D156,$C$5:$C$12,0))</f>
        <v/>
      </c>
      <c r="H156" s="72" t="inlineStr">
        <is>
          <t>125</t>
        </is>
      </c>
      <c r="I156" s="72" t="inlineStr">
        <is>
          <t>stc_a1</t>
        </is>
      </c>
      <c r="J156" s="80" t="n">
        <v>731</v>
      </c>
      <c r="K156" s="72" t="inlineStr">
        <is>
          <t>Rosa Elena López</t>
        </is>
      </c>
      <c r="L156" s="81" t="n">
        <v>1264</v>
      </c>
      <c r="M156" s="81">
        <f>Y156</f>
        <v/>
      </c>
      <c r="N156" s="82" t="n">
        <v>45754</v>
      </c>
      <c r="O156" s="82" t="n">
        <v>45754</v>
      </c>
      <c r="P156" s="82" t="n">
        <v>46209</v>
      </c>
      <c r="Q156" s="82" t="n">
        <v>46216</v>
      </c>
      <c r="R156" s="81">
        <f>SUM(AB156:AG156)</f>
        <v/>
      </c>
      <c r="S156" s="81">
        <f>AI156</f>
        <v/>
      </c>
      <c r="T156" s="81">
        <f>AK156</f>
        <v/>
      </c>
      <c r="Y156" s="81" t="n">
        <v>999</v>
      </c>
      <c r="AC156" s="81" t="n">
        <v>5</v>
      </c>
      <c r="AD156" s="81" t="n">
        <v>12</v>
      </c>
      <c r="AE156" s="81" t="n">
        <v>12</v>
      </c>
    </row>
    <row r="157">
      <c r="A157" s="72">
        <f>$D$25</f>
        <v/>
      </c>
      <c r="B157" s="72">
        <f>B156+1</f>
        <v/>
      </c>
      <c r="C157" s="72">
        <f>IF(K157="Vacant","Vac",IF(K157="Model","Model",IF(K157="Admin","Admin",IF(K157="Down","Down",IF(K157="Super","Super","Occ")))))</f>
        <v/>
      </c>
      <c r="D157" s="72">
        <f>INDEX($C$5:$C$12,MATCH(I157,$D$5:$D$12,0))</f>
        <v/>
      </c>
      <c r="E157" s="72">
        <f>INDEX($E$5:$E$12,MATCH(D157,$C$5:$C$12,0))</f>
        <v/>
      </c>
      <c r="F157" s="72">
        <f>INDEX($F$5:$F$12,MATCH(D157,$C$5:$C$12,0))</f>
        <v/>
      </c>
      <c r="G157" s="72">
        <f>INDEX($G$5:$G$12,MATCH(D157,$C$5:$C$12,0))</f>
        <v/>
      </c>
      <c r="H157" s="72" t="inlineStr">
        <is>
          <t>126</t>
        </is>
      </c>
      <c r="I157" s="72" t="inlineStr">
        <is>
          <t>stc_a3</t>
        </is>
      </c>
      <c r="J157" s="80" t="n">
        <v>987</v>
      </c>
      <c r="K157" s="72" t="inlineStr">
        <is>
          <t>Edward Ziembroski</t>
        </is>
      </c>
      <c r="L157" s="81" t="n">
        <v>1319</v>
      </c>
      <c r="M157" s="81">
        <f>Y157</f>
        <v/>
      </c>
      <c r="N157" s="82" t="n">
        <v>45680</v>
      </c>
      <c r="O157" s="82" t="n">
        <v>45680</v>
      </c>
      <c r="P157" s="82" t="n">
        <v>46529</v>
      </c>
      <c r="R157" s="81">
        <f>SUM(AB157:AG157)</f>
        <v/>
      </c>
      <c r="S157" s="81">
        <f>AI157</f>
        <v/>
      </c>
      <c r="T157" s="81">
        <f>AK157</f>
        <v/>
      </c>
      <c r="Y157" s="81" t="n">
        <v>1254</v>
      </c>
      <c r="AB157" s="81" t="n">
        <v>85</v>
      </c>
      <c r="AC157" s="81" t="n">
        <v>5</v>
      </c>
      <c r="AD157" s="81" t="n">
        <v>14</v>
      </c>
      <c r="AE157" s="81" t="n">
        <v>13</v>
      </c>
    </row>
    <row r="158">
      <c r="A158" s="72">
        <f>$D$25</f>
        <v/>
      </c>
      <c r="B158" s="72">
        <f>B157+1</f>
        <v/>
      </c>
      <c r="C158" s="72">
        <f>IF(K158="Vacant","Vac",IF(K158="Model","Model",IF(K158="Admin","Admin",IF(K158="Down","Down",IF(K158="Super","Super","Occ")))))</f>
        <v/>
      </c>
      <c r="D158" s="72">
        <f>INDEX($C$5:$C$12,MATCH(I158,$D$5:$D$12,0))</f>
        <v/>
      </c>
      <c r="E158" s="72">
        <f>INDEX($E$5:$E$12,MATCH(D158,$C$5:$C$12,0))</f>
        <v/>
      </c>
      <c r="F158" s="72">
        <f>INDEX($F$5:$F$12,MATCH(D158,$C$5:$C$12,0))</f>
        <v/>
      </c>
      <c r="G158" s="72">
        <f>INDEX($G$5:$G$12,MATCH(D158,$C$5:$C$12,0))</f>
        <v/>
      </c>
      <c r="H158" s="72" t="inlineStr">
        <is>
          <t>127</t>
        </is>
      </c>
      <c r="I158" s="72" t="inlineStr">
        <is>
          <t>stc_a1</t>
        </is>
      </c>
      <c r="J158" s="80" t="n">
        <v>731</v>
      </c>
      <c r="K158" s="72" t="inlineStr">
        <is>
          <t>Amara Sharp</t>
        </is>
      </c>
      <c r="L158" s="81" t="n">
        <v>1139</v>
      </c>
      <c r="M158" s="81">
        <f>Y158</f>
        <v/>
      </c>
      <c r="N158" s="82" t="n">
        <v>45094</v>
      </c>
      <c r="O158" s="82" t="n">
        <v>45094</v>
      </c>
      <c r="P158" s="82" t="n">
        <v>46554</v>
      </c>
      <c r="R158" s="81">
        <f>SUM(AB158:AG158)</f>
        <v/>
      </c>
      <c r="S158" s="81">
        <f>AI158</f>
        <v/>
      </c>
      <c r="T158" s="81">
        <f>AK158</f>
        <v/>
      </c>
      <c r="Y158" s="81" t="n">
        <v>1129</v>
      </c>
      <c r="AC158" s="81" t="n">
        <v>5</v>
      </c>
      <c r="AD158" s="81" t="n">
        <v>14</v>
      </c>
      <c r="AE158" s="81" t="n">
        <v>13</v>
      </c>
    </row>
    <row r="159">
      <c r="A159" s="72">
        <f>$D$25</f>
        <v/>
      </c>
      <c r="B159" s="72">
        <f>B158+1</f>
        <v/>
      </c>
      <c r="C159" s="72">
        <f>IF(K159="Vacant","Vac",IF(K159="Model","Model",IF(K159="Admin","Admin",IF(K159="Down","Down",IF(K159="Super","Super","Occ")))))</f>
        <v/>
      </c>
      <c r="D159" s="72">
        <f>INDEX($C$5:$C$12,MATCH(I159,$D$5:$D$12,0))</f>
        <v/>
      </c>
      <c r="E159" s="72">
        <f>INDEX($E$5:$E$12,MATCH(D159,$C$5:$C$12,0))</f>
        <v/>
      </c>
      <c r="F159" s="72">
        <f>INDEX($F$5:$F$12,MATCH(D159,$C$5:$C$12,0))</f>
        <v/>
      </c>
      <c r="G159" s="72">
        <f>INDEX($G$5:$G$12,MATCH(D159,$C$5:$C$12,0))</f>
        <v/>
      </c>
      <c r="H159" s="72" t="inlineStr">
        <is>
          <t>128</t>
        </is>
      </c>
      <c r="I159" s="72" t="inlineStr">
        <is>
          <t>stc_a3</t>
        </is>
      </c>
      <c r="J159" s="80" t="n">
        <v>987</v>
      </c>
      <c r="K159" s="72" t="inlineStr">
        <is>
          <t>Jason Peck</t>
        </is>
      </c>
      <c r="L159" s="81" t="n">
        <v>1319</v>
      </c>
      <c r="M159" s="81">
        <f>Y159</f>
        <v/>
      </c>
      <c r="N159" s="82" t="n">
        <v>45401</v>
      </c>
      <c r="O159" s="82" t="n">
        <v>45401</v>
      </c>
      <c r="P159" s="82" t="n">
        <v>46525</v>
      </c>
      <c r="R159" s="81">
        <f>SUM(AB159:AG159)</f>
        <v/>
      </c>
      <c r="S159" s="81">
        <f>AI159</f>
        <v/>
      </c>
      <c r="T159" s="81">
        <f>AK159</f>
        <v/>
      </c>
      <c r="Y159" s="81" t="n">
        <v>1315</v>
      </c>
      <c r="AB159" s="81" t="n">
        <v>35</v>
      </c>
      <c r="AC159" s="81" t="n">
        <v>5</v>
      </c>
      <c r="AD159" s="81" t="n">
        <v>14</v>
      </c>
      <c r="AE159" s="81" t="n">
        <v>13</v>
      </c>
      <c r="AF159" s="81" t="n">
        <v>80</v>
      </c>
    </row>
    <row r="160">
      <c r="A160" s="83">
        <f>$D$25</f>
        <v/>
      </c>
      <c r="B160" s="83">
        <f>B159+1</f>
        <v/>
      </c>
      <c r="C160" s="83">
        <f>IF(K160="Vacant","Vac",IF(K160="Model","Model",IF(K160="Admin","Admin",IF(K160="Down","Down",IF(K160="Super","Super","Occ")))))</f>
        <v/>
      </c>
      <c r="D160" s="83">
        <f>INDEX($C$5:$C$12,MATCH(I160,$D$5:$D$12,0))</f>
        <v/>
      </c>
      <c r="E160" s="83">
        <f>INDEX($E$5:$E$12,MATCH(D160,$C$5:$C$12,0))</f>
        <v/>
      </c>
      <c r="F160" s="83">
        <f>INDEX($F$5:$F$12,MATCH(D160,$C$5:$C$12,0))</f>
        <v/>
      </c>
      <c r="G160" s="83">
        <f>INDEX($G$5:$G$12,MATCH(D160,$C$5:$C$12,0))</f>
        <v/>
      </c>
      <c r="H160" s="83" t="inlineStr">
        <is>
          <t>129</t>
        </is>
      </c>
      <c r="I160" s="83" t="inlineStr">
        <is>
          <t>stc_a1</t>
        </is>
      </c>
      <c r="J160" s="84" t="n">
        <v>731</v>
      </c>
      <c r="K160" s="83" t="inlineStr">
        <is>
          <t>Vacant</t>
        </is>
      </c>
      <c r="L160" s="85" t="n">
        <v>1204</v>
      </c>
      <c r="M160" s="85">
        <f>Y160</f>
        <v/>
      </c>
      <c r="N160" s="86" t="n"/>
      <c r="O160" s="86" t="n"/>
      <c r="P160" s="86" t="n"/>
      <c r="Q160" s="86" t="n"/>
      <c r="R160" s="85">
        <f>SUM(AB160:AG160)</f>
        <v/>
      </c>
      <c r="S160" s="85">
        <f>AI160</f>
        <v/>
      </c>
      <c r="T160" s="85">
        <f>AK160</f>
        <v/>
      </c>
      <c r="U160" s="86" t="n"/>
      <c r="V160" s="86" t="n"/>
      <c r="W160" s="86" t="n"/>
      <c r="X160" s="86" t="n"/>
      <c r="Y160" s="85" t="n">
        <v>0</v>
      </c>
      <c r="Z160" s="86" t="n"/>
      <c r="AA160" s="86" t="n"/>
      <c r="AB160" s="86" t="n"/>
      <c r="AC160" s="86" t="n"/>
      <c r="AD160" s="86" t="n"/>
      <c r="AE160" s="86" t="n"/>
      <c r="AF160" s="86" t="n"/>
      <c r="AG160" s="86" t="n"/>
      <c r="AH160" s="86" t="n"/>
      <c r="AI160" s="86" t="n"/>
      <c r="AJ160" s="86" t="n"/>
      <c r="AK160" s="86" t="n"/>
    </row>
    <row r="161">
      <c r="A161" s="72">
        <f>$D$25</f>
        <v/>
      </c>
      <c r="B161" s="72">
        <f>B160+1</f>
        <v/>
      </c>
      <c r="C161" s="72">
        <f>IF(K161="Vacant","Vac",IF(K161="Model","Model",IF(K161="Admin","Admin",IF(K161="Down","Down",IF(K161="Super","Super","Occ")))))</f>
        <v/>
      </c>
      <c r="D161" s="72">
        <f>INDEX($C$5:$C$12,MATCH(I161,$D$5:$D$12,0))</f>
        <v/>
      </c>
      <c r="E161" s="72">
        <f>INDEX($E$5:$E$12,MATCH(D161,$C$5:$C$12,0))</f>
        <v/>
      </c>
      <c r="F161" s="72">
        <f>INDEX($F$5:$F$12,MATCH(D161,$C$5:$C$12,0))</f>
        <v/>
      </c>
      <c r="G161" s="72">
        <f>INDEX($G$5:$G$12,MATCH(D161,$C$5:$C$12,0))</f>
        <v/>
      </c>
      <c r="H161" s="72" t="inlineStr">
        <is>
          <t>130</t>
        </is>
      </c>
      <c r="I161" s="72" t="inlineStr">
        <is>
          <t>stc_a3</t>
        </is>
      </c>
      <c r="J161" s="80" t="n">
        <v>987</v>
      </c>
      <c r="K161" s="72" t="inlineStr">
        <is>
          <t>Audra Baldwin</t>
        </is>
      </c>
      <c r="L161" s="81" t="n">
        <v>1319</v>
      </c>
      <c r="M161" s="81">
        <f>Y161</f>
        <v/>
      </c>
      <c r="N161" s="82" t="n">
        <v>46051</v>
      </c>
      <c r="O161" s="82" t="n">
        <v>46051</v>
      </c>
      <c r="P161" s="82" t="n">
        <v>46415</v>
      </c>
      <c r="R161" s="81">
        <f>SUM(AB161:AG161)</f>
        <v/>
      </c>
      <c r="S161" s="81">
        <f>AI161</f>
        <v/>
      </c>
      <c r="T161" s="81">
        <f>AK161</f>
        <v/>
      </c>
      <c r="Y161" s="81" t="n">
        <v>1375</v>
      </c>
      <c r="AC161" s="81" t="n">
        <v>5</v>
      </c>
      <c r="AD161" s="81" t="n">
        <v>14</v>
      </c>
      <c r="AE161" s="81" t="n">
        <v>12</v>
      </c>
      <c r="AF161" s="81" t="n">
        <v>40</v>
      </c>
    </row>
    <row r="162">
      <c r="A162" s="72">
        <f>$D$25</f>
        <v/>
      </c>
      <c r="B162" s="72">
        <f>B161+1</f>
        <v/>
      </c>
      <c r="C162" s="72">
        <f>IF(K162="Vacant","Vac",IF(K162="Model","Model",IF(K162="Admin","Admin",IF(K162="Down","Down",IF(K162="Super","Super","Occ")))))</f>
        <v/>
      </c>
      <c r="D162" s="72">
        <f>INDEX($C$5:$C$12,MATCH(I162,$D$5:$D$12,0))</f>
        <v/>
      </c>
      <c r="E162" s="72">
        <f>INDEX($E$5:$E$12,MATCH(D162,$C$5:$C$12,0))</f>
        <v/>
      </c>
      <c r="F162" s="72">
        <f>INDEX($F$5:$F$12,MATCH(D162,$C$5:$C$12,0))</f>
        <v/>
      </c>
      <c r="G162" s="72">
        <f>INDEX($G$5:$G$12,MATCH(D162,$C$5:$C$12,0))</f>
        <v/>
      </c>
      <c r="H162" s="72" t="inlineStr">
        <is>
          <t>131</t>
        </is>
      </c>
      <c r="I162" s="72" t="inlineStr">
        <is>
          <t>stc_a2</t>
        </is>
      </c>
      <c r="J162" s="80" t="n">
        <v>768</v>
      </c>
      <c r="K162" s="72" t="inlineStr">
        <is>
          <t>Andrew Stratton</t>
        </is>
      </c>
      <c r="L162" s="81" t="n">
        <v>1165</v>
      </c>
      <c r="M162" s="81">
        <f>Y162</f>
        <v/>
      </c>
      <c r="N162" s="82" t="n">
        <v>45828</v>
      </c>
      <c r="O162" s="82" t="n">
        <v>45828</v>
      </c>
      <c r="P162" s="82" t="n">
        <v>46557</v>
      </c>
      <c r="R162" s="81">
        <f>SUM(AB162:AG162)</f>
        <v/>
      </c>
      <c r="S162" s="81">
        <f>AI162</f>
        <v/>
      </c>
      <c r="T162" s="81">
        <f>AK162</f>
        <v/>
      </c>
      <c r="Y162" s="81" t="n">
        <v>1160</v>
      </c>
      <c r="AC162" s="81" t="n">
        <v>5</v>
      </c>
      <c r="AD162" s="81" t="n">
        <v>14</v>
      </c>
      <c r="AE162" s="81" t="n">
        <v>13</v>
      </c>
    </row>
    <row r="163">
      <c r="A163" s="72">
        <f>$D$25</f>
        <v/>
      </c>
      <c r="B163" s="72">
        <f>B162+1</f>
        <v/>
      </c>
      <c r="C163" s="72">
        <f>IF(K163="Vacant","Vac",IF(K163="Model","Model",IF(K163="Admin","Admin",IF(K163="Down","Down",IF(K163="Super","Super","Occ")))))</f>
        <v/>
      </c>
      <c r="D163" s="72">
        <f>INDEX($C$5:$C$12,MATCH(I163,$D$5:$D$12,0))</f>
        <v/>
      </c>
      <c r="E163" s="72">
        <f>INDEX($E$5:$E$12,MATCH(D163,$C$5:$C$12,0))</f>
        <v/>
      </c>
      <c r="F163" s="72">
        <f>INDEX($F$5:$F$12,MATCH(D163,$C$5:$C$12,0))</f>
        <v/>
      </c>
      <c r="G163" s="72">
        <f>INDEX($G$5:$G$12,MATCH(D163,$C$5:$C$12,0))</f>
        <v/>
      </c>
      <c r="H163" s="72" t="inlineStr">
        <is>
          <t>132</t>
        </is>
      </c>
      <c r="I163" s="72" t="inlineStr">
        <is>
          <t>stc_b2</t>
        </is>
      </c>
      <c r="J163" s="80" t="n">
        <v>1214</v>
      </c>
      <c r="K163" s="72" t="inlineStr">
        <is>
          <t>Logan Anderkin</t>
        </is>
      </c>
      <c r="L163" s="81" t="n">
        <v>1341</v>
      </c>
      <c r="M163" s="81">
        <f>Y163</f>
        <v/>
      </c>
      <c r="N163" s="82" t="n">
        <v>44652</v>
      </c>
      <c r="O163" s="82" t="n">
        <v>44652</v>
      </c>
      <c r="P163" s="82" t="n">
        <v>46234</v>
      </c>
      <c r="R163" s="81">
        <f>SUM(AB163:AG163)</f>
        <v/>
      </c>
      <c r="S163" s="81">
        <f>AI163</f>
        <v/>
      </c>
      <c r="T163" s="81">
        <f>AK163</f>
        <v/>
      </c>
      <c r="Y163" s="81" t="n">
        <v>1380</v>
      </c>
      <c r="AB163" s="81" t="n">
        <v>60</v>
      </c>
      <c r="AC163" s="81" t="n">
        <v>5</v>
      </c>
      <c r="AD163" s="81" t="n">
        <v>14</v>
      </c>
      <c r="AE163" s="81" t="n">
        <v>12</v>
      </c>
      <c r="AF163" s="81" t="n">
        <v>80</v>
      </c>
    </row>
    <row r="164">
      <c r="A164" s="72">
        <f>$D$25</f>
        <v/>
      </c>
      <c r="B164" s="72">
        <f>B163+1</f>
        <v/>
      </c>
      <c r="C164" s="72">
        <f>IF(K164="Vacant","Vac",IF(K164="Model","Model",IF(K164="Admin","Admin",IF(K164="Down","Down",IF(K164="Super","Super","Occ")))))</f>
        <v/>
      </c>
      <c r="D164" s="72">
        <f>INDEX($C$5:$C$12,MATCH(I164,$D$5:$D$12,0))</f>
        <v/>
      </c>
      <c r="E164" s="72">
        <f>INDEX($E$5:$E$12,MATCH(D164,$C$5:$C$12,0))</f>
        <v/>
      </c>
      <c r="F164" s="72">
        <f>INDEX($F$5:$F$12,MATCH(D164,$C$5:$C$12,0))</f>
        <v/>
      </c>
      <c r="G164" s="72">
        <f>INDEX($G$5:$G$12,MATCH(D164,$C$5:$C$12,0))</f>
        <v/>
      </c>
      <c r="H164" s="72" t="inlineStr">
        <is>
          <t>133</t>
        </is>
      </c>
      <c r="I164" s="72" t="inlineStr">
        <is>
          <t>stc_b1</t>
        </is>
      </c>
      <c r="J164" s="80" t="n">
        <v>1204</v>
      </c>
      <c r="K164" s="72" t="inlineStr">
        <is>
          <t>Devine Carama</t>
        </is>
      </c>
      <c r="L164" s="81" t="n">
        <v>1463</v>
      </c>
      <c r="M164" s="81">
        <f>Y164</f>
        <v/>
      </c>
      <c r="N164" s="82" t="n">
        <v>46059</v>
      </c>
      <c r="O164" s="82" t="n">
        <v>46059</v>
      </c>
      <c r="P164" s="82" t="n">
        <v>46451</v>
      </c>
      <c r="R164" s="81">
        <f>SUM(AB164:AG164)</f>
        <v/>
      </c>
      <c r="S164" s="81">
        <f>AI164</f>
        <v/>
      </c>
      <c r="T164" s="81">
        <f>AK164</f>
        <v/>
      </c>
      <c r="Y164" s="81" t="n">
        <v>1652</v>
      </c>
      <c r="AC164" s="81" t="n">
        <v>5</v>
      </c>
      <c r="AD164" s="81" t="n">
        <v>14</v>
      </c>
      <c r="AE164" s="81" t="n">
        <v>12</v>
      </c>
    </row>
    <row r="165">
      <c r="A165" s="72">
        <f>$D$25</f>
        <v/>
      </c>
      <c r="B165" s="72">
        <f>B164+1</f>
        <v/>
      </c>
      <c r="C165" s="72">
        <f>IF(K165="Vacant","Vac",IF(K165="Model","Model",IF(K165="Admin","Admin",IF(K165="Down","Down",IF(K165="Super","Super","Occ")))))</f>
        <v/>
      </c>
      <c r="D165" s="72">
        <f>INDEX($C$5:$C$12,MATCH(I165,$D$5:$D$12,0))</f>
        <v/>
      </c>
      <c r="E165" s="72">
        <f>INDEX($E$5:$E$12,MATCH(D165,$C$5:$C$12,0))</f>
        <v/>
      </c>
      <c r="F165" s="72">
        <f>INDEX($F$5:$F$12,MATCH(D165,$C$5:$C$12,0))</f>
        <v/>
      </c>
      <c r="G165" s="72">
        <f>INDEX($G$5:$G$12,MATCH(D165,$C$5:$C$12,0))</f>
        <v/>
      </c>
      <c r="H165" s="72" t="inlineStr">
        <is>
          <t>134</t>
        </is>
      </c>
      <c r="I165" s="72" t="inlineStr">
        <is>
          <t>stc_b1</t>
        </is>
      </c>
      <c r="J165" s="80" t="n">
        <v>1204</v>
      </c>
      <c r="K165" s="72" t="inlineStr">
        <is>
          <t>Amie Clark</t>
        </is>
      </c>
      <c r="L165" s="81" t="n">
        <v>1463</v>
      </c>
      <c r="M165" s="81">
        <f>Y165</f>
        <v/>
      </c>
      <c r="N165" s="82" t="n">
        <v>46130</v>
      </c>
      <c r="O165" s="82" t="n">
        <v>46130</v>
      </c>
      <c r="P165" s="82" t="n">
        <v>46555</v>
      </c>
      <c r="R165" s="81">
        <f>SUM(AB165:AG165)</f>
        <v/>
      </c>
      <c r="S165" s="81">
        <f>AI165</f>
        <v/>
      </c>
      <c r="T165" s="81">
        <f>AK165</f>
        <v/>
      </c>
      <c r="Y165" s="81" t="n">
        <v>1498</v>
      </c>
      <c r="AC165" s="81" t="n">
        <v>5</v>
      </c>
      <c r="AD165" s="81" t="n">
        <v>14</v>
      </c>
      <c r="AE165" s="81" t="n">
        <v>13</v>
      </c>
      <c r="AF165" s="81" t="n">
        <v>25</v>
      </c>
    </row>
    <row r="166">
      <c r="A166" s="72">
        <f>$D$25</f>
        <v/>
      </c>
      <c r="B166" s="72">
        <f>B165+1</f>
        <v/>
      </c>
      <c r="C166" s="72">
        <f>IF(K166="Vacant","Vac",IF(K166="Model","Model",IF(K166="Admin","Admin",IF(K166="Down","Down",IF(K166="Super","Super","Occ")))))</f>
        <v/>
      </c>
      <c r="D166" s="72">
        <f>INDEX($C$5:$C$12,MATCH(I166,$D$5:$D$12,0))</f>
        <v/>
      </c>
      <c r="E166" s="72">
        <f>INDEX($E$5:$E$12,MATCH(D166,$C$5:$C$12,0))</f>
        <v/>
      </c>
      <c r="F166" s="72">
        <f>INDEX($F$5:$F$12,MATCH(D166,$C$5:$C$12,0))</f>
        <v/>
      </c>
      <c r="G166" s="72">
        <f>INDEX($G$5:$G$12,MATCH(D166,$C$5:$C$12,0))</f>
        <v/>
      </c>
      <c r="H166" s="72" t="inlineStr">
        <is>
          <t>135</t>
        </is>
      </c>
      <c r="I166" s="72" t="inlineStr">
        <is>
          <t>stc_b1</t>
        </is>
      </c>
      <c r="J166" s="80" t="n">
        <v>1204</v>
      </c>
      <c r="K166" s="72" t="inlineStr">
        <is>
          <t>Aymee Maury</t>
        </is>
      </c>
      <c r="L166" s="81" t="n">
        <v>1463</v>
      </c>
      <c r="M166" s="81">
        <f>Y166</f>
        <v/>
      </c>
      <c r="N166" s="82" t="n">
        <v>46146</v>
      </c>
      <c r="O166" s="82" t="n">
        <v>46146</v>
      </c>
      <c r="P166" s="82" t="n">
        <v>46510</v>
      </c>
      <c r="R166" s="81">
        <f>SUM(AB166:AG166)</f>
        <v/>
      </c>
      <c r="S166" s="81">
        <f>AI166</f>
        <v/>
      </c>
      <c r="T166" s="81">
        <f>AK166</f>
        <v/>
      </c>
      <c r="Y166" s="81" t="n">
        <v>1515</v>
      </c>
      <c r="AC166" s="81" t="n">
        <v>5</v>
      </c>
      <c r="AD166" s="81" t="n">
        <v>14</v>
      </c>
      <c r="AE166" s="81" t="n">
        <v>13</v>
      </c>
      <c r="AF166" s="81" t="n">
        <v>25</v>
      </c>
    </row>
    <row r="167">
      <c r="A167" s="83">
        <f>$D$25</f>
        <v/>
      </c>
      <c r="B167" s="83">
        <f>B166+1</f>
        <v/>
      </c>
      <c r="C167" s="83">
        <f>IF(K167="Vacant","Vac",IF(K167="Model","Model",IF(K167="Admin","Admin",IF(K167="Down","Down",IF(K167="Super","Super","Occ")))))</f>
        <v/>
      </c>
      <c r="D167" s="83">
        <f>INDEX($C$5:$C$12,MATCH(I167,$D$5:$D$12,0))</f>
        <v/>
      </c>
      <c r="E167" s="83">
        <f>INDEX($E$5:$E$12,MATCH(D167,$C$5:$C$12,0))</f>
        <v/>
      </c>
      <c r="F167" s="83">
        <f>INDEX($F$5:$F$12,MATCH(D167,$C$5:$C$12,0))</f>
        <v/>
      </c>
      <c r="G167" s="83">
        <f>INDEX($G$5:$G$12,MATCH(D167,$C$5:$C$12,0))</f>
        <v/>
      </c>
      <c r="H167" s="83" t="inlineStr">
        <is>
          <t>136</t>
        </is>
      </c>
      <c r="I167" s="83" t="inlineStr">
        <is>
          <t>stc_b3</t>
        </is>
      </c>
      <c r="J167" s="84" t="n">
        <v>1309</v>
      </c>
      <c r="K167" s="83" t="inlineStr">
        <is>
          <t>Vacant</t>
        </is>
      </c>
      <c r="L167" s="85" t="n">
        <v>1466</v>
      </c>
      <c r="M167" s="85">
        <f>Y167</f>
        <v/>
      </c>
      <c r="N167" s="86" t="n"/>
      <c r="O167" s="86" t="n"/>
      <c r="P167" s="86" t="n"/>
      <c r="Q167" s="86" t="n"/>
      <c r="R167" s="85">
        <f>SUM(AB167:AG167)</f>
        <v/>
      </c>
      <c r="S167" s="85">
        <f>AI167</f>
        <v/>
      </c>
      <c r="T167" s="85">
        <f>AK167</f>
        <v/>
      </c>
      <c r="U167" s="86" t="n"/>
      <c r="V167" s="86" t="n"/>
      <c r="W167" s="86" t="n"/>
      <c r="X167" s="86" t="n"/>
      <c r="Y167" s="85" t="n">
        <v>0</v>
      </c>
      <c r="Z167" s="86" t="n"/>
      <c r="AA167" s="86" t="n"/>
      <c r="AB167" s="86" t="n"/>
      <c r="AC167" s="86" t="n"/>
      <c r="AD167" s="86" t="n"/>
      <c r="AE167" s="86" t="n"/>
      <c r="AF167" s="86" t="n"/>
      <c r="AG167" s="86" t="n"/>
      <c r="AH167" s="86" t="n"/>
      <c r="AI167" s="86" t="n"/>
      <c r="AJ167" s="86" t="n"/>
      <c r="AK167" s="86" t="n"/>
    </row>
    <row r="168">
      <c r="A168" s="72">
        <f>$D$25</f>
        <v/>
      </c>
      <c r="B168" s="72">
        <f>B167+1</f>
        <v/>
      </c>
      <c r="C168" s="72">
        <f>IF(K168="Vacant","Vac",IF(K168="Model","Model",IF(K168="Admin","Admin",IF(K168="Down","Down",IF(K168="Super","Super","Occ")))))</f>
        <v/>
      </c>
      <c r="D168" s="72">
        <f>INDEX($C$5:$C$12,MATCH(I168,$D$5:$D$12,0))</f>
        <v/>
      </c>
      <c r="E168" s="72">
        <f>INDEX($E$5:$E$12,MATCH(D168,$C$5:$C$12,0))</f>
        <v/>
      </c>
      <c r="F168" s="72">
        <f>INDEX($F$5:$F$12,MATCH(D168,$C$5:$C$12,0))</f>
        <v/>
      </c>
      <c r="G168" s="72">
        <f>INDEX($G$5:$G$12,MATCH(D168,$C$5:$C$12,0))</f>
        <v/>
      </c>
      <c r="H168" s="72" t="inlineStr">
        <is>
          <t>137</t>
        </is>
      </c>
      <c r="I168" s="72" t="inlineStr">
        <is>
          <t>stc_b1</t>
        </is>
      </c>
      <c r="J168" s="80" t="n">
        <v>1204</v>
      </c>
      <c r="K168" s="72" t="inlineStr">
        <is>
          <t>Hunter Hartley</t>
        </is>
      </c>
      <c r="L168" s="81" t="n">
        <v>1443</v>
      </c>
      <c r="M168" s="81">
        <f>Y168</f>
        <v/>
      </c>
      <c r="N168" s="82" t="n">
        <v>45360</v>
      </c>
      <c r="O168" s="82" t="n">
        <v>45360</v>
      </c>
      <c r="P168" s="82" t="n">
        <v>46211</v>
      </c>
      <c r="Q168" s="82" t="n">
        <v>46211</v>
      </c>
      <c r="R168" s="81">
        <f>SUM(AB168:AG168)</f>
        <v/>
      </c>
      <c r="S168" s="81">
        <f>AI168</f>
        <v/>
      </c>
      <c r="T168" s="81">
        <f>AK168</f>
        <v/>
      </c>
      <c r="Y168" s="81" t="n">
        <v>1368</v>
      </c>
      <c r="AC168" s="81" t="n">
        <v>5</v>
      </c>
      <c r="AD168" s="81" t="n">
        <v>14</v>
      </c>
      <c r="AE168" s="81" t="n">
        <v>12</v>
      </c>
    </row>
    <row r="169">
      <c r="A169" s="72">
        <f>$D$25</f>
        <v/>
      </c>
      <c r="B169" s="72">
        <f>B168+1</f>
        <v/>
      </c>
      <c r="C169" s="72">
        <f>IF(K169="Vacant","Vac",IF(K169="Model","Model",IF(K169="Admin","Admin",IF(K169="Down","Down",IF(K169="Super","Super","Occ")))))</f>
        <v/>
      </c>
      <c r="D169" s="72">
        <f>INDEX($C$5:$C$12,MATCH(I169,$D$5:$D$12,0))</f>
        <v/>
      </c>
      <c r="E169" s="72">
        <f>INDEX($E$5:$E$12,MATCH(D169,$C$5:$C$12,0))</f>
        <v/>
      </c>
      <c r="F169" s="72">
        <f>INDEX($F$5:$F$12,MATCH(D169,$C$5:$C$12,0))</f>
        <v/>
      </c>
      <c r="G169" s="72">
        <f>INDEX($G$5:$G$12,MATCH(D169,$C$5:$C$12,0))</f>
        <v/>
      </c>
      <c r="H169" s="72" t="inlineStr">
        <is>
          <t>138</t>
        </is>
      </c>
      <c r="I169" s="72" t="inlineStr">
        <is>
          <t>stc_b1</t>
        </is>
      </c>
      <c r="J169" s="80" t="n">
        <v>1204</v>
      </c>
      <c r="K169" s="72" t="inlineStr">
        <is>
          <t>Claire Caldwell</t>
        </is>
      </c>
      <c r="L169" s="81" t="n">
        <v>1463</v>
      </c>
      <c r="M169" s="81">
        <f>Y169</f>
        <v/>
      </c>
      <c r="N169" s="82" t="n">
        <v>45800</v>
      </c>
      <c r="O169" s="82" t="n">
        <v>45800</v>
      </c>
      <c r="P169" s="82" t="n">
        <v>46256</v>
      </c>
      <c r="R169" s="81">
        <f>SUM(AB169:AG169)</f>
        <v/>
      </c>
      <c r="S169" s="81">
        <f>AI169</f>
        <v/>
      </c>
      <c r="T169" s="81">
        <f>AK169</f>
        <v/>
      </c>
      <c r="Y169" s="81" t="n">
        <v>1755</v>
      </c>
      <c r="AC169" s="81" t="n">
        <v>5</v>
      </c>
      <c r="AD169" s="81" t="n">
        <v>14</v>
      </c>
      <c r="AE169" s="81" t="n">
        <v>12</v>
      </c>
      <c r="AF169" s="81" t="n">
        <v>40</v>
      </c>
    </row>
    <row r="170">
      <c r="A170" s="72">
        <f>$D$25</f>
        <v/>
      </c>
      <c r="B170" s="72">
        <f>B169+1</f>
        <v/>
      </c>
      <c r="C170" s="72">
        <f>IF(K170="Vacant","Vac",IF(K170="Model","Model",IF(K170="Admin","Admin",IF(K170="Down","Down",IF(K170="Super","Super","Occ")))))</f>
        <v/>
      </c>
      <c r="D170" s="72">
        <f>INDEX($C$5:$C$12,MATCH(I170,$D$5:$D$12,0))</f>
        <v/>
      </c>
      <c r="E170" s="72">
        <f>INDEX($E$5:$E$12,MATCH(D170,$C$5:$C$12,0))</f>
        <v/>
      </c>
      <c r="F170" s="72">
        <f>INDEX($F$5:$F$12,MATCH(D170,$C$5:$C$12,0))</f>
        <v/>
      </c>
      <c r="G170" s="72">
        <f>INDEX($G$5:$G$12,MATCH(D170,$C$5:$C$12,0))</f>
        <v/>
      </c>
      <c r="H170" s="72" t="inlineStr">
        <is>
          <t>139</t>
        </is>
      </c>
      <c r="I170" s="72" t="inlineStr">
        <is>
          <t>stc_a1</t>
        </is>
      </c>
      <c r="J170" s="80" t="n">
        <v>731</v>
      </c>
      <c r="K170" s="72" t="inlineStr">
        <is>
          <t>Alexander Shultz</t>
        </is>
      </c>
      <c r="L170" s="81" t="n">
        <v>1264</v>
      </c>
      <c r="M170" s="81">
        <f>Y170</f>
        <v/>
      </c>
      <c r="N170" s="82" t="n">
        <v>46206</v>
      </c>
      <c r="O170" s="82" t="n">
        <v>46206</v>
      </c>
      <c r="P170" s="82" t="n">
        <v>46570</v>
      </c>
      <c r="R170" s="81">
        <f>SUM(AB170:AG170)</f>
        <v/>
      </c>
      <c r="S170" s="81">
        <f>AI170</f>
        <v/>
      </c>
      <c r="T170" s="81">
        <f>AK170</f>
        <v/>
      </c>
      <c r="Y170" s="81" t="n">
        <v>1204</v>
      </c>
      <c r="AC170" s="81" t="n">
        <v>5</v>
      </c>
      <c r="AD170" s="81" t="n">
        <v>14</v>
      </c>
      <c r="AE170" s="81" t="n">
        <v>12</v>
      </c>
    </row>
    <row r="171">
      <c r="A171" s="72">
        <f>$D$25</f>
        <v/>
      </c>
      <c r="B171" s="72">
        <f>B170+1</f>
        <v/>
      </c>
      <c r="C171" s="72">
        <f>IF(K171="Vacant","Vac",IF(K171="Model","Model",IF(K171="Admin","Admin",IF(K171="Down","Down",IF(K171="Super","Super","Occ")))))</f>
        <v/>
      </c>
      <c r="D171" s="72">
        <f>INDEX($C$5:$C$12,MATCH(I171,$D$5:$D$12,0))</f>
        <v/>
      </c>
      <c r="E171" s="72">
        <f>INDEX($E$5:$E$12,MATCH(D171,$C$5:$C$12,0))</f>
        <v/>
      </c>
      <c r="F171" s="72">
        <f>INDEX($F$5:$F$12,MATCH(D171,$C$5:$C$12,0))</f>
        <v/>
      </c>
      <c r="G171" s="72">
        <f>INDEX($G$5:$G$12,MATCH(D171,$C$5:$C$12,0))</f>
        <v/>
      </c>
      <c r="H171" s="72" t="inlineStr">
        <is>
          <t>140</t>
        </is>
      </c>
      <c r="I171" s="72" t="inlineStr">
        <is>
          <t>stc_a3</t>
        </is>
      </c>
      <c r="J171" s="80" t="n">
        <v>987</v>
      </c>
      <c r="K171" s="72" t="inlineStr">
        <is>
          <t>Manuel Bernal</t>
        </is>
      </c>
      <c r="L171" s="81" t="n">
        <v>1319</v>
      </c>
      <c r="M171" s="81">
        <f>Y171</f>
        <v/>
      </c>
      <c r="N171" s="82" t="n">
        <v>45638</v>
      </c>
      <c r="O171" s="82" t="n">
        <v>45638</v>
      </c>
      <c r="P171" s="82" t="n">
        <v>46429</v>
      </c>
      <c r="R171" s="81">
        <f>SUM(AB171:AG171)</f>
        <v/>
      </c>
      <c r="S171" s="81">
        <f>AI171</f>
        <v/>
      </c>
      <c r="T171" s="81">
        <f>AK171</f>
        <v/>
      </c>
      <c r="Y171" s="81" t="n">
        <v>1370</v>
      </c>
      <c r="AC171" s="81" t="n">
        <v>5</v>
      </c>
      <c r="AD171" s="81" t="n">
        <v>14</v>
      </c>
      <c r="AE171" s="81" t="n">
        <v>12</v>
      </c>
    </row>
    <row r="172">
      <c r="A172" s="72">
        <f>$D$25</f>
        <v/>
      </c>
      <c r="B172" s="72">
        <f>B171+1</f>
        <v/>
      </c>
      <c r="C172" s="72">
        <f>IF(K172="Vacant","Vac",IF(K172="Model","Model",IF(K172="Admin","Admin",IF(K172="Down","Down",IF(K172="Super","Super","Occ")))))</f>
        <v/>
      </c>
      <c r="D172" s="72">
        <f>INDEX($C$5:$C$12,MATCH(I172,$D$5:$D$12,0))</f>
        <v/>
      </c>
      <c r="E172" s="72">
        <f>INDEX($E$5:$E$12,MATCH(D172,$C$5:$C$12,0))</f>
        <v/>
      </c>
      <c r="F172" s="72">
        <f>INDEX($F$5:$F$12,MATCH(D172,$C$5:$C$12,0))</f>
        <v/>
      </c>
      <c r="G172" s="72">
        <f>INDEX($G$5:$G$12,MATCH(D172,$C$5:$C$12,0))</f>
        <v/>
      </c>
      <c r="H172" s="72" t="inlineStr">
        <is>
          <t>141</t>
        </is>
      </c>
      <c r="I172" s="72" t="inlineStr">
        <is>
          <t>stc_a1</t>
        </is>
      </c>
      <c r="J172" s="80" t="n">
        <v>731</v>
      </c>
      <c r="K172" s="72" t="inlineStr">
        <is>
          <t>Trey Barnes</t>
        </is>
      </c>
      <c r="L172" s="81" t="n">
        <v>1179</v>
      </c>
      <c r="M172" s="81">
        <f>Y172</f>
        <v/>
      </c>
      <c r="N172" s="82" t="n">
        <v>45954</v>
      </c>
      <c r="O172" s="82" t="n">
        <v>45954</v>
      </c>
      <c r="P172" s="82" t="n">
        <v>46196</v>
      </c>
      <c r="Q172" s="82" t="n">
        <v>46225</v>
      </c>
      <c r="R172" s="81">
        <f>SUM(AB172:AG172)</f>
        <v/>
      </c>
      <c r="S172" s="81">
        <f>AI172</f>
        <v/>
      </c>
      <c r="T172" s="81">
        <f>AK172</f>
        <v/>
      </c>
      <c r="Y172" s="81" t="n">
        <v>1251</v>
      </c>
      <c r="AC172" s="81" t="n">
        <v>5</v>
      </c>
      <c r="AD172" s="81" t="n">
        <v>14</v>
      </c>
      <c r="AE172" s="81" t="n">
        <v>12</v>
      </c>
    </row>
    <row r="173">
      <c r="A173" s="72">
        <f>$D$25</f>
        <v/>
      </c>
      <c r="B173" s="72">
        <f>B172+1</f>
        <v/>
      </c>
      <c r="C173" s="72">
        <f>IF(K173="Vacant","Vac",IF(K173="Model","Model",IF(K173="Admin","Admin",IF(K173="Down","Down",IF(K173="Super","Super","Occ")))))</f>
        <v/>
      </c>
      <c r="D173" s="72">
        <f>INDEX($C$5:$C$12,MATCH(I173,$D$5:$D$12,0))</f>
        <v/>
      </c>
      <c r="E173" s="72">
        <f>INDEX($E$5:$E$12,MATCH(D173,$C$5:$C$12,0))</f>
        <v/>
      </c>
      <c r="F173" s="72">
        <f>INDEX($F$5:$F$12,MATCH(D173,$C$5:$C$12,0))</f>
        <v/>
      </c>
      <c r="G173" s="72">
        <f>INDEX($G$5:$G$12,MATCH(D173,$C$5:$C$12,0))</f>
        <v/>
      </c>
      <c r="H173" s="72" t="inlineStr">
        <is>
          <t>142</t>
        </is>
      </c>
      <c r="I173" s="72" t="inlineStr">
        <is>
          <t>stc_a3</t>
        </is>
      </c>
      <c r="J173" s="80" t="n">
        <v>987</v>
      </c>
      <c r="K173" s="72" t="inlineStr">
        <is>
          <t>Madisyn Ruebusch</t>
        </is>
      </c>
      <c r="L173" s="81" t="n">
        <v>1319</v>
      </c>
      <c r="M173" s="81">
        <f>Y173</f>
        <v/>
      </c>
      <c r="N173" s="82" t="n">
        <v>44575</v>
      </c>
      <c r="O173" s="82" t="n">
        <v>44575</v>
      </c>
      <c r="P173" s="82" t="n">
        <v>46459</v>
      </c>
      <c r="R173" s="81">
        <f>SUM(AB173:AG173)</f>
        <v/>
      </c>
      <c r="S173" s="81">
        <f>AI173</f>
        <v/>
      </c>
      <c r="T173" s="81">
        <f>AK173</f>
        <v/>
      </c>
      <c r="Y173" s="81" t="n">
        <v>1254</v>
      </c>
      <c r="AC173" s="81" t="n">
        <v>5</v>
      </c>
      <c r="AD173" s="81" t="n">
        <v>14</v>
      </c>
      <c r="AE173" s="81" t="n">
        <v>13</v>
      </c>
      <c r="AF173" s="81" t="n">
        <v>40</v>
      </c>
    </row>
    <row r="174">
      <c r="A174" s="72">
        <f>$D$25</f>
        <v/>
      </c>
      <c r="B174" s="72">
        <f>B173+1</f>
        <v/>
      </c>
      <c r="C174" s="72">
        <f>IF(K174="Vacant","Vac",IF(K174="Model","Model",IF(K174="Admin","Admin",IF(K174="Down","Down",IF(K174="Super","Super","Occ")))))</f>
        <v/>
      </c>
      <c r="D174" s="72">
        <f>INDEX($C$5:$C$12,MATCH(I174,$D$5:$D$12,0))</f>
        <v/>
      </c>
      <c r="E174" s="72">
        <f>INDEX($E$5:$E$12,MATCH(D174,$C$5:$C$12,0))</f>
        <v/>
      </c>
      <c r="F174" s="72">
        <f>INDEX($F$5:$F$12,MATCH(D174,$C$5:$C$12,0))</f>
        <v/>
      </c>
      <c r="G174" s="72">
        <f>INDEX($G$5:$G$12,MATCH(D174,$C$5:$C$12,0))</f>
        <v/>
      </c>
      <c r="H174" s="72" t="inlineStr">
        <is>
          <t>143</t>
        </is>
      </c>
      <c r="I174" s="72" t="inlineStr">
        <is>
          <t>stc_a2</t>
        </is>
      </c>
      <c r="J174" s="80" t="n">
        <v>768</v>
      </c>
      <c r="K174" s="72" t="inlineStr">
        <is>
          <t>Alex Benecke</t>
        </is>
      </c>
      <c r="L174" s="81" t="n">
        <v>1270</v>
      </c>
      <c r="M174" s="81">
        <f>Y174</f>
        <v/>
      </c>
      <c r="N174" s="82" t="n">
        <v>45717</v>
      </c>
      <c r="O174" s="82" t="n">
        <v>45717</v>
      </c>
      <c r="P174" s="82" t="n">
        <v>46599</v>
      </c>
      <c r="R174" s="81">
        <f>SUM(AB174:AG174)</f>
        <v/>
      </c>
      <c r="S174" s="81">
        <f>AI174</f>
        <v/>
      </c>
      <c r="T174" s="81">
        <f>AK174</f>
        <v/>
      </c>
      <c r="Y174" s="81" t="n">
        <v>1096</v>
      </c>
      <c r="AB174" s="81" t="n">
        <v>35</v>
      </c>
      <c r="AC174" s="81" t="n">
        <v>5</v>
      </c>
      <c r="AD174" s="81" t="n">
        <v>14</v>
      </c>
      <c r="AE174" s="81" t="n">
        <v>13</v>
      </c>
    </row>
    <row r="175">
      <c r="A175" s="72">
        <f>$D$25</f>
        <v/>
      </c>
      <c r="B175" s="72">
        <f>B174+1</f>
        <v/>
      </c>
      <c r="C175" s="72">
        <f>IF(K175="Vacant","Vac",IF(K175="Model","Model",IF(K175="Admin","Admin",IF(K175="Down","Down",IF(K175="Super","Super","Occ")))))</f>
        <v/>
      </c>
      <c r="D175" s="72">
        <f>INDEX($C$5:$C$12,MATCH(I175,$D$5:$D$12,0))</f>
        <v/>
      </c>
      <c r="E175" s="72">
        <f>INDEX($E$5:$E$12,MATCH(D175,$C$5:$C$12,0))</f>
        <v/>
      </c>
      <c r="F175" s="72">
        <f>INDEX($F$5:$F$12,MATCH(D175,$C$5:$C$12,0))</f>
        <v/>
      </c>
      <c r="G175" s="72">
        <f>INDEX($G$5:$G$12,MATCH(D175,$C$5:$C$12,0))</f>
        <v/>
      </c>
      <c r="H175" s="72" t="inlineStr">
        <is>
          <t>144</t>
        </is>
      </c>
      <c r="I175" s="72" t="inlineStr">
        <is>
          <t>stc_b2</t>
        </is>
      </c>
      <c r="J175" s="80" t="n">
        <v>1214</v>
      </c>
      <c r="K175" s="72" t="inlineStr">
        <is>
          <t>Austin Phillips</t>
        </is>
      </c>
      <c r="L175" s="81" t="n">
        <v>1486</v>
      </c>
      <c r="M175" s="81">
        <f>Y175</f>
        <v/>
      </c>
      <c r="N175" s="82" t="n">
        <v>45456</v>
      </c>
      <c r="O175" s="82" t="n">
        <v>45456</v>
      </c>
      <c r="P175" s="82" t="n">
        <v>46246</v>
      </c>
      <c r="R175" s="81">
        <f>SUM(AB175:AG175)</f>
        <v/>
      </c>
      <c r="S175" s="81">
        <f>AI175</f>
        <v/>
      </c>
      <c r="T175" s="81">
        <f>AK175</f>
        <v/>
      </c>
      <c r="Y175" s="81" t="n">
        <v>1607</v>
      </c>
      <c r="AC175" s="81" t="n">
        <v>5</v>
      </c>
      <c r="AD175" s="81" t="n">
        <v>12</v>
      </c>
      <c r="AE175" s="81" t="n">
        <v>12</v>
      </c>
    </row>
    <row r="176">
      <c r="A176" s="72">
        <f>$D$25</f>
        <v/>
      </c>
      <c r="B176" s="72">
        <f>B175+1</f>
        <v/>
      </c>
      <c r="C176" s="72">
        <f>IF(K176="Vacant","Vac",IF(K176="Model","Model",IF(K176="Admin","Admin",IF(K176="Down","Down",IF(K176="Super","Super","Occ")))))</f>
        <v/>
      </c>
      <c r="D176" s="72">
        <f>INDEX($C$5:$C$12,MATCH(I176,$D$5:$D$12,0))</f>
        <v/>
      </c>
      <c r="E176" s="72">
        <f>INDEX($E$5:$E$12,MATCH(D176,$C$5:$C$12,0))</f>
        <v/>
      </c>
      <c r="F176" s="72">
        <f>INDEX($F$5:$F$12,MATCH(D176,$C$5:$C$12,0))</f>
        <v/>
      </c>
      <c r="G176" s="72">
        <f>INDEX($G$5:$G$12,MATCH(D176,$C$5:$C$12,0))</f>
        <v/>
      </c>
      <c r="H176" s="72" t="inlineStr">
        <is>
          <t>145</t>
        </is>
      </c>
      <c r="I176" s="72" t="inlineStr">
        <is>
          <t>stc_a1</t>
        </is>
      </c>
      <c r="J176" s="80" t="n">
        <v>731</v>
      </c>
      <c r="K176" s="72" t="inlineStr">
        <is>
          <t>Stephen Skomsky</t>
        </is>
      </c>
      <c r="L176" s="81" t="n">
        <v>1264</v>
      </c>
      <c r="M176" s="81">
        <f>Y176</f>
        <v/>
      </c>
      <c r="N176" s="82" t="n">
        <v>46037</v>
      </c>
      <c r="O176" s="82" t="n">
        <v>46037</v>
      </c>
      <c r="P176" s="82" t="n">
        <v>46460</v>
      </c>
      <c r="R176" s="81">
        <f>SUM(AB176:AG176)</f>
        <v/>
      </c>
      <c r="S176" s="81">
        <f>AI176</f>
        <v/>
      </c>
      <c r="T176" s="81">
        <f>AK176</f>
        <v/>
      </c>
      <c r="Y176" s="81" t="n">
        <v>1204</v>
      </c>
      <c r="AB176" s="81" t="n">
        <v>35</v>
      </c>
      <c r="AC176" s="81" t="n">
        <v>5</v>
      </c>
      <c r="AD176" s="81" t="n">
        <v>14</v>
      </c>
      <c r="AE176" s="81" t="n">
        <v>12</v>
      </c>
    </row>
    <row r="177">
      <c r="A177" s="72">
        <f>$D$25</f>
        <v/>
      </c>
      <c r="B177" s="72">
        <f>B176+1</f>
        <v/>
      </c>
      <c r="C177" s="72">
        <f>IF(K177="Vacant","Vac",IF(K177="Model","Model",IF(K177="Admin","Admin",IF(K177="Down","Down",IF(K177="Super","Super","Occ")))))</f>
        <v/>
      </c>
      <c r="D177" s="72">
        <f>INDEX($C$5:$C$12,MATCH(I177,$D$5:$D$12,0))</f>
        <v/>
      </c>
      <c r="E177" s="72">
        <f>INDEX($E$5:$E$12,MATCH(D177,$C$5:$C$12,0))</f>
        <v/>
      </c>
      <c r="F177" s="72">
        <f>INDEX($F$5:$F$12,MATCH(D177,$C$5:$C$12,0))</f>
        <v/>
      </c>
      <c r="G177" s="72">
        <f>INDEX($G$5:$G$12,MATCH(D177,$C$5:$C$12,0))</f>
        <v/>
      </c>
      <c r="H177" s="72" t="inlineStr">
        <is>
          <t>146</t>
        </is>
      </c>
      <c r="I177" s="72" t="inlineStr">
        <is>
          <t>stc_a3</t>
        </is>
      </c>
      <c r="J177" s="80" t="n">
        <v>987</v>
      </c>
      <c r="K177" s="72" t="inlineStr">
        <is>
          <t>Steven Bates</t>
        </is>
      </c>
      <c r="L177" s="81" t="n">
        <v>1319</v>
      </c>
      <c r="M177" s="81">
        <f>Y177</f>
        <v/>
      </c>
      <c r="N177" s="82" t="n">
        <v>44553</v>
      </c>
      <c r="O177" s="82" t="n">
        <v>44553</v>
      </c>
      <c r="P177" s="82" t="n">
        <v>46256</v>
      </c>
      <c r="R177" s="81">
        <f>SUM(AB177:AG177)</f>
        <v/>
      </c>
      <c r="S177" s="81">
        <f>AI177</f>
        <v/>
      </c>
      <c r="T177" s="81">
        <f>AK177</f>
        <v/>
      </c>
      <c r="Y177" s="81" t="n">
        <v>1345</v>
      </c>
      <c r="AC177" s="81" t="n">
        <v>5</v>
      </c>
      <c r="AD177" s="81" t="n">
        <v>14</v>
      </c>
      <c r="AE177" s="81" t="n">
        <v>12</v>
      </c>
      <c r="AF177" s="81" t="n">
        <v>40</v>
      </c>
    </row>
    <row r="178">
      <c r="A178" s="72">
        <f>$D$25</f>
        <v/>
      </c>
      <c r="B178" s="72">
        <f>B177+1</f>
        <v/>
      </c>
      <c r="C178" s="72">
        <f>IF(K178="Vacant","Vac",IF(K178="Model","Model",IF(K178="Admin","Admin",IF(K178="Down","Down",IF(K178="Super","Super","Occ")))))</f>
        <v/>
      </c>
      <c r="D178" s="72">
        <f>INDEX($C$5:$C$12,MATCH(I178,$D$5:$D$12,0))</f>
        <v/>
      </c>
      <c r="E178" s="72">
        <f>INDEX($E$5:$E$12,MATCH(D178,$C$5:$C$12,0))</f>
        <v/>
      </c>
      <c r="F178" s="72">
        <f>INDEX($F$5:$F$12,MATCH(D178,$C$5:$C$12,0))</f>
        <v/>
      </c>
      <c r="G178" s="72">
        <f>INDEX($G$5:$G$12,MATCH(D178,$C$5:$C$12,0))</f>
        <v/>
      </c>
      <c r="H178" s="72" t="inlineStr">
        <is>
          <t>147</t>
        </is>
      </c>
      <c r="I178" s="72" t="inlineStr">
        <is>
          <t>stc_a1</t>
        </is>
      </c>
      <c r="J178" s="80" t="n">
        <v>731</v>
      </c>
      <c r="K178" s="72" t="inlineStr">
        <is>
          <t>Cynthia Corona</t>
        </is>
      </c>
      <c r="L178" s="81" t="n">
        <v>1264</v>
      </c>
      <c r="M178" s="81">
        <f>Y178</f>
        <v/>
      </c>
      <c r="N178" s="82" t="n">
        <v>46156</v>
      </c>
      <c r="O178" s="82" t="n">
        <v>46156</v>
      </c>
      <c r="P178" s="82" t="n">
        <v>46520</v>
      </c>
      <c r="R178" s="81">
        <f>SUM(AB178:AG178)</f>
        <v/>
      </c>
      <c r="S178" s="81">
        <f>AI178</f>
        <v/>
      </c>
      <c r="T178" s="81">
        <f>AK178</f>
        <v/>
      </c>
      <c r="Y178" s="81" t="n">
        <v>1272</v>
      </c>
      <c r="AC178" s="81" t="n">
        <v>5</v>
      </c>
      <c r="AD178" s="81" t="n">
        <v>14</v>
      </c>
      <c r="AE178" s="81" t="n">
        <v>13</v>
      </c>
    </row>
    <row r="179">
      <c r="A179" s="72">
        <f>$D$25</f>
        <v/>
      </c>
      <c r="B179" s="72">
        <f>B178+1</f>
        <v/>
      </c>
      <c r="C179" s="72">
        <f>IF(K179="Vacant","Vac",IF(K179="Model","Model",IF(K179="Admin","Admin",IF(K179="Down","Down",IF(K179="Super","Super","Occ")))))</f>
        <v/>
      </c>
      <c r="D179" s="72">
        <f>INDEX($C$5:$C$12,MATCH(I179,$D$5:$D$12,0))</f>
        <v/>
      </c>
      <c r="E179" s="72">
        <f>INDEX($E$5:$E$12,MATCH(D179,$C$5:$C$12,0))</f>
        <v/>
      </c>
      <c r="F179" s="72">
        <f>INDEX($F$5:$F$12,MATCH(D179,$C$5:$C$12,0))</f>
        <v/>
      </c>
      <c r="G179" s="72">
        <f>INDEX($G$5:$G$12,MATCH(D179,$C$5:$C$12,0))</f>
        <v/>
      </c>
      <c r="H179" s="72" t="inlineStr">
        <is>
          <t>148</t>
        </is>
      </c>
      <c r="I179" s="72" t="inlineStr">
        <is>
          <t>stc_a3</t>
        </is>
      </c>
      <c r="J179" s="80" t="n">
        <v>987</v>
      </c>
      <c r="K179" s="72" t="inlineStr">
        <is>
          <t>Tanya Whitehouse</t>
        </is>
      </c>
      <c r="L179" s="81" t="n">
        <v>1319</v>
      </c>
      <c r="M179" s="81">
        <f>Y179</f>
        <v/>
      </c>
      <c r="N179" s="82" t="n">
        <v>43945</v>
      </c>
      <c r="O179" s="82" t="n">
        <v>43945</v>
      </c>
      <c r="P179" s="82" t="n">
        <v>46469</v>
      </c>
      <c r="R179" s="81">
        <f>SUM(AB179:AG179)</f>
        <v/>
      </c>
      <c r="S179" s="81">
        <f>AI179</f>
        <v/>
      </c>
      <c r="T179" s="81">
        <f>AK179</f>
        <v/>
      </c>
      <c r="Y179" s="81" t="n">
        <v>1171</v>
      </c>
      <c r="AB179" s="81" t="n">
        <v>35</v>
      </c>
      <c r="AC179" s="81" t="n">
        <v>5</v>
      </c>
      <c r="AD179" s="81" t="n">
        <v>14</v>
      </c>
      <c r="AE179" s="81" t="n">
        <v>13</v>
      </c>
    </row>
    <row r="180">
      <c r="A180" s="72">
        <f>$D$25</f>
        <v/>
      </c>
      <c r="B180" s="72">
        <f>B179+1</f>
        <v/>
      </c>
      <c r="C180" s="72">
        <f>IF(K180="Vacant","Vac",IF(K180="Model","Model",IF(K180="Admin","Admin",IF(K180="Down","Down",IF(K180="Super","Super","Occ")))))</f>
        <v/>
      </c>
      <c r="D180" s="72">
        <f>INDEX($C$5:$C$12,MATCH(I180,$D$5:$D$12,0))</f>
        <v/>
      </c>
      <c r="E180" s="72">
        <f>INDEX($E$5:$E$12,MATCH(D180,$C$5:$C$12,0))</f>
        <v/>
      </c>
      <c r="F180" s="72">
        <f>INDEX($F$5:$F$12,MATCH(D180,$C$5:$C$12,0))</f>
        <v/>
      </c>
      <c r="G180" s="72">
        <f>INDEX($G$5:$G$12,MATCH(D180,$C$5:$C$12,0))</f>
        <v/>
      </c>
      <c r="H180" s="72" t="inlineStr">
        <is>
          <t>149</t>
        </is>
      </c>
      <c r="I180" s="72" t="inlineStr">
        <is>
          <t>stc_a1</t>
        </is>
      </c>
      <c r="J180" s="80" t="n">
        <v>731</v>
      </c>
      <c r="K180" s="72" t="inlineStr">
        <is>
          <t>Maria Bykalo</t>
        </is>
      </c>
      <c r="L180" s="81" t="n">
        <v>1264</v>
      </c>
      <c r="M180" s="81">
        <f>Y180</f>
        <v/>
      </c>
      <c r="N180" s="82" t="n">
        <v>46182</v>
      </c>
      <c r="O180" s="82" t="n">
        <v>46182</v>
      </c>
      <c r="P180" s="82" t="n">
        <v>46576</v>
      </c>
      <c r="R180" s="81">
        <f>SUM(AB180:AG180)</f>
        <v/>
      </c>
      <c r="S180" s="81">
        <f>AI180</f>
        <v/>
      </c>
      <c r="T180" s="81">
        <f>AK180</f>
        <v/>
      </c>
      <c r="Y180" s="81" t="n">
        <v>1205</v>
      </c>
      <c r="AC180" s="81" t="n">
        <v>5</v>
      </c>
      <c r="AD180" s="81" t="n">
        <v>14</v>
      </c>
      <c r="AE180" s="81" t="n">
        <v>13</v>
      </c>
    </row>
    <row r="181">
      <c r="A181" s="72">
        <f>$D$25</f>
        <v/>
      </c>
      <c r="B181" s="72">
        <f>B180+1</f>
        <v/>
      </c>
      <c r="C181" s="72">
        <f>IF(K181="Vacant","Vac",IF(K181="Model","Model",IF(K181="Admin","Admin",IF(K181="Down","Down",IF(K181="Super","Super","Occ")))))</f>
        <v/>
      </c>
      <c r="D181" s="72">
        <f>INDEX($C$5:$C$12,MATCH(I181,$D$5:$D$12,0))</f>
        <v/>
      </c>
      <c r="E181" s="72">
        <f>INDEX($E$5:$E$12,MATCH(D181,$C$5:$C$12,0))</f>
        <v/>
      </c>
      <c r="F181" s="72">
        <f>INDEX($F$5:$F$12,MATCH(D181,$C$5:$C$12,0))</f>
        <v/>
      </c>
      <c r="G181" s="72">
        <f>INDEX($G$5:$G$12,MATCH(D181,$C$5:$C$12,0))</f>
        <v/>
      </c>
      <c r="H181" s="72" t="inlineStr">
        <is>
          <t>150</t>
        </is>
      </c>
      <c r="I181" s="72" t="inlineStr">
        <is>
          <t>stc_a3</t>
        </is>
      </c>
      <c r="J181" s="80" t="n">
        <v>987</v>
      </c>
      <c r="K181" s="72" t="inlineStr">
        <is>
          <t>Abigail Sutton</t>
        </is>
      </c>
      <c r="L181" s="81" t="n">
        <v>1319</v>
      </c>
      <c r="M181" s="81">
        <f>Y181</f>
        <v/>
      </c>
      <c r="N181" s="82" t="n">
        <v>45596</v>
      </c>
      <c r="O181" s="82" t="n">
        <v>45596</v>
      </c>
      <c r="P181" s="82" t="n">
        <v>46476</v>
      </c>
      <c r="R181" s="81">
        <f>SUM(AB181:AG181)</f>
        <v/>
      </c>
      <c r="S181" s="81">
        <f>AI181</f>
        <v/>
      </c>
      <c r="T181" s="81">
        <f>AK181</f>
        <v/>
      </c>
      <c r="Y181" s="81" t="n">
        <v>1352</v>
      </c>
      <c r="AB181" s="81" t="n">
        <v>35</v>
      </c>
      <c r="AC181" s="81" t="n">
        <v>5</v>
      </c>
      <c r="AD181" s="81" t="n">
        <v>14</v>
      </c>
      <c r="AE181" s="81" t="n">
        <v>12</v>
      </c>
    </row>
    <row r="182">
      <c r="A182" s="72">
        <f>$D$25</f>
        <v/>
      </c>
      <c r="B182" s="72">
        <f>B181+1</f>
        <v/>
      </c>
      <c r="C182" s="72">
        <f>IF(K182="Vacant","Vac",IF(K182="Model","Model",IF(K182="Admin","Admin",IF(K182="Down","Down",IF(K182="Super","Super","Occ")))))</f>
        <v/>
      </c>
      <c r="D182" s="72">
        <f>INDEX($C$5:$C$12,MATCH(I182,$D$5:$D$12,0))</f>
        <v/>
      </c>
      <c r="E182" s="72">
        <f>INDEX($E$5:$E$12,MATCH(D182,$C$5:$C$12,0))</f>
        <v/>
      </c>
      <c r="F182" s="72">
        <f>INDEX($F$5:$F$12,MATCH(D182,$C$5:$C$12,0))</f>
        <v/>
      </c>
      <c r="G182" s="72">
        <f>INDEX($G$5:$G$12,MATCH(D182,$C$5:$C$12,0))</f>
        <v/>
      </c>
      <c r="H182" s="72" t="inlineStr">
        <is>
          <t>151</t>
        </is>
      </c>
      <c r="I182" s="72" t="inlineStr">
        <is>
          <t>stc_a1</t>
        </is>
      </c>
      <c r="J182" s="80" t="n">
        <v>731</v>
      </c>
      <c r="K182" s="72" t="inlineStr">
        <is>
          <t>Emma Newton</t>
        </is>
      </c>
      <c r="L182" s="81" t="n">
        <v>1264</v>
      </c>
      <c r="M182" s="81">
        <f>Y182</f>
        <v/>
      </c>
      <c r="N182" s="82" t="n">
        <v>45716</v>
      </c>
      <c r="O182" s="82" t="n">
        <v>45716</v>
      </c>
      <c r="P182" s="82" t="n">
        <v>46445</v>
      </c>
      <c r="R182" s="81">
        <f>SUM(AB182:AG182)</f>
        <v/>
      </c>
      <c r="S182" s="81">
        <f>AI182</f>
        <v/>
      </c>
      <c r="T182" s="81">
        <f>AK182</f>
        <v/>
      </c>
      <c r="Y182" s="81" t="n">
        <v>1126</v>
      </c>
      <c r="AC182" s="81" t="n">
        <v>5</v>
      </c>
      <c r="AD182" s="81" t="n">
        <v>14</v>
      </c>
      <c r="AE182" s="81" t="n">
        <v>13</v>
      </c>
    </row>
    <row r="183">
      <c r="A183" s="72">
        <f>$D$25</f>
        <v/>
      </c>
      <c r="B183" s="72">
        <f>B182+1</f>
        <v/>
      </c>
      <c r="C183" s="72">
        <f>IF(K183="Vacant","Vac",IF(K183="Model","Model",IF(K183="Admin","Admin",IF(K183="Down","Down",IF(K183="Super","Super","Occ")))))</f>
        <v/>
      </c>
      <c r="D183" s="72">
        <f>INDEX($C$5:$C$12,MATCH(I183,$D$5:$D$12,0))</f>
        <v/>
      </c>
      <c r="E183" s="72">
        <f>INDEX($E$5:$E$12,MATCH(D183,$C$5:$C$12,0))</f>
        <v/>
      </c>
      <c r="F183" s="72">
        <f>INDEX($F$5:$F$12,MATCH(D183,$C$5:$C$12,0))</f>
        <v/>
      </c>
      <c r="G183" s="72">
        <f>INDEX($G$5:$G$12,MATCH(D183,$C$5:$C$12,0))</f>
        <v/>
      </c>
      <c r="H183" s="72" t="inlineStr">
        <is>
          <t>152</t>
        </is>
      </c>
      <c r="I183" s="72" t="inlineStr">
        <is>
          <t>stc_a3</t>
        </is>
      </c>
      <c r="J183" s="80" t="n">
        <v>987</v>
      </c>
      <c r="K183" s="72" t="inlineStr">
        <is>
          <t>Allison Hicks</t>
        </is>
      </c>
      <c r="L183" s="81" t="n">
        <v>1319</v>
      </c>
      <c r="M183" s="81">
        <f>Y183</f>
        <v/>
      </c>
      <c r="N183" s="82" t="n">
        <v>45898</v>
      </c>
      <c r="O183" s="82" t="n">
        <v>45898</v>
      </c>
      <c r="P183" s="82" t="n">
        <v>46293</v>
      </c>
      <c r="R183" s="81">
        <f>SUM(AB183:AG183)</f>
        <v/>
      </c>
      <c r="S183" s="81">
        <f>AI183</f>
        <v/>
      </c>
      <c r="T183" s="81">
        <f>AK183</f>
        <v/>
      </c>
      <c r="Y183" s="81" t="n">
        <v>1311</v>
      </c>
      <c r="AC183" s="81" t="n">
        <v>5</v>
      </c>
      <c r="AD183" s="81" t="n">
        <v>14</v>
      </c>
      <c r="AE183" s="81" t="n">
        <v>12</v>
      </c>
    </row>
    <row r="184">
      <c r="A184" s="72">
        <f>$D$25</f>
        <v/>
      </c>
      <c r="B184" s="72">
        <f>B183+1</f>
        <v/>
      </c>
      <c r="C184" s="72">
        <f>IF(K184="Vacant","Vac",IF(K184="Model","Model",IF(K184="Admin","Admin",IF(K184="Down","Down",IF(K184="Super","Super","Occ")))))</f>
        <v/>
      </c>
      <c r="D184" s="72">
        <f>INDEX($C$5:$C$12,MATCH(I184,$D$5:$D$12,0))</f>
        <v/>
      </c>
      <c r="E184" s="72">
        <f>INDEX($E$5:$E$12,MATCH(D184,$C$5:$C$12,0))</f>
        <v/>
      </c>
      <c r="F184" s="72">
        <f>INDEX($F$5:$F$12,MATCH(D184,$C$5:$C$12,0))</f>
        <v/>
      </c>
      <c r="G184" s="72">
        <f>INDEX($G$5:$G$12,MATCH(D184,$C$5:$C$12,0))</f>
        <v/>
      </c>
      <c r="H184" s="72" t="inlineStr">
        <is>
          <t>153</t>
        </is>
      </c>
      <c r="I184" s="72" t="inlineStr">
        <is>
          <t>stc_a1</t>
        </is>
      </c>
      <c r="J184" s="80" t="n">
        <v>731</v>
      </c>
      <c r="K184" s="72" t="inlineStr">
        <is>
          <t>Leeanne Downes</t>
        </is>
      </c>
      <c r="L184" s="81" t="n">
        <v>1264</v>
      </c>
      <c r="M184" s="81">
        <f>Y184</f>
        <v/>
      </c>
      <c r="N184" s="82" t="n">
        <v>45317</v>
      </c>
      <c r="O184" s="82" t="n">
        <v>45317</v>
      </c>
      <c r="P184" s="82" t="n">
        <v>46593</v>
      </c>
      <c r="R184" s="81">
        <f>SUM(AB184:AG184)</f>
        <v/>
      </c>
      <c r="S184" s="81">
        <f>AI184</f>
        <v/>
      </c>
      <c r="T184" s="81">
        <f>AK184</f>
        <v/>
      </c>
      <c r="Y184" s="81" t="n">
        <v>1204</v>
      </c>
      <c r="AC184" s="81" t="n">
        <v>5</v>
      </c>
      <c r="AD184" s="81" t="n">
        <v>14</v>
      </c>
      <c r="AE184" s="81" t="n">
        <v>13</v>
      </c>
    </row>
    <row r="185">
      <c r="A185" s="72">
        <f>$D$25</f>
        <v/>
      </c>
      <c r="B185" s="72">
        <f>B184+1</f>
        <v/>
      </c>
      <c r="C185" s="72">
        <f>IF(K185="Vacant","Vac",IF(K185="Model","Model",IF(K185="Admin","Admin",IF(K185="Down","Down",IF(K185="Super","Super","Occ")))))</f>
        <v/>
      </c>
      <c r="D185" s="72">
        <f>INDEX($C$5:$C$12,MATCH(I185,$D$5:$D$12,0))</f>
        <v/>
      </c>
      <c r="E185" s="72">
        <f>INDEX($E$5:$E$12,MATCH(D185,$C$5:$C$12,0))</f>
        <v/>
      </c>
      <c r="F185" s="72">
        <f>INDEX($F$5:$F$12,MATCH(D185,$C$5:$C$12,0))</f>
        <v/>
      </c>
      <c r="G185" s="72">
        <f>INDEX($G$5:$G$12,MATCH(D185,$C$5:$C$12,0))</f>
        <v/>
      </c>
      <c r="H185" s="72" t="inlineStr">
        <is>
          <t>154</t>
        </is>
      </c>
      <c r="I185" s="72" t="inlineStr">
        <is>
          <t>stc_a3</t>
        </is>
      </c>
      <c r="J185" s="80" t="n">
        <v>987</v>
      </c>
      <c r="K185" s="72" t="inlineStr">
        <is>
          <t>Evan Whaley</t>
        </is>
      </c>
      <c r="L185" s="81" t="n">
        <v>1319</v>
      </c>
      <c r="M185" s="81">
        <f>Y185</f>
        <v/>
      </c>
      <c r="N185" s="82" t="n">
        <v>45482</v>
      </c>
      <c r="O185" s="82" t="n">
        <v>45482</v>
      </c>
      <c r="P185" s="82" t="n">
        <v>46334</v>
      </c>
      <c r="R185" s="81">
        <f>SUM(AB185:AG185)</f>
        <v/>
      </c>
      <c r="S185" s="81">
        <f>AI185</f>
        <v/>
      </c>
      <c r="T185" s="81">
        <f>AK185</f>
        <v/>
      </c>
      <c r="Y185" s="81" t="n">
        <v>1274</v>
      </c>
      <c r="AC185" s="81" t="n">
        <v>5</v>
      </c>
      <c r="AD185" s="81" t="n">
        <v>14</v>
      </c>
      <c r="AE185" s="81" t="n">
        <v>12</v>
      </c>
    </row>
    <row r="186">
      <c r="A186" s="72">
        <f>$D$25</f>
        <v/>
      </c>
      <c r="B186" s="72">
        <f>B185+1</f>
        <v/>
      </c>
      <c r="C186" s="72">
        <f>IF(K186="Vacant","Vac",IF(K186="Model","Model",IF(K186="Admin","Admin",IF(K186="Down","Down",IF(K186="Super","Super","Occ")))))</f>
        <v/>
      </c>
      <c r="D186" s="72">
        <f>INDEX($C$5:$C$12,MATCH(I186,$D$5:$D$12,0))</f>
        <v/>
      </c>
      <c r="E186" s="72">
        <f>INDEX($E$5:$E$12,MATCH(D186,$C$5:$C$12,0))</f>
        <v/>
      </c>
      <c r="F186" s="72">
        <f>INDEX($F$5:$F$12,MATCH(D186,$C$5:$C$12,0))</f>
        <v/>
      </c>
      <c r="G186" s="72">
        <f>INDEX($G$5:$G$12,MATCH(D186,$C$5:$C$12,0))</f>
        <v/>
      </c>
      <c r="H186" s="72" t="inlineStr">
        <is>
          <t>155</t>
        </is>
      </c>
      <c r="I186" s="72" t="inlineStr">
        <is>
          <t>stc_a1</t>
        </is>
      </c>
      <c r="J186" s="80" t="n">
        <v>731</v>
      </c>
      <c r="K186" s="72" t="inlineStr">
        <is>
          <t>Amanda Sizemore</t>
        </is>
      </c>
      <c r="L186" s="81" t="n">
        <v>1264</v>
      </c>
      <c r="M186" s="81">
        <f>Y186</f>
        <v/>
      </c>
      <c r="N186" s="82" t="n">
        <v>44044</v>
      </c>
      <c r="O186" s="82" t="n">
        <v>44044</v>
      </c>
      <c r="P186" s="82" t="n">
        <v>46356</v>
      </c>
      <c r="R186" s="81">
        <f>SUM(AB186:AG186)</f>
        <v/>
      </c>
      <c r="S186" s="81">
        <f>AI186</f>
        <v/>
      </c>
      <c r="T186" s="81">
        <f>AK186</f>
        <v/>
      </c>
      <c r="Y186" s="81" t="n">
        <v>1080</v>
      </c>
      <c r="AB186" s="81" t="n">
        <v>35</v>
      </c>
      <c r="AC186" s="81" t="n">
        <v>5</v>
      </c>
      <c r="AD186" s="81" t="n">
        <v>14</v>
      </c>
      <c r="AE186" s="81" t="n">
        <v>12</v>
      </c>
    </row>
    <row r="187">
      <c r="A187" s="72">
        <f>$D$25</f>
        <v/>
      </c>
      <c r="B187" s="72">
        <f>B186+1</f>
        <v/>
      </c>
      <c r="C187" s="72">
        <f>IF(K187="Vacant","Vac",IF(K187="Model","Model",IF(K187="Admin","Admin",IF(K187="Down","Down",IF(K187="Super","Super","Occ")))))</f>
        <v/>
      </c>
      <c r="D187" s="72">
        <f>INDEX($C$5:$C$12,MATCH(I187,$D$5:$D$12,0))</f>
        <v/>
      </c>
      <c r="E187" s="72">
        <f>INDEX($E$5:$E$12,MATCH(D187,$C$5:$C$12,0))</f>
        <v/>
      </c>
      <c r="F187" s="72">
        <f>INDEX($F$5:$F$12,MATCH(D187,$C$5:$C$12,0))</f>
        <v/>
      </c>
      <c r="G187" s="72">
        <f>INDEX($G$5:$G$12,MATCH(D187,$C$5:$C$12,0))</f>
        <v/>
      </c>
      <c r="H187" s="72" t="inlineStr">
        <is>
          <t>156</t>
        </is>
      </c>
      <c r="I187" s="72" t="inlineStr">
        <is>
          <t>stc_a3</t>
        </is>
      </c>
      <c r="J187" s="80" t="n">
        <v>987</v>
      </c>
      <c r="K187" s="72" t="inlineStr">
        <is>
          <t>Van Zanon</t>
        </is>
      </c>
      <c r="L187" s="81" t="n">
        <v>1319</v>
      </c>
      <c r="M187" s="81">
        <f>Y187</f>
        <v/>
      </c>
      <c r="N187" s="82" t="n">
        <v>45861</v>
      </c>
      <c r="O187" s="82" t="n">
        <v>45861</v>
      </c>
      <c r="P187" s="82" t="n">
        <v>46287</v>
      </c>
      <c r="R187" s="81">
        <f>SUM(AB187:AG187)</f>
        <v/>
      </c>
      <c r="S187" s="81">
        <f>AI187</f>
        <v/>
      </c>
      <c r="T187" s="81">
        <f>AK187</f>
        <v/>
      </c>
      <c r="Y187" s="81" t="n">
        <v>1320</v>
      </c>
      <c r="AC187" s="81" t="n">
        <v>5</v>
      </c>
      <c r="AD187" s="81" t="n">
        <v>14</v>
      </c>
      <c r="AE187" s="81" t="n">
        <v>12</v>
      </c>
    </row>
    <row r="188">
      <c r="A188" s="72">
        <f>$D$25</f>
        <v/>
      </c>
      <c r="B188" s="72">
        <f>B187+1</f>
        <v/>
      </c>
      <c r="C188" s="72">
        <f>IF(K188="Vacant","Vac",IF(K188="Model","Model",IF(K188="Admin","Admin",IF(K188="Down","Down",IF(K188="Super","Super","Occ")))))</f>
        <v/>
      </c>
      <c r="D188" s="72">
        <f>INDEX($C$5:$C$12,MATCH(I188,$D$5:$D$12,0))</f>
        <v/>
      </c>
      <c r="E188" s="72">
        <f>INDEX($E$5:$E$12,MATCH(D188,$C$5:$C$12,0))</f>
        <v/>
      </c>
      <c r="F188" s="72">
        <f>INDEX($F$5:$F$12,MATCH(D188,$C$5:$C$12,0))</f>
        <v/>
      </c>
      <c r="G188" s="72">
        <f>INDEX($G$5:$G$12,MATCH(D188,$C$5:$C$12,0))</f>
        <v/>
      </c>
      <c r="H188" s="72" t="inlineStr">
        <is>
          <t>157</t>
        </is>
      </c>
      <c r="I188" s="72" t="inlineStr">
        <is>
          <t>stc_a2</t>
        </is>
      </c>
      <c r="J188" s="80" t="n">
        <v>768</v>
      </c>
      <c r="K188" s="72" t="inlineStr">
        <is>
          <t>Ariel Woo</t>
        </is>
      </c>
      <c r="L188" s="81" t="n">
        <v>1270</v>
      </c>
      <c r="M188" s="81">
        <f>Y188</f>
        <v/>
      </c>
      <c r="N188" s="82" t="n">
        <v>45730</v>
      </c>
      <c r="O188" s="82" t="n">
        <v>45730</v>
      </c>
      <c r="P188" s="82" t="n">
        <v>46612</v>
      </c>
      <c r="R188" s="81">
        <f>SUM(AB188:AG188)</f>
        <v/>
      </c>
      <c r="S188" s="81">
        <f>AI188</f>
        <v/>
      </c>
      <c r="T188" s="81">
        <f>AK188</f>
        <v/>
      </c>
      <c r="Y188" s="81" t="n">
        <v>1026</v>
      </c>
      <c r="AC188" s="81" t="n">
        <v>5</v>
      </c>
      <c r="AD188" s="81" t="n">
        <v>14</v>
      </c>
      <c r="AE188" s="81" t="n">
        <v>13</v>
      </c>
      <c r="AF188" s="81" t="n">
        <v>25</v>
      </c>
    </row>
    <row r="189">
      <c r="A189" s="72">
        <f>$D$25</f>
        <v/>
      </c>
      <c r="B189" s="72">
        <f>B188+1</f>
        <v/>
      </c>
      <c r="C189" s="72">
        <f>IF(K189="Vacant","Vac",IF(K189="Model","Model",IF(K189="Admin","Admin",IF(K189="Down","Down",IF(K189="Super","Super","Occ")))))</f>
        <v/>
      </c>
      <c r="D189" s="72">
        <f>INDEX($C$5:$C$12,MATCH(I189,$D$5:$D$12,0))</f>
        <v/>
      </c>
      <c r="E189" s="72">
        <f>INDEX($E$5:$E$12,MATCH(D189,$C$5:$C$12,0))</f>
        <v/>
      </c>
      <c r="F189" s="72">
        <f>INDEX($F$5:$F$12,MATCH(D189,$C$5:$C$12,0))</f>
        <v/>
      </c>
      <c r="G189" s="72">
        <f>INDEX($G$5:$G$12,MATCH(D189,$C$5:$C$12,0))</f>
        <v/>
      </c>
      <c r="H189" s="72" t="inlineStr">
        <is>
          <t>158</t>
        </is>
      </c>
      <c r="I189" s="72" t="inlineStr">
        <is>
          <t>stc_b2</t>
        </is>
      </c>
      <c r="J189" s="80" t="n">
        <v>1214</v>
      </c>
      <c r="K189" s="72" t="inlineStr">
        <is>
          <t>Emily Harrison</t>
        </is>
      </c>
      <c r="L189" s="81" t="n">
        <v>1466</v>
      </c>
      <c r="M189" s="81">
        <f>Y189</f>
        <v/>
      </c>
      <c r="N189" s="82" t="n">
        <v>45082</v>
      </c>
      <c r="O189" s="82" t="n">
        <v>45082</v>
      </c>
      <c r="P189" s="82" t="n">
        <v>46391</v>
      </c>
      <c r="R189" s="81">
        <f>SUM(AB189:AG189)</f>
        <v/>
      </c>
      <c r="S189" s="81">
        <f>AI189</f>
        <v/>
      </c>
      <c r="T189" s="81">
        <f>AK189</f>
        <v/>
      </c>
      <c r="Y189" s="81" t="n">
        <v>1383</v>
      </c>
      <c r="AB189" s="81" t="n">
        <v>35</v>
      </c>
      <c r="AC189" s="81" t="n">
        <v>5</v>
      </c>
      <c r="AD189" s="81" t="n">
        <v>14</v>
      </c>
      <c r="AE189" s="81" t="n">
        <v>12</v>
      </c>
      <c r="AF189" s="81" t="n">
        <v>40</v>
      </c>
    </row>
    <row r="190">
      <c r="A190" s="72">
        <f>$D$25</f>
        <v/>
      </c>
      <c r="B190" s="72">
        <f>B189+1</f>
        <v/>
      </c>
      <c r="C190" s="72">
        <f>IF(K190="Vacant","Vac",IF(K190="Model","Model",IF(K190="Admin","Admin",IF(K190="Down","Down",IF(K190="Super","Super","Occ")))))</f>
        <v/>
      </c>
      <c r="D190" s="72">
        <f>INDEX($C$5:$C$12,MATCH(I190,$D$5:$D$12,0))</f>
        <v/>
      </c>
      <c r="E190" s="72">
        <f>INDEX($E$5:$E$12,MATCH(D190,$C$5:$C$12,0))</f>
        <v/>
      </c>
      <c r="F190" s="72">
        <f>INDEX($F$5:$F$12,MATCH(D190,$C$5:$C$12,0))</f>
        <v/>
      </c>
      <c r="G190" s="72">
        <f>INDEX($G$5:$G$12,MATCH(D190,$C$5:$C$12,0))</f>
        <v/>
      </c>
      <c r="H190" s="72" t="inlineStr">
        <is>
          <t>159</t>
        </is>
      </c>
      <c r="I190" s="72" t="inlineStr">
        <is>
          <t>stc_b1</t>
        </is>
      </c>
      <c r="J190" s="80" t="n">
        <v>1204</v>
      </c>
      <c r="K190" s="72" t="inlineStr">
        <is>
          <t>Augustus Herndon</t>
        </is>
      </c>
      <c r="L190" s="81" t="n">
        <v>1463</v>
      </c>
      <c r="M190" s="81">
        <f>Y190</f>
        <v/>
      </c>
      <c r="N190" s="82" t="n">
        <v>45886</v>
      </c>
      <c r="O190" s="82" t="n">
        <v>45886</v>
      </c>
      <c r="P190" s="82" t="n">
        <v>46250</v>
      </c>
      <c r="R190" s="81">
        <f>SUM(AB190:AG190)</f>
        <v/>
      </c>
      <c r="S190" s="81">
        <f>AI190</f>
        <v/>
      </c>
      <c r="T190" s="81">
        <f>AK190</f>
        <v/>
      </c>
      <c r="Y190" s="81" t="n">
        <v>1687</v>
      </c>
      <c r="AC190" s="81" t="n">
        <v>5</v>
      </c>
      <c r="AD190" s="81" t="n">
        <v>14</v>
      </c>
      <c r="AE190" s="81" t="n">
        <v>12</v>
      </c>
    </row>
    <row r="191">
      <c r="A191" s="72">
        <f>$D$25</f>
        <v/>
      </c>
      <c r="B191" s="72">
        <f>B190+1</f>
        <v/>
      </c>
      <c r="C191" s="72">
        <f>IF(K191="Vacant","Vac",IF(K191="Model","Model",IF(K191="Admin","Admin",IF(K191="Down","Down",IF(K191="Super","Super","Occ")))))</f>
        <v/>
      </c>
      <c r="D191" s="72">
        <f>INDEX($C$5:$C$12,MATCH(I191,$D$5:$D$12,0))</f>
        <v/>
      </c>
      <c r="E191" s="72">
        <f>INDEX($E$5:$E$12,MATCH(D191,$C$5:$C$12,0))</f>
        <v/>
      </c>
      <c r="F191" s="72">
        <f>INDEX($F$5:$F$12,MATCH(D191,$C$5:$C$12,0))</f>
        <v/>
      </c>
      <c r="G191" s="72">
        <f>INDEX($G$5:$G$12,MATCH(D191,$C$5:$C$12,0))</f>
        <v/>
      </c>
      <c r="H191" s="72" t="inlineStr">
        <is>
          <t>160</t>
        </is>
      </c>
      <c r="I191" s="72" t="inlineStr">
        <is>
          <t>stc_b4</t>
        </is>
      </c>
      <c r="J191" s="80" t="n">
        <v>1405</v>
      </c>
      <c r="K191" s="72" t="inlineStr">
        <is>
          <t>Amy Taylor</t>
        </is>
      </c>
      <c r="L191" s="81" t="n">
        <v>1542</v>
      </c>
      <c r="M191" s="81">
        <f>Y191</f>
        <v/>
      </c>
      <c r="N191" s="82" t="n">
        <v>45716</v>
      </c>
      <c r="O191" s="82" t="n">
        <v>45716</v>
      </c>
      <c r="P191" s="82" t="n">
        <v>46387</v>
      </c>
      <c r="R191" s="81">
        <f>SUM(AB191:AG191)</f>
        <v/>
      </c>
      <c r="S191" s="81">
        <f>AI191</f>
        <v/>
      </c>
      <c r="T191" s="81">
        <f>AK191</f>
        <v/>
      </c>
      <c r="Y191" s="81" t="n">
        <v>1424</v>
      </c>
      <c r="AC191" s="81" t="n">
        <v>5</v>
      </c>
      <c r="AD191" s="81" t="n">
        <v>14</v>
      </c>
      <c r="AE191" s="81" t="n">
        <v>12</v>
      </c>
      <c r="AK191" s="81" t="n">
        <v>-285</v>
      </c>
    </row>
    <row r="192">
      <c r="A192" s="72">
        <f>$D$25</f>
        <v/>
      </c>
      <c r="B192" s="72">
        <f>B191+1</f>
        <v/>
      </c>
      <c r="C192" s="72">
        <f>IF(K192="Vacant","Vac",IF(K192="Model","Model",IF(K192="Admin","Admin",IF(K192="Down","Down",IF(K192="Super","Super","Occ")))))</f>
        <v/>
      </c>
      <c r="D192" s="72">
        <f>INDEX($C$5:$C$12,MATCH(I192,$D$5:$D$12,0))</f>
        <v/>
      </c>
      <c r="E192" s="72">
        <f>INDEX($E$5:$E$12,MATCH(D192,$C$5:$C$12,0))</f>
        <v/>
      </c>
      <c r="F192" s="72">
        <f>INDEX($F$5:$F$12,MATCH(D192,$C$5:$C$12,0))</f>
        <v/>
      </c>
      <c r="G192" s="72">
        <f>INDEX($G$5:$G$12,MATCH(D192,$C$5:$C$12,0))</f>
        <v/>
      </c>
      <c r="H192" s="72" t="inlineStr">
        <is>
          <t>161</t>
        </is>
      </c>
      <c r="I192" s="72" t="inlineStr">
        <is>
          <t>stc_b1</t>
        </is>
      </c>
      <c r="J192" s="80" t="n">
        <v>1204</v>
      </c>
      <c r="K192" s="72" t="inlineStr">
        <is>
          <t>Jay Gast</t>
        </is>
      </c>
      <c r="L192" s="81" t="n">
        <v>1318</v>
      </c>
      <c r="M192" s="81">
        <f>Y192</f>
        <v/>
      </c>
      <c r="N192" s="82" t="n">
        <v>45938</v>
      </c>
      <c r="O192" s="82" t="n">
        <v>45938</v>
      </c>
      <c r="P192" s="82" t="n">
        <v>46302</v>
      </c>
      <c r="R192" s="81">
        <f>SUM(AB192:AG192)</f>
        <v/>
      </c>
      <c r="S192" s="81">
        <f>AI192</f>
        <v/>
      </c>
      <c r="T192" s="81">
        <f>AK192</f>
        <v/>
      </c>
      <c r="Y192" s="81" t="n">
        <v>1243</v>
      </c>
      <c r="AB192" s="81" t="n">
        <v>35</v>
      </c>
      <c r="AC192" s="81" t="n">
        <v>5</v>
      </c>
      <c r="AD192" s="81" t="n">
        <v>14</v>
      </c>
      <c r="AE192" s="81" t="n">
        <v>12</v>
      </c>
    </row>
    <row r="193">
      <c r="A193" s="72">
        <f>$D$25</f>
        <v/>
      </c>
      <c r="B193" s="72">
        <f>B192+1</f>
        <v/>
      </c>
      <c r="C193" s="72">
        <f>IF(K193="Vacant","Vac",IF(K193="Model","Model",IF(K193="Admin","Admin",IF(K193="Down","Down",IF(K193="Super","Super","Occ")))))</f>
        <v/>
      </c>
      <c r="D193" s="72">
        <f>INDEX($C$5:$C$12,MATCH(I193,$D$5:$D$12,0))</f>
        <v/>
      </c>
      <c r="E193" s="72">
        <f>INDEX($E$5:$E$12,MATCH(D193,$C$5:$C$12,0))</f>
        <v/>
      </c>
      <c r="F193" s="72">
        <f>INDEX($F$5:$F$12,MATCH(D193,$C$5:$C$12,0))</f>
        <v/>
      </c>
      <c r="G193" s="72">
        <f>INDEX($G$5:$G$12,MATCH(D193,$C$5:$C$12,0))</f>
        <v/>
      </c>
      <c r="H193" s="72" t="inlineStr">
        <is>
          <t>162</t>
        </is>
      </c>
      <c r="I193" s="72" t="inlineStr">
        <is>
          <t>stc_b4</t>
        </is>
      </c>
      <c r="J193" s="80" t="n">
        <v>1405</v>
      </c>
      <c r="K193" s="72" t="inlineStr">
        <is>
          <t>Courtney Scoby</t>
        </is>
      </c>
      <c r="L193" s="81" t="n">
        <v>1542</v>
      </c>
      <c r="M193" s="81">
        <f>Y193</f>
        <v/>
      </c>
      <c r="N193" s="82" t="n">
        <v>45061</v>
      </c>
      <c r="O193" s="82" t="n">
        <v>45061</v>
      </c>
      <c r="P193" s="82" t="n">
        <v>46552</v>
      </c>
      <c r="R193" s="81">
        <f>SUM(AB193:AG193)</f>
        <v/>
      </c>
      <c r="S193" s="81">
        <f>AI193</f>
        <v/>
      </c>
      <c r="T193" s="81">
        <f>AK193</f>
        <v/>
      </c>
      <c r="Y193" s="81" t="n">
        <v>1539</v>
      </c>
      <c r="AC193" s="81" t="n">
        <v>5</v>
      </c>
      <c r="AD193" s="81" t="n">
        <v>14</v>
      </c>
      <c r="AE193" s="81" t="n">
        <v>13</v>
      </c>
      <c r="AF193" s="81" t="n">
        <v>40</v>
      </c>
    </row>
    <row r="194">
      <c r="A194" s="72">
        <f>$D$25</f>
        <v/>
      </c>
      <c r="B194" s="72">
        <f>B193+1</f>
        <v/>
      </c>
      <c r="C194" s="72">
        <f>IF(K194="Vacant","Vac",IF(K194="Model","Model",IF(K194="Admin","Admin",IF(K194="Down","Down",IF(K194="Super","Super","Occ")))))</f>
        <v/>
      </c>
      <c r="D194" s="72">
        <f>INDEX($C$5:$C$12,MATCH(I194,$D$5:$D$12,0))</f>
        <v/>
      </c>
      <c r="E194" s="72">
        <f>INDEX($E$5:$E$12,MATCH(D194,$C$5:$C$12,0))</f>
        <v/>
      </c>
      <c r="F194" s="72">
        <f>INDEX($F$5:$F$12,MATCH(D194,$C$5:$C$12,0))</f>
        <v/>
      </c>
      <c r="G194" s="72">
        <f>INDEX($G$5:$G$12,MATCH(D194,$C$5:$C$12,0))</f>
        <v/>
      </c>
      <c r="H194" s="72" t="inlineStr">
        <is>
          <t>163</t>
        </is>
      </c>
      <c r="I194" s="72" t="inlineStr">
        <is>
          <t>stc_a1</t>
        </is>
      </c>
      <c r="J194" s="80" t="n">
        <v>731</v>
      </c>
      <c r="K194" s="72" t="inlineStr">
        <is>
          <t>Micah Smith</t>
        </is>
      </c>
      <c r="L194" s="81" t="n">
        <v>1264</v>
      </c>
      <c r="M194" s="81">
        <f>Y194</f>
        <v/>
      </c>
      <c r="N194" s="82" t="n">
        <v>45889</v>
      </c>
      <c r="O194" s="82" t="n">
        <v>45889</v>
      </c>
      <c r="P194" s="82" t="n">
        <v>46314</v>
      </c>
      <c r="R194" s="81">
        <f>SUM(AB194:AG194)</f>
        <v/>
      </c>
      <c r="S194" s="81">
        <f>AI194</f>
        <v/>
      </c>
      <c r="T194" s="81">
        <f>AK194</f>
        <v/>
      </c>
      <c r="Y194" s="81" t="n">
        <v>1165</v>
      </c>
      <c r="AC194" s="81" t="n">
        <v>5</v>
      </c>
      <c r="AD194" s="81" t="n">
        <v>14</v>
      </c>
      <c r="AE194" s="81" t="n">
        <v>12</v>
      </c>
    </row>
    <row r="195">
      <c r="A195" s="72">
        <f>$D$25</f>
        <v/>
      </c>
      <c r="B195" s="72">
        <f>B194+1</f>
        <v/>
      </c>
      <c r="C195" s="72">
        <f>IF(K195="Vacant","Vac",IF(K195="Model","Model",IF(K195="Admin","Admin",IF(K195="Down","Down",IF(K195="Super","Super","Occ")))))</f>
        <v/>
      </c>
      <c r="D195" s="72">
        <f>INDEX($C$5:$C$12,MATCH(I195,$D$5:$D$12,0))</f>
        <v/>
      </c>
      <c r="E195" s="72">
        <f>INDEX($E$5:$E$12,MATCH(D195,$C$5:$C$12,0))</f>
        <v/>
      </c>
      <c r="F195" s="72">
        <f>INDEX($F$5:$F$12,MATCH(D195,$C$5:$C$12,0))</f>
        <v/>
      </c>
      <c r="G195" s="72">
        <f>INDEX($G$5:$G$12,MATCH(D195,$C$5:$C$12,0))</f>
        <v/>
      </c>
      <c r="H195" s="72" t="inlineStr">
        <is>
          <t>164</t>
        </is>
      </c>
      <c r="I195" s="72" t="inlineStr">
        <is>
          <t>stc_a3</t>
        </is>
      </c>
      <c r="J195" s="80" t="n">
        <v>987</v>
      </c>
      <c r="K195" s="72" t="inlineStr">
        <is>
          <t>Gary Ge</t>
        </is>
      </c>
      <c r="L195" s="81" t="n">
        <v>1194</v>
      </c>
      <c r="M195" s="81">
        <f>Y195</f>
        <v/>
      </c>
      <c r="N195" s="82" t="n">
        <v>42872</v>
      </c>
      <c r="O195" s="82" t="n">
        <v>42872</v>
      </c>
      <c r="P195" s="82" t="n">
        <v>46219</v>
      </c>
      <c r="R195" s="81">
        <f>SUM(AB195:AG195)</f>
        <v/>
      </c>
      <c r="S195" s="81">
        <f>AI195</f>
        <v/>
      </c>
      <c r="T195" s="81">
        <f>AK195</f>
        <v/>
      </c>
      <c r="Y195" s="81" t="n">
        <v>1136</v>
      </c>
      <c r="AC195" s="81" t="n">
        <v>5</v>
      </c>
      <c r="AD195" s="81" t="n">
        <v>14</v>
      </c>
      <c r="AE195" s="81" t="n">
        <v>12</v>
      </c>
      <c r="AF195" s="81" t="n">
        <v>40</v>
      </c>
    </row>
    <row r="196">
      <c r="A196" s="72">
        <f>$D$25</f>
        <v/>
      </c>
      <c r="B196" s="72">
        <f>B195+1</f>
        <v/>
      </c>
      <c r="C196" s="72">
        <f>IF(K196="Vacant","Vac",IF(K196="Model","Model",IF(K196="Admin","Admin",IF(K196="Down","Down",IF(K196="Super","Super","Occ")))))</f>
        <v/>
      </c>
      <c r="D196" s="72">
        <f>INDEX($C$5:$C$12,MATCH(I196,$D$5:$D$12,0))</f>
        <v/>
      </c>
      <c r="E196" s="72">
        <f>INDEX($E$5:$E$12,MATCH(D196,$C$5:$C$12,0))</f>
        <v/>
      </c>
      <c r="F196" s="72">
        <f>INDEX($F$5:$F$12,MATCH(D196,$C$5:$C$12,0))</f>
        <v/>
      </c>
      <c r="G196" s="72">
        <f>INDEX($G$5:$G$12,MATCH(D196,$C$5:$C$12,0))</f>
        <v/>
      </c>
      <c r="H196" s="72" t="inlineStr">
        <is>
          <t>165</t>
        </is>
      </c>
      <c r="I196" s="72" t="inlineStr">
        <is>
          <t>stc_a1</t>
        </is>
      </c>
      <c r="J196" s="80" t="n">
        <v>731</v>
      </c>
      <c r="K196" s="72" t="inlineStr">
        <is>
          <t>Thomas Diggins</t>
        </is>
      </c>
      <c r="L196" s="81" t="n">
        <v>1264</v>
      </c>
      <c r="M196" s="81">
        <f>Y196</f>
        <v/>
      </c>
      <c r="N196" s="82" t="n">
        <v>45911</v>
      </c>
      <c r="O196" s="82" t="n">
        <v>45911</v>
      </c>
      <c r="P196" s="82" t="n">
        <v>46366</v>
      </c>
      <c r="R196" s="81">
        <f>SUM(AB196:AG196)</f>
        <v/>
      </c>
      <c r="S196" s="81">
        <f>AI196</f>
        <v/>
      </c>
      <c r="T196" s="81">
        <f>AK196</f>
        <v/>
      </c>
      <c r="Y196" s="81" t="n">
        <v>1151</v>
      </c>
      <c r="AC196" s="81" t="n">
        <v>5</v>
      </c>
      <c r="AD196" s="81" t="n">
        <v>14</v>
      </c>
      <c r="AE196" s="81" t="n">
        <v>12</v>
      </c>
    </row>
    <row r="197">
      <c r="A197" s="72">
        <f>$D$25</f>
        <v/>
      </c>
      <c r="B197" s="72">
        <f>B196+1</f>
        <v/>
      </c>
      <c r="C197" s="72">
        <f>IF(K197="Vacant","Vac",IF(K197="Model","Model",IF(K197="Admin","Admin",IF(K197="Down","Down",IF(K197="Super","Super","Occ")))))</f>
        <v/>
      </c>
      <c r="D197" s="72">
        <f>INDEX($C$5:$C$12,MATCH(I197,$D$5:$D$12,0))</f>
        <v/>
      </c>
      <c r="E197" s="72">
        <f>INDEX($E$5:$E$12,MATCH(D197,$C$5:$C$12,0))</f>
        <v/>
      </c>
      <c r="F197" s="72">
        <f>INDEX($F$5:$F$12,MATCH(D197,$C$5:$C$12,0))</f>
        <v/>
      </c>
      <c r="G197" s="72">
        <f>INDEX($G$5:$G$12,MATCH(D197,$C$5:$C$12,0))</f>
        <v/>
      </c>
      <c r="H197" s="72" t="inlineStr">
        <is>
          <t>166</t>
        </is>
      </c>
      <c r="I197" s="72" t="inlineStr">
        <is>
          <t>stc_a3</t>
        </is>
      </c>
      <c r="J197" s="80" t="n">
        <v>987</v>
      </c>
      <c r="K197" s="72" t="inlineStr">
        <is>
          <t>Codi Harrell</t>
        </is>
      </c>
      <c r="L197" s="81" t="n">
        <v>1319</v>
      </c>
      <c r="M197" s="81">
        <f>Y197</f>
        <v/>
      </c>
      <c r="N197" s="82" t="n">
        <v>45889</v>
      </c>
      <c r="O197" s="82" t="n">
        <v>45889</v>
      </c>
      <c r="P197" s="82" t="n">
        <v>46253</v>
      </c>
      <c r="R197" s="81">
        <f>SUM(AB197:AG197)</f>
        <v/>
      </c>
      <c r="S197" s="81">
        <f>AI197</f>
        <v/>
      </c>
      <c r="T197" s="81">
        <f>AK197</f>
        <v/>
      </c>
      <c r="Y197" s="81" t="n">
        <v>1301</v>
      </c>
      <c r="AB197" s="81" t="n">
        <v>35</v>
      </c>
      <c r="AC197" s="81" t="n">
        <v>5</v>
      </c>
      <c r="AD197" s="81" t="n">
        <v>14</v>
      </c>
      <c r="AE197" s="81" t="n">
        <v>12</v>
      </c>
    </row>
    <row r="198">
      <c r="A198" s="72">
        <f>$D$25</f>
        <v/>
      </c>
      <c r="B198" s="72">
        <f>B197+1</f>
        <v/>
      </c>
      <c r="C198" s="72">
        <f>IF(K198="Vacant","Vac",IF(K198="Model","Model",IF(K198="Admin","Admin",IF(K198="Down","Down",IF(K198="Super","Super","Occ")))))</f>
        <v/>
      </c>
      <c r="D198" s="72">
        <f>INDEX($C$5:$C$12,MATCH(I198,$D$5:$D$12,0))</f>
        <v/>
      </c>
      <c r="E198" s="72">
        <f>INDEX($E$5:$E$12,MATCH(D198,$C$5:$C$12,0))</f>
        <v/>
      </c>
      <c r="F198" s="72">
        <f>INDEX($F$5:$F$12,MATCH(D198,$C$5:$C$12,0))</f>
        <v/>
      </c>
      <c r="G198" s="72">
        <f>INDEX($G$5:$G$12,MATCH(D198,$C$5:$C$12,0))</f>
        <v/>
      </c>
      <c r="H198" s="72" t="inlineStr">
        <is>
          <t>167</t>
        </is>
      </c>
      <c r="I198" s="72" t="inlineStr">
        <is>
          <t>stc_b1</t>
        </is>
      </c>
      <c r="J198" s="80" t="n">
        <v>1204</v>
      </c>
      <c r="K198" s="72" t="inlineStr">
        <is>
          <t>Lisa Howard</t>
        </is>
      </c>
      <c r="L198" s="81" t="n">
        <v>1443</v>
      </c>
      <c r="M198" s="81">
        <f>Y198</f>
        <v/>
      </c>
      <c r="N198" s="82" t="n">
        <v>44121</v>
      </c>
      <c r="O198" s="82" t="n">
        <v>44121</v>
      </c>
      <c r="P198" s="82" t="n">
        <v>46493</v>
      </c>
      <c r="R198" s="81">
        <f>SUM(AB198:AG198)</f>
        <v/>
      </c>
      <c r="S198" s="81">
        <f>AI198</f>
        <v/>
      </c>
      <c r="T198" s="81">
        <f>AK198</f>
        <v/>
      </c>
      <c r="Y198" s="81" t="n">
        <v>1461</v>
      </c>
      <c r="AC198" s="81" t="n">
        <v>5</v>
      </c>
      <c r="AD198" s="81" t="n">
        <v>14</v>
      </c>
      <c r="AE198" s="81" t="n">
        <v>13</v>
      </c>
      <c r="AF198" s="81" t="n">
        <v>40</v>
      </c>
    </row>
    <row r="199">
      <c r="A199" s="72">
        <f>$D$25</f>
        <v/>
      </c>
      <c r="B199" s="72">
        <f>B198+1</f>
        <v/>
      </c>
      <c r="C199" s="72">
        <f>IF(K199="Vacant","Vac",IF(K199="Model","Model",IF(K199="Admin","Admin",IF(K199="Down","Down",IF(K199="Super","Super","Occ")))))</f>
        <v/>
      </c>
      <c r="D199" s="72">
        <f>INDEX($C$5:$C$12,MATCH(I199,$D$5:$D$12,0))</f>
        <v/>
      </c>
      <c r="E199" s="72">
        <f>INDEX($E$5:$E$12,MATCH(D199,$C$5:$C$12,0))</f>
        <v/>
      </c>
      <c r="F199" s="72">
        <f>INDEX($F$5:$F$12,MATCH(D199,$C$5:$C$12,0))</f>
        <v/>
      </c>
      <c r="G199" s="72">
        <f>INDEX($G$5:$G$12,MATCH(D199,$C$5:$C$12,0))</f>
        <v/>
      </c>
      <c r="H199" s="72" t="inlineStr">
        <is>
          <t>168</t>
        </is>
      </c>
      <c r="I199" s="72" t="inlineStr">
        <is>
          <t>stc_b1</t>
        </is>
      </c>
      <c r="J199" s="80" t="n">
        <v>1204</v>
      </c>
      <c r="K199" s="72" t="inlineStr">
        <is>
          <t>James Spates</t>
        </is>
      </c>
      <c r="L199" s="81" t="n">
        <v>1318</v>
      </c>
      <c r="M199" s="81">
        <f>Y199</f>
        <v/>
      </c>
      <c r="N199" s="82" t="n">
        <v>42016</v>
      </c>
      <c r="O199" s="82" t="n">
        <v>42016</v>
      </c>
      <c r="P199" s="82" t="n">
        <v>46245</v>
      </c>
      <c r="R199" s="81">
        <f>SUM(AB199:AG199)</f>
        <v/>
      </c>
      <c r="S199" s="81">
        <f>AI199</f>
        <v/>
      </c>
      <c r="T199" s="81">
        <f>AK199</f>
        <v/>
      </c>
      <c r="Y199" s="81" t="n">
        <v>1320</v>
      </c>
      <c r="AC199" s="81" t="n">
        <v>5</v>
      </c>
      <c r="AD199" s="81" t="n">
        <v>14</v>
      </c>
      <c r="AE199" s="81" t="n">
        <v>12</v>
      </c>
      <c r="AF199" s="81" t="n">
        <v>40</v>
      </c>
    </row>
    <row r="200">
      <c r="A200" s="72">
        <f>$D$25</f>
        <v/>
      </c>
      <c r="B200" s="72">
        <f>B199+1</f>
        <v/>
      </c>
      <c r="C200" s="72">
        <f>IF(K200="Vacant","Vac",IF(K200="Model","Model",IF(K200="Admin","Admin",IF(K200="Down","Down",IF(K200="Super","Super","Occ")))))</f>
        <v/>
      </c>
      <c r="D200" s="72">
        <f>INDEX($C$5:$C$12,MATCH(I200,$D$5:$D$12,0))</f>
        <v/>
      </c>
      <c r="E200" s="72">
        <f>INDEX($E$5:$E$12,MATCH(D200,$C$5:$C$12,0))</f>
        <v/>
      </c>
      <c r="F200" s="72">
        <f>INDEX($F$5:$F$12,MATCH(D200,$C$5:$C$12,0))</f>
        <v/>
      </c>
      <c r="G200" s="72">
        <f>INDEX($G$5:$G$12,MATCH(D200,$C$5:$C$12,0))</f>
        <v/>
      </c>
      <c r="H200" s="72" t="inlineStr">
        <is>
          <t>169</t>
        </is>
      </c>
      <c r="I200" s="72" t="inlineStr">
        <is>
          <t>stc_b4</t>
        </is>
      </c>
      <c r="J200" s="80" t="n">
        <v>1405</v>
      </c>
      <c r="K200" s="72" t="inlineStr">
        <is>
          <t>Jamison Brashars</t>
        </is>
      </c>
      <c r="L200" s="81" t="n">
        <v>1512</v>
      </c>
      <c r="M200" s="81">
        <f>Y200</f>
        <v/>
      </c>
      <c r="N200" s="82" t="n">
        <v>46123</v>
      </c>
      <c r="O200" s="82" t="n">
        <v>46123</v>
      </c>
      <c r="P200" s="82" t="n">
        <v>46487</v>
      </c>
      <c r="R200" s="81">
        <f>SUM(AB200:AG200)</f>
        <v/>
      </c>
      <c r="S200" s="81">
        <f>AI200</f>
        <v/>
      </c>
      <c r="T200" s="81">
        <f>AK200</f>
        <v/>
      </c>
      <c r="Y200" s="81" t="n">
        <v>1556</v>
      </c>
      <c r="AB200" s="81" t="n">
        <v>60</v>
      </c>
      <c r="AC200" s="81" t="n">
        <v>5</v>
      </c>
      <c r="AD200" s="81" t="n">
        <v>14</v>
      </c>
      <c r="AE200" s="81" t="n">
        <v>12</v>
      </c>
    </row>
    <row r="201">
      <c r="A201" s="72">
        <f>$D$25</f>
        <v/>
      </c>
      <c r="B201" s="72">
        <f>B200+1</f>
        <v/>
      </c>
      <c r="C201" s="72">
        <f>IF(K201="Vacant","Vac",IF(K201="Model","Model",IF(K201="Admin","Admin",IF(K201="Down","Down",IF(K201="Super","Super","Occ")))))</f>
        <v/>
      </c>
      <c r="D201" s="72">
        <f>INDEX($C$5:$C$12,MATCH(I201,$D$5:$D$12,0))</f>
        <v/>
      </c>
      <c r="E201" s="72">
        <f>INDEX($E$5:$E$12,MATCH(D201,$C$5:$C$12,0))</f>
        <v/>
      </c>
      <c r="F201" s="72">
        <f>INDEX($F$5:$F$12,MATCH(D201,$C$5:$C$12,0))</f>
        <v/>
      </c>
      <c r="G201" s="72">
        <f>INDEX($G$5:$G$12,MATCH(D201,$C$5:$C$12,0))</f>
        <v/>
      </c>
      <c r="H201" s="72" t="inlineStr">
        <is>
          <t>170</t>
        </is>
      </c>
      <c r="I201" s="72" t="inlineStr">
        <is>
          <t>stc_b1</t>
        </is>
      </c>
      <c r="J201" s="80" t="n">
        <v>1204</v>
      </c>
      <c r="K201" s="72" t="inlineStr">
        <is>
          <t>Nicholas Kling</t>
        </is>
      </c>
      <c r="L201" s="81" t="n">
        <v>1443</v>
      </c>
      <c r="M201" s="81">
        <f>Y201</f>
        <v/>
      </c>
      <c r="N201" s="82" t="n">
        <v>44030</v>
      </c>
      <c r="O201" s="82" t="n">
        <v>44030</v>
      </c>
      <c r="P201" s="82" t="n">
        <v>46251</v>
      </c>
      <c r="R201" s="81">
        <f>SUM(AB201:AG201)</f>
        <v/>
      </c>
      <c r="S201" s="81">
        <f>AI201</f>
        <v/>
      </c>
      <c r="T201" s="81">
        <f>AK201</f>
        <v/>
      </c>
      <c r="Y201" s="81" t="n">
        <v>1420</v>
      </c>
      <c r="AB201" s="81" t="n">
        <v>60</v>
      </c>
      <c r="AC201" s="81" t="n">
        <v>5</v>
      </c>
      <c r="AD201" s="81" t="n">
        <v>12</v>
      </c>
      <c r="AE201" s="81" t="n">
        <v>12</v>
      </c>
      <c r="AF201" s="81" t="n">
        <v>80</v>
      </c>
    </row>
    <row r="202">
      <c r="A202" s="72">
        <f>$D$25</f>
        <v/>
      </c>
      <c r="B202" s="72">
        <f>B201+1</f>
        <v/>
      </c>
      <c r="C202" s="72">
        <f>IF(K202="Vacant","Vac",IF(K202="Model","Model",IF(K202="Admin","Admin",IF(K202="Down","Down",IF(K202="Super","Super","Occ")))))</f>
        <v/>
      </c>
      <c r="D202" s="72">
        <f>INDEX($C$5:$C$12,MATCH(I202,$D$5:$D$12,0))</f>
        <v/>
      </c>
      <c r="E202" s="72">
        <f>INDEX($E$5:$E$12,MATCH(D202,$C$5:$C$12,0))</f>
        <v/>
      </c>
      <c r="F202" s="72">
        <f>INDEX($F$5:$F$12,MATCH(D202,$C$5:$C$12,0))</f>
        <v/>
      </c>
      <c r="G202" s="72">
        <f>INDEX($G$5:$G$12,MATCH(D202,$C$5:$C$12,0))</f>
        <v/>
      </c>
      <c r="H202" s="72" t="inlineStr">
        <is>
          <t>171</t>
        </is>
      </c>
      <c r="I202" s="72" t="inlineStr">
        <is>
          <t>stc_b1</t>
        </is>
      </c>
      <c r="J202" s="80" t="n">
        <v>1204</v>
      </c>
      <c r="K202" s="72" t="inlineStr">
        <is>
          <t>Chiamaka Akosa</t>
        </is>
      </c>
      <c r="L202" s="81" t="n">
        <v>1443</v>
      </c>
      <c r="M202" s="81">
        <f>Y202</f>
        <v/>
      </c>
      <c r="N202" s="82" t="n">
        <v>45827</v>
      </c>
      <c r="O202" s="82" t="n">
        <v>45827</v>
      </c>
      <c r="P202" s="82" t="n">
        <v>46556</v>
      </c>
      <c r="R202" s="81">
        <f>SUM(AB202:AG202)</f>
        <v/>
      </c>
      <c r="S202" s="81">
        <f>AI202</f>
        <v/>
      </c>
      <c r="T202" s="81">
        <f>AK202</f>
        <v/>
      </c>
      <c r="Y202" s="81" t="n">
        <v>1625</v>
      </c>
      <c r="AC202" s="81" t="n">
        <v>5</v>
      </c>
      <c r="AD202" s="81" t="n">
        <v>14</v>
      </c>
      <c r="AE202" s="81" t="n">
        <v>13</v>
      </c>
      <c r="AF202" s="81" t="n">
        <v>50</v>
      </c>
    </row>
    <row r="203">
      <c r="A203" s="83">
        <f>$D$25</f>
        <v/>
      </c>
      <c r="B203" s="83">
        <f>B202+1</f>
        <v/>
      </c>
      <c r="C203" s="83">
        <f>IF(K203="Vacant","Vac",IF(K203="Model","Model",IF(K203="Admin","Admin",IF(K203="Down","Down",IF(K203="Super","Super","Occ")))))</f>
        <v/>
      </c>
      <c r="D203" s="83">
        <f>INDEX($C$5:$C$12,MATCH(I203,$D$5:$D$12,0))</f>
        <v/>
      </c>
      <c r="E203" s="83">
        <f>INDEX($E$5:$E$12,MATCH(D203,$C$5:$C$12,0))</f>
        <v/>
      </c>
      <c r="F203" s="83">
        <f>INDEX($F$5:$F$12,MATCH(D203,$C$5:$C$12,0))</f>
        <v/>
      </c>
      <c r="G203" s="83">
        <f>INDEX($G$5:$G$12,MATCH(D203,$C$5:$C$12,0))</f>
        <v/>
      </c>
      <c r="H203" s="83" t="inlineStr">
        <is>
          <t>172</t>
        </is>
      </c>
      <c r="I203" s="83" t="inlineStr">
        <is>
          <t>stc_b4</t>
        </is>
      </c>
      <c r="J203" s="84" t="n">
        <v>1405</v>
      </c>
      <c r="K203" s="83" t="inlineStr">
        <is>
          <t>Vacant</t>
        </is>
      </c>
      <c r="L203" s="85" t="n">
        <v>3106</v>
      </c>
      <c r="M203" s="85">
        <f>Y203</f>
        <v/>
      </c>
      <c r="N203" s="86" t="n"/>
      <c r="O203" s="86" t="n"/>
      <c r="P203" s="86" t="n"/>
      <c r="Q203" s="86" t="n"/>
      <c r="R203" s="85">
        <f>SUM(AB203:AG203)</f>
        <v/>
      </c>
      <c r="S203" s="85">
        <f>AI203</f>
        <v/>
      </c>
      <c r="T203" s="85">
        <f>AK203</f>
        <v/>
      </c>
      <c r="U203" s="86" t="n"/>
      <c r="V203" s="86" t="n"/>
      <c r="W203" s="86" t="n"/>
      <c r="X203" s="86" t="n"/>
      <c r="Y203" s="85" t="n">
        <v>0</v>
      </c>
      <c r="Z203" s="86" t="n"/>
      <c r="AA203" s="86" t="n"/>
      <c r="AB203" s="86" t="n"/>
      <c r="AC203" s="86" t="n"/>
      <c r="AD203" s="86" t="n"/>
      <c r="AE203" s="86" t="n"/>
      <c r="AF203" s="86" t="n"/>
      <c r="AG203" s="86" t="n"/>
      <c r="AH203" s="86" t="n"/>
      <c r="AI203" s="86" t="n"/>
      <c r="AJ203" s="86" t="n"/>
      <c r="AK203" s="86" t="n"/>
    </row>
    <row r="204">
      <c r="A204" s="72">
        <f>$D$25</f>
        <v/>
      </c>
      <c r="B204" s="72">
        <f>B203+1</f>
        <v/>
      </c>
      <c r="C204" s="72">
        <f>IF(K204="Vacant","Vac",IF(K204="Model","Model",IF(K204="Admin","Admin",IF(K204="Down","Down",IF(K204="Super","Super","Occ")))))</f>
        <v/>
      </c>
      <c r="D204" s="72">
        <f>INDEX($C$5:$C$12,MATCH(I204,$D$5:$D$12,0))</f>
        <v/>
      </c>
      <c r="E204" s="72">
        <f>INDEX($E$5:$E$12,MATCH(D204,$C$5:$C$12,0))</f>
        <v/>
      </c>
      <c r="F204" s="72">
        <f>INDEX($F$5:$F$12,MATCH(D204,$C$5:$C$12,0))</f>
        <v/>
      </c>
      <c r="G204" s="72">
        <f>INDEX($G$5:$G$12,MATCH(D204,$C$5:$C$12,0))</f>
        <v/>
      </c>
      <c r="H204" s="72" t="inlineStr">
        <is>
          <t>173</t>
        </is>
      </c>
      <c r="I204" s="72" t="inlineStr">
        <is>
          <t>stc_a2</t>
        </is>
      </c>
      <c r="J204" s="80" t="n">
        <v>768</v>
      </c>
      <c r="K204" s="72" t="inlineStr">
        <is>
          <t>Kayla Grenier</t>
        </is>
      </c>
      <c r="L204" s="81" t="n">
        <v>1260</v>
      </c>
      <c r="M204" s="81">
        <f>Y204</f>
        <v/>
      </c>
      <c r="N204" s="82" t="n">
        <v>45205</v>
      </c>
      <c r="O204" s="82" t="n">
        <v>45205</v>
      </c>
      <c r="P204" s="82" t="n">
        <v>46482</v>
      </c>
      <c r="R204" s="81">
        <f>SUM(AB204:AG204)</f>
        <v/>
      </c>
      <c r="S204" s="81">
        <f>AI204</f>
        <v/>
      </c>
      <c r="T204" s="81">
        <f>AK204</f>
        <v/>
      </c>
      <c r="Y204" s="81" t="n">
        <v>1207</v>
      </c>
      <c r="AB204" s="81" t="n">
        <v>60</v>
      </c>
      <c r="AC204" s="81" t="n">
        <v>5</v>
      </c>
      <c r="AD204" s="81" t="n">
        <v>14</v>
      </c>
      <c r="AE204" s="81" t="n">
        <v>13</v>
      </c>
    </row>
    <row r="205">
      <c r="A205" s="72">
        <f>$D$25</f>
        <v/>
      </c>
      <c r="B205" s="72">
        <f>B204+1</f>
        <v/>
      </c>
      <c r="C205" s="72">
        <f>IF(K205="Vacant","Vac",IF(K205="Model","Model",IF(K205="Admin","Admin",IF(K205="Down","Down",IF(K205="Super","Super","Occ")))))</f>
        <v/>
      </c>
      <c r="D205" s="72">
        <f>INDEX($C$5:$C$12,MATCH(I205,$D$5:$D$12,0))</f>
        <v/>
      </c>
      <c r="E205" s="72">
        <f>INDEX($E$5:$E$12,MATCH(D205,$C$5:$C$12,0))</f>
        <v/>
      </c>
      <c r="F205" s="72">
        <f>INDEX($F$5:$F$12,MATCH(D205,$C$5:$C$12,0))</f>
        <v/>
      </c>
      <c r="G205" s="72">
        <f>INDEX($G$5:$G$12,MATCH(D205,$C$5:$C$12,0))</f>
        <v/>
      </c>
      <c r="H205" s="72" t="inlineStr">
        <is>
          <t>174</t>
        </is>
      </c>
      <c r="I205" s="72" t="inlineStr">
        <is>
          <t>stc_b2</t>
        </is>
      </c>
      <c r="J205" s="80" t="n">
        <v>1214</v>
      </c>
      <c r="K205" s="72" t="inlineStr">
        <is>
          <t>Niharika Reddy Amireddy</t>
        </is>
      </c>
      <c r="L205" s="81" t="n">
        <v>1456</v>
      </c>
      <c r="M205" s="81">
        <f>Y205</f>
        <v/>
      </c>
      <c r="N205" s="82" t="n">
        <v>46006</v>
      </c>
      <c r="O205" s="82" t="n">
        <v>46006</v>
      </c>
      <c r="P205" s="82" t="n">
        <v>46432</v>
      </c>
      <c r="R205" s="81">
        <f>SUM(AB205:AG205)</f>
        <v/>
      </c>
      <c r="S205" s="81">
        <f>AI205</f>
        <v/>
      </c>
      <c r="T205" s="81">
        <f>AK205</f>
        <v/>
      </c>
      <c r="Y205" s="81" t="n">
        <v>1366</v>
      </c>
      <c r="AC205" s="81" t="n">
        <v>5</v>
      </c>
      <c r="AD205" s="81" t="n">
        <v>14</v>
      </c>
      <c r="AE205" s="81" t="n">
        <v>12</v>
      </c>
    </row>
    <row r="206">
      <c r="A206" s="72">
        <f>$D$25</f>
        <v/>
      </c>
      <c r="B206" s="72">
        <f>B205+1</f>
        <v/>
      </c>
      <c r="C206" s="72">
        <f>IF(K206="Vacant","Vac",IF(K206="Model","Model",IF(K206="Admin","Admin",IF(K206="Down","Down",IF(K206="Super","Super","Occ")))))</f>
        <v/>
      </c>
      <c r="D206" s="72">
        <f>INDEX($C$5:$C$12,MATCH(I206,$D$5:$D$12,0))</f>
        <v/>
      </c>
      <c r="E206" s="72">
        <f>INDEX($E$5:$E$12,MATCH(D206,$C$5:$C$12,0))</f>
        <v/>
      </c>
      <c r="F206" s="72">
        <f>INDEX($F$5:$F$12,MATCH(D206,$C$5:$C$12,0))</f>
        <v/>
      </c>
      <c r="G206" s="72">
        <f>INDEX($G$5:$G$12,MATCH(D206,$C$5:$C$12,0))</f>
        <v/>
      </c>
      <c r="H206" s="72" t="inlineStr">
        <is>
          <t>175</t>
        </is>
      </c>
      <c r="I206" s="72" t="inlineStr">
        <is>
          <t>stc_a1</t>
        </is>
      </c>
      <c r="J206" s="80" t="n">
        <v>731</v>
      </c>
      <c r="K206" s="72" t="inlineStr">
        <is>
          <t>Dalton Williams</t>
        </is>
      </c>
      <c r="L206" s="81" t="n">
        <v>1129</v>
      </c>
      <c r="M206" s="81">
        <f>Y206</f>
        <v/>
      </c>
      <c r="N206" s="82" t="n">
        <v>45607</v>
      </c>
      <c r="O206" s="82" t="n">
        <v>45607</v>
      </c>
      <c r="P206" s="82" t="n">
        <v>46336</v>
      </c>
      <c r="R206" s="81">
        <f>SUM(AB206:AG206)</f>
        <v/>
      </c>
      <c r="S206" s="81">
        <f>AI206</f>
        <v/>
      </c>
      <c r="T206" s="81">
        <f>AK206</f>
        <v/>
      </c>
      <c r="Y206" s="81" t="n">
        <v>1145</v>
      </c>
      <c r="AB206" s="81" t="n">
        <v>35</v>
      </c>
      <c r="AC206" s="81" t="n">
        <v>5</v>
      </c>
      <c r="AD206" s="81" t="n">
        <v>14</v>
      </c>
      <c r="AE206" s="81" t="n">
        <v>12</v>
      </c>
    </row>
    <row r="207">
      <c r="A207" s="72">
        <f>$D$25</f>
        <v/>
      </c>
      <c r="B207" s="72">
        <f>B206+1</f>
        <v/>
      </c>
      <c r="C207" s="72">
        <f>IF(K207="Vacant","Vac",IF(K207="Model","Model",IF(K207="Admin","Admin",IF(K207="Down","Down",IF(K207="Super","Super","Occ")))))</f>
        <v/>
      </c>
      <c r="D207" s="72">
        <f>INDEX($C$5:$C$12,MATCH(I207,$D$5:$D$12,0))</f>
        <v/>
      </c>
      <c r="E207" s="72">
        <f>INDEX($E$5:$E$12,MATCH(D207,$C$5:$C$12,0))</f>
        <v/>
      </c>
      <c r="F207" s="72">
        <f>INDEX($F$5:$F$12,MATCH(D207,$C$5:$C$12,0))</f>
        <v/>
      </c>
      <c r="G207" s="72">
        <f>INDEX($G$5:$G$12,MATCH(D207,$C$5:$C$12,0))</f>
        <v/>
      </c>
      <c r="H207" s="72" t="inlineStr">
        <is>
          <t>176</t>
        </is>
      </c>
      <c r="I207" s="72" t="inlineStr">
        <is>
          <t>stc_a3</t>
        </is>
      </c>
      <c r="J207" s="80" t="n">
        <v>987</v>
      </c>
      <c r="K207" s="72" t="inlineStr">
        <is>
          <t>Adriana Sisko</t>
        </is>
      </c>
      <c r="L207" s="81" t="n">
        <v>1309</v>
      </c>
      <c r="M207" s="81">
        <f>Y207</f>
        <v/>
      </c>
      <c r="N207" s="82" t="n">
        <v>45488</v>
      </c>
      <c r="O207" s="82" t="n">
        <v>45488</v>
      </c>
      <c r="P207" s="82" t="n">
        <v>46340</v>
      </c>
      <c r="R207" s="81">
        <f>SUM(AB207:AG207)</f>
        <v/>
      </c>
      <c r="S207" s="81">
        <f>AI207</f>
        <v/>
      </c>
      <c r="T207" s="81">
        <f>AK207</f>
        <v/>
      </c>
      <c r="Y207" s="81" t="n">
        <v>1378</v>
      </c>
      <c r="AB207" s="81" t="n">
        <v>35</v>
      </c>
      <c r="AC207" s="81" t="n">
        <v>5</v>
      </c>
      <c r="AD207" s="81" t="n">
        <v>14</v>
      </c>
      <c r="AE207" s="81" t="n">
        <v>12</v>
      </c>
    </row>
    <row r="208">
      <c r="A208" s="72">
        <f>$D$25</f>
        <v/>
      </c>
      <c r="B208" s="72">
        <f>B207+1</f>
        <v/>
      </c>
      <c r="C208" s="72">
        <f>IF(K208="Vacant","Vac",IF(K208="Model","Model",IF(K208="Admin","Admin",IF(K208="Down","Down",IF(K208="Super","Super","Occ")))))</f>
        <v/>
      </c>
      <c r="D208" s="72">
        <f>INDEX($C$5:$C$12,MATCH(I208,$D$5:$D$12,0))</f>
        <v/>
      </c>
      <c r="E208" s="72">
        <f>INDEX($E$5:$E$12,MATCH(D208,$C$5:$C$12,0))</f>
        <v/>
      </c>
      <c r="F208" s="72">
        <f>INDEX($F$5:$F$12,MATCH(D208,$C$5:$C$12,0))</f>
        <v/>
      </c>
      <c r="G208" s="72">
        <f>INDEX($G$5:$G$12,MATCH(D208,$C$5:$C$12,0))</f>
        <v/>
      </c>
      <c r="H208" s="72" t="inlineStr">
        <is>
          <t>177</t>
        </is>
      </c>
      <c r="I208" s="72" t="inlineStr">
        <is>
          <t>stc_a1</t>
        </is>
      </c>
      <c r="J208" s="80" t="n">
        <v>731</v>
      </c>
      <c r="K208" s="72" t="inlineStr">
        <is>
          <t>Lori Chavarria</t>
        </is>
      </c>
      <c r="L208" s="81" t="n">
        <v>1129</v>
      </c>
      <c r="M208" s="81">
        <f>Y208</f>
        <v/>
      </c>
      <c r="N208" s="82" t="n">
        <v>45317</v>
      </c>
      <c r="O208" s="82" t="n">
        <v>45317</v>
      </c>
      <c r="P208" s="82" t="n">
        <v>46532</v>
      </c>
      <c r="R208" s="81">
        <f>SUM(AB208:AG208)</f>
        <v/>
      </c>
      <c r="S208" s="81">
        <f>AI208</f>
        <v/>
      </c>
      <c r="T208" s="81">
        <f>AK208</f>
        <v/>
      </c>
      <c r="Y208" s="81" t="n">
        <v>1131</v>
      </c>
      <c r="AC208" s="81" t="n">
        <v>5</v>
      </c>
      <c r="AD208" s="81" t="n">
        <v>14</v>
      </c>
      <c r="AE208" s="81" t="n">
        <v>13</v>
      </c>
    </row>
    <row r="209">
      <c r="A209" s="72">
        <f>$D$25</f>
        <v/>
      </c>
      <c r="B209" s="72">
        <f>B208+1</f>
        <v/>
      </c>
      <c r="C209" s="72">
        <f>IF(K209="Vacant","Vac",IF(K209="Model","Model",IF(K209="Admin","Admin",IF(K209="Down","Down",IF(K209="Super","Super","Occ")))))</f>
        <v/>
      </c>
      <c r="D209" s="72">
        <f>INDEX($C$5:$C$12,MATCH(I209,$D$5:$D$12,0))</f>
        <v/>
      </c>
      <c r="E209" s="72">
        <f>INDEX($E$5:$E$12,MATCH(D209,$C$5:$C$12,0))</f>
        <v/>
      </c>
      <c r="F209" s="72">
        <f>INDEX($F$5:$F$12,MATCH(D209,$C$5:$C$12,0))</f>
        <v/>
      </c>
      <c r="G209" s="72">
        <f>INDEX($G$5:$G$12,MATCH(D209,$C$5:$C$12,0))</f>
        <v/>
      </c>
      <c r="H209" s="72" t="inlineStr">
        <is>
          <t>178</t>
        </is>
      </c>
      <c r="I209" s="72" t="inlineStr">
        <is>
          <t>stc_a3</t>
        </is>
      </c>
      <c r="J209" s="80" t="n">
        <v>987</v>
      </c>
      <c r="K209" s="72" t="inlineStr">
        <is>
          <t>Jessica Mckinney</t>
        </is>
      </c>
      <c r="L209" s="81" t="n">
        <v>1309</v>
      </c>
      <c r="M209" s="81">
        <f>Y209</f>
        <v/>
      </c>
      <c r="N209" s="82" t="n">
        <v>46201</v>
      </c>
      <c r="O209" s="82" t="n">
        <v>46201</v>
      </c>
      <c r="P209" s="82" t="n">
        <v>46565</v>
      </c>
      <c r="R209" s="81">
        <f>SUM(AB209:AG209)</f>
        <v/>
      </c>
      <c r="S209" s="81">
        <f>AI209</f>
        <v/>
      </c>
      <c r="T209" s="81">
        <f>AK209</f>
        <v/>
      </c>
      <c r="Y209" s="81" t="n">
        <v>1455</v>
      </c>
      <c r="AB209" s="81" t="n">
        <v>35</v>
      </c>
      <c r="AC209" s="81" t="n">
        <v>5</v>
      </c>
      <c r="AD209" s="81" t="n">
        <v>14</v>
      </c>
      <c r="AE209" s="81" t="n">
        <v>13</v>
      </c>
    </row>
    <row r="210">
      <c r="A210" s="72">
        <f>$D$25</f>
        <v/>
      </c>
      <c r="B210" s="72">
        <f>B209+1</f>
        <v/>
      </c>
      <c r="C210" s="72">
        <f>IF(K210="Vacant","Vac",IF(K210="Model","Model",IF(K210="Admin","Admin",IF(K210="Down","Down",IF(K210="Super","Super","Occ")))))</f>
        <v/>
      </c>
      <c r="D210" s="72">
        <f>INDEX($C$5:$C$12,MATCH(I210,$D$5:$D$12,0))</f>
        <v/>
      </c>
      <c r="E210" s="72">
        <f>INDEX($E$5:$E$12,MATCH(D210,$C$5:$C$12,0))</f>
        <v/>
      </c>
      <c r="F210" s="72">
        <f>INDEX($F$5:$F$12,MATCH(D210,$C$5:$C$12,0))</f>
        <v/>
      </c>
      <c r="G210" s="72">
        <f>INDEX($G$5:$G$12,MATCH(D210,$C$5:$C$12,0))</f>
        <v/>
      </c>
      <c r="H210" s="72" t="inlineStr">
        <is>
          <t>179</t>
        </is>
      </c>
      <c r="I210" s="72" t="inlineStr">
        <is>
          <t>stc_a1</t>
        </is>
      </c>
      <c r="J210" s="80" t="n">
        <v>731</v>
      </c>
      <c r="K210" s="72" t="inlineStr">
        <is>
          <t>Gary Yarus</t>
        </is>
      </c>
      <c r="L210" s="81" t="n">
        <v>1129</v>
      </c>
      <c r="M210" s="81">
        <f>Y210</f>
        <v/>
      </c>
      <c r="N210" s="82" t="n">
        <v>41384</v>
      </c>
      <c r="O210" s="82" t="n">
        <v>41384</v>
      </c>
      <c r="P210" s="82" t="n">
        <v>46345</v>
      </c>
      <c r="R210" s="81">
        <f>SUM(AB210:AG210)</f>
        <v/>
      </c>
      <c r="S210" s="81">
        <f>AI210</f>
        <v/>
      </c>
      <c r="T210" s="81">
        <f>AK210</f>
        <v/>
      </c>
      <c r="Y210" s="81" t="n">
        <v>1083</v>
      </c>
      <c r="AC210" s="81" t="n">
        <v>5</v>
      </c>
      <c r="AD210" s="81" t="n">
        <v>14</v>
      </c>
      <c r="AE210" s="81" t="n">
        <v>12</v>
      </c>
    </row>
    <row r="211">
      <c r="A211" s="72">
        <f>$D$25</f>
        <v/>
      </c>
      <c r="B211" s="72">
        <f>B210+1</f>
        <v/>
      </c>
      <c r="C211" s="72">
        <f>IF(K211="Vacant","Vac",IF(K211="Model","Model",IF(K211="Admin","Admin",IF(K211="Down","Down",IF(K211="Super","Super","Occ")))))</f>
        <v/>
      </c>
      <c r="D211" s="72">
        <f>INDEX($C$5:$C$12,MATCH(I211,$D$5:$D$12,0))</f>
        <v/>
      </c>
      <c r="E211" s="72">
        <f>INDEX($E$5:$E$12,MATCH(D211,$C$5:$C$12,0))</f>
        <v/>
      </c>
      <c r="F211" s="72">
        <f>INDEX($F$5:$F$12,MATCH(D211,$C$5:$C$12,0))</f>
        <v/>
      </c>
      <c r="G211" s="72">
        <f>INDEX($G$5:$G$12,MATCH(D211,$C$5:$C$12,0))</f>
        <v/>
      </c>
      <c r="H211" s="72" t="inlineStr">
        <is>
          <t>180</t>
        </is>
      </c>
      <c r="I211" s="72" t="inlineStr">
        <is>
          <t>stc_a3</t>
        </is>
      </c>
      <c r="J211" s="80" t="n">
        <v>987</v>
      </c>
      <c r="K211" s="72" t="inlineStr">
        <is>
          <t>Amanda Barbee</t>
        </is>
      </c>
      <c r="L211" s="81" t="n">
        <v>1184</v>
      </c>
      <c r="M211" s="81">
        <f>Y211</f>
        <v/>
      </c>
      <c r="N211" s="82" t="n">
        <v>45158</v>
      </c>
      <c r="O211" s="82" t="n">
        <v>45158</v>
      </c>
      <c r="P211" s="82" t="n">
        <v>46465</v>
      </c>
      <c r="R211" s="81">
        <f>SUM(AB211:AG211)</f>
        <v/>
      </c>
      <c r="S211" s="81">
        <f>AI211</f>
        <v/>
      </c>
      <c r="T211" s="81">
        <f>AK211</f>
        <v/>
      </c>
      <c r="Y211" s="81" t="n">
        <v>1276</v>
      </c>
      <c r="AB211" s="81" t="n">
        <v>35</v>
      </c>
      <c r="AC211" s="81" t="n">
        <v>5</v>
      </c>
      <c r="AD211" s="81" t="n">
        <v>14</v>
      </c>
      <c r="AE211" s="81" t="n">
        <v>13</v>
      </c>
    </row>
    <row r="212">
      <c r="A212" s="72">
        <f>$D$25</f>
        <v/>
      </c>
      <c r="B212" s="72">
        <f>B211+1</f>
        <v/>
      </c>
      <c r="C212" s="72">
        <f>IF(K212="Vacant","Vac",IF(K212="Model","Model",IF(K212="Admin","Admin",IF(K212="Down","Down",IF(K212="Super","Super","Occ")))))</f>
        <v/>
      </c>
      <c r="D212" s="72">
        <f>INDEX($C$5:$C$12,MATCH(I212,$D$5:$D$12,0))</f>
        <v/>
      </c>
      <c r="E212" s="72">
        <f>INDEX($E$5:$E$12,MATCH(D212,$C$5:$C$12,0))</f>
        <v/>
      </c>
      <c r="F212" s="72">
        <f>INDEX($F$5:$F$12,MATCH(D212,$C$5:$C$12,0))</f>
        <v/>
      </c>
      <c r="G212" s="72">
        <f>INDEX($G$5:$G$12,MATCH(D212,$C$5:$C$12,0))</f>
        <v/>
      </c>
      <c r="H212" s="72" t="inlineStr">
        <is>
          <t>EH</t>
        </is>
      </c>
      <c r="I212" s="72" t="inlineStr">
        <is>
          <t>stc_eh</t>
        </is>
      </c>
      <c r="J212" s="80" t="n">
        <v>3400</v>
      </c>
      <c r="K212" s="72" t="inlineStr">
        <is>
          <t>Doran Davis</t>
        </is>
      </c>
      <c r="L212" s="81" t="n">
        <v>3468</v>
      </c>
      <c r="M212" s="81">
        <f>Y212</f>
        <v/>
      </c>
      <c r="N212" s="82" t="n">
        <v>46146</v>
      </c>
      <c r="O212" s="82" t="n">
        <v>46146</v>
      </c>
      <c r="P212" s="82" t="n">
        <v>46510</v>
      </c>
      <c r="R212" s="81">
        <f>SUM(AB212:AG212)</f>
        <v/>
      </c>
      <c r="S212" s="81">
        <f>AI212</f>
        <v/>
      </c>
      <c r="T212" s="81">
        <f>AK212</f>
        <v/>
      </c>
      <c r="Y212" s="81" t="n">
        <v>2600</v>
      </c>
      <c r="AB212" s="81" t="n">
        <v>35</v>
      </c>
      <c r="AC212" s="81" t="n">
        <v>5</v>
      </c>
      <c r="AD212" s="81" t="n">
        <v>14</v>
      </c>
      <c r="AE212" s="8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2026-08-03T18:13:49Z</dcterms:created>
  <dcterms:modified xsi:type="dcterms:W3CDTF">2026-08-03T18:13:49Z</dcterms:modified>
</cp:coreProperties>
</file>