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Mix &amp; RR Summary" sheetId="1" state="visible" r:id="rId1"/>
    <sheet name="Recent Leases" sheetId="2" state="visible" r:id="rId2"/>
    <sheet name="Unit Mix based on # of Beds" sheetId="3" state="visible" r:id="rId3"/>
    <sheet name="Pres. Rent Roll" sheetId="4" state="visible" r:id="rId4"/>
    <sheet name="OneLineRR" sheetId="5" state="visible" r:id="rId5"/>
    <sheet name="Sour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7">
    <numFmt numFmtId="164" formatCode="#0\ &quot;Units&quot;"/>
    <numFmt numFmtId="165" formatCode="#\ &quot;Units&quot;"/>
    <numFmt numFmtId="166" formatCode="#,##0\ &quot;SF&quot;"/>
    <numFmt numFmtId="167" formatCode="&quot;$&quot;#,##0"/>
    <numFmt numFmtId="168" formatCode="&quot;$&quot;#,##0.00"/>
    <numFmt numFmtId="169" formatCode="#,##0\ &quot;Units&quot;"/>
    <numFmt numFmtId="170" formatCode="0.0%"/>
    <numFmt numFmtId="171" formatCode="yyyy-mm-dd"/>
    <numFmt numFmtId="172" formatCode="#\ &quot;Days&quot;"/>
    <numFmt numFmtId="173" formatCode="#0\ &quot;Bed/s&quot;"/>
    <numFmt numFmtId="174" formatCode="0.#"/>
    <numFmt numFmtId="175" formatCode="&quot;$&quot;#,##0_);[Red]\(&quot;$&quot;#,##0\)"/>
    <numFmt numFmtId="176" formatCode="mm\/dd\/yyyy"/>
    <numFmt numFmtId="177" formatCode="0.0"/>
    <numFmt numFmtId="178" formatCode="_(* #,##0_);_(* \(#,##0\);_(* &quot;-&quot;??_);_(@_)"/>
    <numFmt numFmtId="179" formatCode="yyyy-mm-dd h:mm:ss"/>
    <numFmt numFmtId="180" formatCode="[$-409]m\/d\/yy"/>
  </numFmts>
  <fonts count="12">
    <font>
      <name val="Calibri"/>
      <family val="2"/>
      <color theme="1"/>
      <sz val="11"/>
      <scheme val="minor"/>
    </font>
    <font>
      <b val="1"/>
      <color theme="3"/>
      <sz val="15"/>
    </font>
    <font>
      <b val="1"/>
      <color rgb="FF808080"/>
      <sz val="15"/>
    </font>
    <font>
      <b val="1"/>
      <color theme="0"/>
      <sz val="11"/>
    </font>
    <font>
      <color theme="1"/>
      <sz val="11"/>
    </font>
    <font>
      <b val="1"/>
      <color theme="1"/>
      <sz val="11"/>
    </font>
    <font>
      <b val="1"/>
      <sz val="11"/>
    </font>
    <font>
      <b val="1"/>
      <color theme="0"/>
      <sz val="12"/>
    </font>
    <font>
      <b val="1"/>
      <color theme="0"/>
      <sz val="10"/>
    </font>
    <font>
      <b val="1"/>
      <sz val="10"/>
    </font>
    <font>
      <sz val="10"/>
    </font>
    <font>
      <color rgb="FF0000FF"/>
      <sz val="10"/>
    </font>
  </fonts>
  <fills count="6">
    <fill>
      <patternFill/>
    </fill>
    <fill>
      <patternFill patternType="gray125"/>
    </fill>
    <fill>
      <patternFill patternType="solid">
        <fgColor theme="4" tint="-0.25"/>
      </patternFill>
    </fill>
    <fill>
      <patternFill patternType="solid">
        <fgColor theme="8" tint="0.8"/>
      </patternFill>
    </fill>
    <fill>
      <patternFill patternType="solid">
        <fgColor theme="0" tint="-0.05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bottom style="thick"/>
    </border>
    <border>
      <left style="dashDot"/>
      <right style="dashDot"/>
      <top style="dashDot"/>
      <bottom style="dashDot"/>
    </border>
    <border>
      <left style="dotted"/>
      <right/>
      <top/>
      <bottom/>
    </border>
    <border>
      <top style="thin"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8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/>
    </xf>
    <xf numFmtId="0" fontId="0" fillId="4" borderId="0" pivotButton="0" quotePrefix="0" xfId="0"/>
    <xf numFmtId="169" fontId="5" fillId="4" borderId="0" applyAlignment="1" pivotButton="0" quotePrefix="0" xfId="0">
      <alignment horizontal="right"/>
    </xf>
    <xf numFmtId="170" fontId="5" fillId="4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170" fontId="4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4" fontId="6" fillId="0" borderId="2" applyAlignment="1" pivotButton="0" quotePrefix="0" xfId="0">
      <alignment horizontal="center"/>
    </xf>
    <xf numFmtId="0" fontId="3" fillId="2" borderId="0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" vertical="center"/>
    </xf>
    <xf numFmtId="172" fontId="3" fillId="2" borderId="3" applyAlignment="1" pivotButton="0" quotePrefix="0" xfId="0">
      <alignment horizontal="center" vertical="center"/>
    </xf>
    <xf numFmtId="172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 vertical="center"/>
    </xf>
    <xf numFmtId="167" fontId="4" fillId="0" borderId="3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0" fillId="3" borderId="0" pivotButton="0" quotePrefix="0" xfId="0"/>
    <xf numFmtId="167" fontId="5" fillId="3" borderId="3" applyAlignment="1" pivotButton="0" quotePrefix="0" xfId="0">
      <alignment horizontal="right" vertical="center"/>
    </xf>
    <xf numFmtId="170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center" vertical="center"/>
    </xf>
    <xf numFmtId="173" fontId="4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pivotButton="0" quotePrefix="0" xfId="0"/>
    <xf numFmtId="0" fontId="7" fillId="2" borderId="0" applyAlignment="1" pivotButton="0" quotePrefix="0" xfId="0">
      <alignment horizontal="centerContinuous" vertical="center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right"/>
    </xf>
    <xf numFmtId="174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75" fontId="4" fillId="0" borderId="0" applyAlignment="1" pivotButton="0" quotePrefix="0" xfId="0">
      <alignment horizontal="right"/>
    </xf>
    <xf numFmtId="176" fontId="4" fillId="0" borderId="0" applyAlignment="1" pivotButton="0" quotePrefix="0" xfId="0">
      <alignment horizontal="right"/>
    </xf>
    <xf numFmtId="14" fontId="5" fillId="0" borderId="0" applyAlignment="1" pivotButton="0" quotePrefix="0" xfId="0">
      <alignment horizontal="left"/>
    </xf>
    <xf numFmtId="0" fontId="0" fillId="0" borderId="4" pivotButton="0" quotePrefix="0" xfId="0"/>
    <xf numFmtId="169" fontId="5" fillId="0" borderId="4" applyAlignment="1" pivotButton="0" quotePrefix="0" xfId="0">
      <alignment horizontal="center"/>
    </xf>
    <xf numFmtId="166" fontId="5" fillId="0" borderId="4" applyAlignment="1" pivotButton="0" quotePrefix="0" xfId="0">
      <alignment horizontal="right"/>
    </xf>
    <xf numFmtId="175" fontId="5" fillId="0" borderId="4" applyAlignment="1" pivotButton="0" quotePrefix="0" xfId="0">
      <alignment horizontal="right"/>
    </xf>
    <xf numFmtId="167" fontId="4" fillId="0" borderId="4" applyAlignment="1" pivotButton="0" quotePrefix="0" xfId="0">
      <alignment horizontal="center"/>
    </xf>
    <xf numFmtId="10" fontId="4" fillId="0" borderId="4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10" fillId="5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5" borderId="0" applyAlignment="1" pivotButton="0" quotePrefix="0" xfId="0">
      <alignment horizontal="center"/>
    </xf>
    <xf numFmtId="177" fontId="10" fillId="5" borderId="0" applyAlignment="1" pivotButton="0" quotePrefix="0" xfId="0">
      <alignment horizontal="center"/>
    </xf>
    <xf numFmtId="3" fontId="10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0" fillId="0" borderId="0" pivotButton="0" quotePrefix="0" xfId="0"/>
    <xf numFmtId="14" fontId="9" fillId="0" borderId="0" applyAlignment="1" pivotButton="0" quotePrefix="0" xfId="0">
      <alignment horizontal="left"/>
    </xf>
    <xf numFmtId="178" fontId="10" fillId="0" borderId="0" pivotButton="0" quotePrefix="0" xfId="0"/>
    <xf numFmtId="4" fontId="10" fillId="0" borderId="0" applyAlignment="1" pivotButton="0" quotePrefix="0" xfId="0">
      <alignment horizontal="right"/>
    </xf>
    <xf numFmtId="176" fontId="10" fillId="0" borderId="0" applyAlignment="1" pivotButton="0" quotePrefix="0" xfId="0">
      <alignment horizontal="right"/>
    </xf>
    <xf numFmtId="0" fontId="11" fillId="5" borderId="0" applyAlignment="1" pivotButton="0" quotePrefix="0" xfId="0">
      <alignment horizontal="left"/>
    </xf>
    <xf numFmtId="178" fontId="11" fillId="5" borderId="0" pivotButton="0" quotePrefix="0" xfId="0"/>
    <xf numFmtId="4" fontId="11" fillId="5" borderId="0" applyAlignment="1" pivotButton="0" quotePrefix="0" xfId="0">
      <alignment horizontal="right"/>
    </xf>
    <xf numFmtId="0" fontId="11" fillId="5" borderId="0" pivotButton="0" quotePrefix="0" xfId="0"/>
    <xf numFmtId="4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8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W51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29.6" customWidth="1" min="4" max="4"/>
    <col width="2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Hertel Homes</t>
        </is>
      </c>
    </row>
    <row r="5">
      <c r="C5" s="3" t="n"/>
      <c r="D5" s="4" t="inlineStr">
        <is>
          <t>Property Name</t>
        </is>
      </c>
      <c r="E5" s="4" t="inlineStr">
        <is>
          <t>Floor Plan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Hertel Homes</t>
        </is>
      </c>
      <c r="E6" s="7" t="inlineStr">
        <is>
          <t>1 Bed 1 Bath</t>
        </is>
      </c>
      <c r="F6" s="8" t="n">
        <v>21</v>
      </c>
      <c r="G6" s="9" t="n">
        <v>25</v>
      </c>
      <c r="H6" s="10" t="n">
        <v>28709</v>
      </c>
      <c r="I6" s="10" t="n">
        <v>1148.36</v>
      </c>
      <c r="J6" s="11" t="n">
        <v>29695</v>
      </c>
      <c r="K6" s="11" t="n">
        <v>1187.8</v>
      </c>
      <c r="L6" s="12" t="n">
        <v>1.034344630603643</v>
      </c>
      <c r="M6" s="11" t="n">
        <v>24140</v>
      </c>
      <c r="N6" s="11" t="n">
        <v>1149.52380952381</v>
      </c>
      <c r="O6" s="12" t="n">
        <v>1.00078769536918</v>
      </c>
      <c r="P6" s="11" t="n">
        <v>1195</v>
      </c>
      <c r="Q6" s="11" t="n">
        <v>50</v>
      </c>
      <c r="S6" s="10" t="n">
        <v>24121</v>
      </c>
    </row>
    <row r="7">
      <c r="D7" s="7" t="inlineStr">
        <is>
          <t>Hertel Homes</t>
        </is>
      </c>
      <c r="E7" s="7" t="inlineStr">
        <is>
          <t>2 Bed 1 Bath</t>
        </is>
      </c>
      <c r="F7" s="8" t="n">
        <v>83</v>
      </c>
      <c r="G7" s="9" t="n">
        <v>92</v>
      </c>
      <c r="H7" s="10" t="n">
        <v>122555</v>
      </c>
      <c r="I7" s="10" t="n">
        <v>1332.119565217391</v>
      </c>
      <c r="J7" s="11" t="n">
        <v>121250</v>
      </c>
      <c r="K7" s="11" t="n">
        <v>1317.934782608696</v>
      </c>
      <c r="L7" s="12" t="n">
        <v>0.9893517196360817</v>
      </c>
      <c r="M7" s="11" t="n">
        <v>100836</v>
      </c>
      <c r="N7" s="11" t="n">
        <v>1214.89156626506</v>
      </c>
      <c r="O7" s="12" t="n">
        <v>0.9121385087155922</v>
      </c>
      <c r="P7" s="11" t="n">
        <v>1500</v>
      </c>
      <c r="Q7" s="11" t="n">
        <v>1210</v>
      </c>
      <c r="S7" s="10" t="n">
        <v>110549</v>
      </c>
    </row>
    <row r="8">
      <c r="D8" s="7" t="inlineStr">
        <is>
          <t>Hertel Homes</t>
        </is>
      </c>
      <c r="E8" s="7" t="inlineStr">
        <is>
          <t>3 Bed/1Bath FP</t>
        </is>
      </c>
      <c r="F8" s="8" t="n">
        <v>10</v>
      </c>
      <c r="G8" s="9" t="n">
        <v>10</v>
      </c>
      <c r="H8" s="10" t="n">
        <v>15023</v>
      </c>
      <c r="I8" s="10" t="n">
        <v>1502.3</v>
      </c>
      <c r="J8" s="11" t="n">
        <v>13950</v>
      </c>
      <c r="K8" s="11" t="n">
        <v>1395</v>
      </c>
      <c r="L8" s="12" t="n">
        <v>0.9285761831857818</v>
      </c>
      <c r="M8" s="11" t="n">
        <v>12750</v>
      </c>
      <c r="N8" s="11" t="n">
        <v>1275</v>
      </c>
      <c r="O8" s="12" t="n">
        <v>0.848698662051521</v>
      </c>
      <c r="P8" s="11" t="n">
        <v>1400</v>
      </c>
      <c r="Q8" s="11" t="n">
        <v>0</v>
      </c>
      <c r="S8" s="10" t="n">
        <v>15023</v>
      </c>
    </row>
    <row r="9">
      <c r="D9" s="7" t="inlineStr">
        <is>
          <t>Hertel Homes</t>
        </is>
      </c>
      <c r="E9" s="7" t="inlineStr">
        <is>
          <t>3 Bed/ 1Bath</t>
        </is>
      </c>
      <c r="F9" s="8" t="n">
        <v>12</v>
      </c>
      <c r="G9" s="9" t="n">
        <v>13</v>
      </c>
      <c r="H9" s="10" t="n">
        <v>19606</v>
      </c>
      <c r="I9" s="10" t="n">
        <v>1508.153846153846</v>
      </c>
      <c r="J9" s="11" t="n">
        <v>18830</v>
      </c>
      <c r="K9" s="11" t="n">
        <v>1448.461538461539</v>
      </c>
      <c r="L9" s="12" t="n">
        <v>0.9604202795062736</v>
      </c>
      <c r="M9" s="11" t="n">
        <v>17175</v>
      </c>
      <c r="N9" s="11" t="n">
        <v>1431.25</v>
      </c>
      <c r="O9" s="12" t="n">
        <v>0.9496820569532762</v>
      </c>
      <c r="P9" s="11" t="n">
        <v>1600</v>
      </c>
      <c r="Q9" s="11" t="n">
        <v>85</v>
      </c>
      <c r="S9" s="10" t="n">
        <v>18085</v>
      </c>
    </row>
    <row r="10">
      <c r="D10" s="7" t="inlineStr">
        <is>
          <t>Hertel Homes</t>
        </is>
      </c>
      <c r="E10" s="7" t="inlineStr">
        <is>
          <t>3 Bed 1.5 Bath</t>
        </is>
      </c>
      <c r="F10" s="8" t="n">
        <v>18</v>
      </c>
      <c r="G10" s="9" t="n">
        <v>18</v>
      </c>
      <c r="H10" s="10" t="n">
        <v>27231</v>
      </c>
      <c r="I10" s="10" t="n">
        <v>1512.833333333333</v>
      </c>
      <c r="J10" s="11" t="n">
        <v>26700</v>
      </c>
      <c r="K10" s="11" t="n">
        <v>1483.333333333333</v>
      </c>
      <c r="L10" s="12" t="n">
        <v>0.9805001652528368</v>
      </c>
      <c r="M10" s="11" t="n">
        <v>24485</v>
      </c>
      <c r="N10" s="11" t="n">
        <v>1360.277777777778</v>
      </c>
      <c r="O10" s="12" t="n">
        <v>0.8991590466747457</v>
      </c>
      <c r="P10" s="11" t="n">
        <v>1525</v>
      </c>
      <c r="Q10" s="11" t="n">
        <v>290</v>
      </c>
      <c r="S10" s="10" t="n">
        <v>27231</v>
      </c>
    </row>
    <row r="11">
      <c r="C11" s="13" t="inlineStr">
        <is>
          <t>Total/Wtd Average</t>
        </is>
      </c>
      <c r="D11" s="13" t="n"/>
      <c r="E11" s="13" t="n"/>
      <c r="F11" s="14" t="n">
        <v>144</v>
      </c>
      <c r="G11" s="15" t="n">
        <v>158</v>
      </c>
      <c r="H11" s="16" t="n">
        <v>213124</v>
      </c>
      <c r="I11" s="16" t="n">
        <v>1348.886075949367</v>
      </c>
      <c r="J11" s="17" t="n">
        <v>210425</v>
      </c>
      <c r="K11" s="17" t="n">
        <v>1331.803797468354</v>
      </c>
      <c r="L11" s="18" t="n">
        <v>0.9873360109607553</v>
      </c>
      <c r="M11" s="17" t="n">
        <v>179386</v>
      </c>
      <c r="N11" s="17" t="n">
        <v>1245.736111111111</v>
      </c>
      <c r="O11" s="18" t="n">
        <v>0.919885748862873</v>
      </c>
      <c r="P11" s="17" t="n">
        <v>1456.487341772152</v>
      </c>
      <c r="Q11" s="17" t="n">
        <v>1635</v>
      </c>
      <c r="S11" s="16" t="n">
        <v>195009</v>
      </c>
    </row>
    <row r="13">
      <c r="C13" s="19" t="inlineStr">
        <is>
          <t>Total Units</t>
        </is>
      </c>
      <c r="D13" s="20" t="n"/>
      <c r="E13" s="20" t="n"/>
      <c r="F13" s="20" t="n"/>
      <c r="G13" s="21" t="n">
        <v>158</v>
      </c>
    </row>
    <row r="14">
      <c r="C14" s="19" t="inlineStr">
        <is>
          <t>Occupied Units</t>
        </is>
      </c>
      <c r="D14" s="20" t="n"/>
      <c r="E14" s="20" t="n"/>
      <c r="F14" s="20" t="n"/>
      <c r="G14" s="21" t="n">
        <v>144</v>
      </c>
    </row>
    <row r="15">
      <c r="C15" s="19" t="inlineStr">
        <is>
          <t>Unit Occupancy</t>
        </is>
      </c>
      <c r="D15" s="20" t="n"/>
      <c r="E15" s="20" t="n"/>
      <c r="F15" s="20" t="n"/>
      <c r="G15" s="22" t="n">
        <v>0.9113924050632911</v>
      </c>
    </row>
    <row r="16">
      <c r="C16" s="19" t="inlineStr">
        <is>
          <t>Total Square Feet</t>
        </is>
      </c>
      <c r="D16" s="20" t="n"/>
      <c r="E16" s="20" t="n"/>
      <c r="F16" s="20" t="n"/>
      <c r="G16" s="23" t="n">
        <v>213124</v>
      </c>
    </row>
    <row r="17">
      <c r="C17" s="19" t="inlineStr">
        <is>
          <t>Occupied Square Feet</t>
        </is>
      </c>
      <c r="D17" s="20" t="n"/>
      <c r="E17" s="20" t="n"/>
      <c r="F17" s="20" t="n"/>
      <c r="G17" s="23" t="n">
        <v>195009</v>
      </c>
    </row>
    <row r="18">
      <c r="C18" s="19" t="inlineStr">
        <is>
          <t>Square Feet Occupancy</t>
        </is>
      </c>
      <c r="D18" s="20" t="n"/>
      <c r="E18" s="20" t="n"/>
      <c r="F18" s="20" t="n"/>
      <c r="G18" s="22" t="n">
        <v>0.9150025337362286</v>
      </c>
    </row>
    <row r="20">
      <c r="C20" s="19" t="inlineStr">
        <is>
          <t>Market Rent Annualized</t>
        </is>
      </c>
      <c r="D20" s="20" t="n"/>
      <c r="E20" s="20" t="n"/>
      <c r="F20" s="20" t="n"/>
      <c r="G20" s="24" t="n">
        <v>2525100</v>
      </c>
    </row>
    <row r="21">
      <c r="C21" s="19" t="inlineStr">
        <is>
          <t>In-Place Rent Annualized</t>
        </is>
      </c>
      <c r="D21" s="20" t="n"/>
      <c r="E21" s="20" t="n"/>
      <c r="F21" s="20" t="n"/>
      <c r="G21" s="24" t="n">
        <v>2152632</v>
      </c>
    </row>
    <row r="22">
      <c r="C22" s="19" t="inlineStr">
        <is>
          <t>Other Income Annualized</t>
        </is>
      </c>
      <c r="D22" s="20" t="n"/>
      <c r="E22" s="20" t="n"/>
      <c r="F22" s="20" t="n"/>
      <c r="G22" s="24" t="n">
        <v>19620</v>
      </c>
    </row>
    <row r="41">
      <c r="U41" s="25" t="inlineStr">
        <is>
          <t>Links from source data:</t>
        </is>
      </c>
    </row>
    <row r="42">
      <c r="U42" s="26" t="inlineStr">
        <is>
          <t>Total # units</t>
        </is>
      </c>
      <c r="W42" s="27" t="n">
        <v>158</v>
      </c>
    </row>
    <row r="43">
      <c r="U43" s="26" t="inlineStr">
        <is>
          <t>Occ Units</t>
        </is>
      </c>
      <c r="W43" s="27" t="n">
        <v>144</v>
      </c>
    </row>
    <row r="44">
      <c r="U44" s="26" t="inlineStr">
        <is>
          <t>Unit %Occ</t>
        </is>
      </c>
      <c r="W44" s="28" t="n">
        <v>0.9113924050632911</v>
      </c>
    </row>
    <row r="45">
      <c r="U45" s="26" t="inlineStr">
        <is>
          <t>Net Sq Ft</t>
        </is>
      </c>
      <c r="W45" s="27" t="n">
        <v>213124</v>
      </c>
    </row>
    <row r="46">
      <c r="U46" s="26" t="inlineStr">
        <is>
          <t>SF Occ</t>
        </is>
      </c>
      <c r="W46" s="27" t="n">
        <v>195009</v>
      </c>
    </row>
    <row r="47">
      <c r="U47" s="26" t="inlineStr">
        <is>
          <t>% SF Occ</t>
        </is>
      </c>
      <c r="W47" s="28" t="n">
        <v>0.9150025337362286</v>
      </c>
    </row>
    <row r="48">
      <c r="U48" s="26" t="inlineStr">
        <is>
          <t>Mkt Rent</t>
        </is>
      </c>
      <c r="W48" s="27" t="n">
        <v>210425</v>
      </c>
    </row>
    <row r="49">
      <c r="U49" s="26" t="inlineStr">
        <is>
          <t>Cont Rent</t>
        </is>
      </c>
      <c r="W49" s="27" t="n">
        <v>179386</v>
      </c>
    </row>
    <row r="50">
      <c r="U50" s="26" t="inlineStr">
        <is>
          <t>Conc</t>
        </is>
      </c>
      <c r="W50" s="27" t="n">
        <v>0</v>
      </c>
    </row>
    <row r="51">
      <c r="U51" s="26" t="inlineStr">
        <is>
          <t>Other Inc</t>
        </is>
      </c>
      <c r="W51" s="27" t="n">
        <v>1635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AB66"/>
  <sheetViews>
    <sheetView showGridLines="0" workbookViewId="0">
      <selection activeCell="A1" sqref="A1"/>
    </sheetView>
  </sheetViews>
  <sheetFormatPr baseColWidth="8" defaultRowHeight="15"/>
  <cols>
    <col width="0.6" customWidth="1" min="1" max="1"/>
    <col width="0.6" customWidth="1" min="3" max="3"/>
    <col width="28.4" customWidth="1" min="4" max="4"/>
    <col width="20.1" customWidth="1" min="5" max="5"/>
    <col width="13.6" customWidth="1" min="6" max="6"/>
    <col width="15.4" customWidth="1" min="7" max="7"/>
    <col width="13.6" customWidth="1" min="8" max="8"/>
    <col width="13.1" customWidth="1" min="9" max="9"/>
    <col width="15.4" customWidth="1" min="10" max="10"/>
    <col width="12.1" customWidth="1" min="11" max="11"/>
    <col width="14.4" customWidth="1" min="12" max="12"/>
    <col width="12.1" customWidth="1" min="14" max="14"/>
    <col width="9.6" customWidth="1" min="15" max="15"/>
    <col width="12.1" customWidth="1" min="16" max="16"/>
    <col width="9.6" customWidth="1" min="17" max="17"/>
    <col width="12.1" customWidth="1" min="18" max="18"/>
    <col width="9.6" customWidth="1" min="19" max="19"/>
    <col width="12.1" customWidth="1" min="20" max="20"/>
    <col width="9.6" customWidth="1" min="21" max="21"/>
    <col width="12.1" customWidth="1" min="22" max="22"/>
    <col width="9.6" customWidth="1" min="23" max="23"/>
    <col width="0.6" customWidth="1" min="24" max="24"/>
    <col width="16.4" customWidth="1" min="25" max="25"/>
    <col width="17.4" customWidth="1" min="26" max="26"/>
    <col width="9.4" customWidth="1" min="27" max="27"/>
  </cols>
  <sheetData>
    <row r="3">
      <c r="C3" s="1" t="inlineStr">
        <is>
          <t>RECENT LEASE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29" t="inlineStr">
        <is>
          <t>Hertel Homes</t>
        </is>
      </c>
      <c r="Y3" s="30" t="n">
        <v>46265</v>
      </c>
      <c r="Z3" s="26" t="inlineStr">
        <is>
          <t>&lt;---- RR Date</t>
        </is>
      </c>
    </row>
    <row r="5">
      <c r="C5" s="31" t="inlineStr">
        <is>
          <t>All Units</t>
        </is>
      </c>
      <c r="D5" s="31" t="n"/>
      <c r="E5" s="31" t="n"/>
      <c r="F5" s="31" t="n"/>
      <c r="G5" s="31" t="n"/>
      <c r="H5" s="31" t="n"/>
      <c r="I5" s="31" t="n"/>
      <c r="J5" s="31" t="n"/>
      <c r="K5" s="32" t="inlineStr">
        <is>
          <t>Occupied Units</t>
        </is>
      </c>
      <c r="L5" s="31" t="n"/>
      <c r="M5" s="31" t="n"/>
      <c r="N5" s="32" t="inlineStr">
        <is>
          <t>Recent Leases</t>
        </is>
      </c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</row>
    <row r="6">
      <c r="C6" s="3" t="n"/>
      <c r="D6" s="4" t="inlineStr">
        <is>
          <t>Property Name</t>
        </is>
      </c>
      <c r="E6" s="4" t="inlineStr">
        <is>
          <t>Floor Plan</t>
        </is>
      </c>
      <c r="F6" s="5" t="inlineStr">
        <is>
          <t>Occ Units</t>
        </is>
      </c>
      <c r="G6" s="5" t="inlineStr">
        <is>
          <t>Tot Units</t>
        </is>
      </c>
      <c r="H6" s="5" t="inlineStr">
        <is>
          <t>Sq. Ft</t>
        </is>
      </c>
      <c r="I6" s="5" t="inlineStr">
        <is>
          <t>Avg SF</t>
        </is>
      </c>
      <c r="J6" s="5" t="inlineStr">
        <is>
          <t>Market Rent</t>
        </is>
      </c>
      <c r="K6" s="33" t="inlineStr">
        <is>
          <t>Market Rent</t>
        </is>
      </c>
      <c r="L6" s="5" t="inlineStr">
        <is>
          <t>In-Place Rent</t>
        </is>
      </c>
      <c r="M6" s="5" t="inlineStr">
        <is>
          <t>% of Market</t>
        </is>
      </c>
      <c r="N6" s="34" t="inlineStr">
        <is>
          <t>180 Days</t>
        </is>
      </c>
      <c r="O6" s="5" t="inlineStr">
        <is>
          <t># Leases</t>
        </is>
      </c>
      <c r="P6" s="35" t="inlineStr">
        <is>
          <t>120 Days</t>
        </is>
      </c>
      <c r="Q6" s="5" t="inlineStr">
        <is>
          <t># Leases</t>
        </is>
      </c>
      <c r="R6" s="35" t="inlineStr">
        <is>
          <t>90 Days</t>
        </is>
      </c>
      <c r="S6" s="5" t="inlineStr">
        <is>
          <t># Leases</t>
        </is>
      </c>
      <c r="T6" s="35" t="inlineStr">
        <is>
          <t>60 Days</t>
        </is>
      </c>
      <c r="U6" s="5" t="inlineStr">
        <is>
          <t># Leases</t>
        </is>
      </c>
      <c r="V6" s="35" t="inlineStr">
        <is>
          <t>30 Days</t>
        </is>
      </c>
      <c r="W6" s="5" t="inlineStr">
        <is>
          <t># Leases</t>
        </is>
      </c>
    </row>
    <row r="7">
      <c r="D7" s="36" t="inlineStr">
        <is>
          <t>Hertel Homes</t>
        </is>
      </c>
      <c r="E7" s="36" t="inlineStr">
        <is>
          <t>1 Bed 1 Bath</t>
        </is>
      </c>
      <c r="F7" s="37" t="n">
        <v>21</v>
      </c>
      <c r="G7" s="9" t="n">
        <v>25</v>
      </c>
      <c r="H7" s="10" t="n">
        <v>28709</v>
      </c>
      <c r="I7" s="10" t="n">
        <v>1148.36</v>
      </c>
      <c r="J7" s="11" t="n">
        <v>1187.8</v>
      </c>
      <c r="K7" s="38" t="n">
        <v>1195</v>
      </c>
      <c r="L7" s="11" t="n">
        <v>1149.52380952381</v>
      </c>
      <c r="M7" s="39" t="n">
        <v>0.9619446104801754</v>
      </c>
      <c r="N7" s="38" t="n">
        <v>1168</v>
      </c>
      <c r="O7" s="40" t="n">
        <v>5</v>
      </c>
      <c r="P7" s="11" t="n">
        <v>1150</v>
      </c>
      <c r="Q7" s="40" t="n">
        <v>3</v>
      </c>
      <c r="R7" s="11" t="n">
        <v>1150</v>
      </c>
      <c r="S7" s="40" t="n">
        <v>3</v>
      </c>
      <c r="T7" s="11" t="n">
        <v>1150</v>
      </c>
      <c r="U7" s="40" t="n">
        <v>2</v>
      </c>
      <c r="V7" s="11" t="inlineStr">
        <is>
          <t>n/a</t>
        </is>
      </c>
      <c r="W7" s="40" t="n">
        <v>0</v>
      </c>
    </row>
    <row r="8">
      <c r="D8" s="36" t="inlineStr">
        <is>
          <t>Hertel Homes</t>
        </is>
      </c>
      <c r="E8" s="36" t="inlineStr">
        <is>
          <t>2 Bed 1 Bath</t>
        </is>
      </c>
      <c r="F8" s="37" t="n">
        <v>83</v>
      </c>
      <c r="G8" s="9" t="n">
        <v>92</v>
      </c>
      <c r="H8" s="10" t="n">
        <v>122555</v>
      </c>
      <c r="I8" s="10" t="n">
        <v>1332.119565217391</v>
      </c>
      <c r="J8" s="11" t="n">
        <v>1317.934782608696</v>
      </c>
      <c r="K8" s="38" t="n">
        <v>1330.722891566265</v>
      </c>
      <c r="L8" s="11" t="n">
        <v>1214.89156626506</v>
      </c>
      <c r="M8" s="39" t="n">
        <v>0.9129560887279311</v>
      </c>
      <c r="N8" s="38" t="n">
        <v>1286.875</v>
      </c>
      <c r="O8" s="40" t="n">
        <v>8</v>
      </c>
      <c r="P8" s="11" t="n">
        <v>1275</v>
      </c>
      <c r="Q8" s="40" t="n">
        <v>5</v>
      </c>
      <c r="R8" s="11" t="n">
        <v>1275</v>
      </c>
      <c r="S8" s="40" t="n">
        <v>4</v>
      </c>
      <c r="T8" s="11" t="n">
        <v>1200</v>
      </c>
      <c r="U8" s="40" t="n">
        <v>1</v>
      </c>
      <c r="V8" s="11" t="inlineStr">
        <is>
          <t>n/a</t>
        </is>
      </c>
      <c r="W8" s="40" t="n">
        <v>0</v>
      </c>
    </row>
    <row r="9">
      <c r="D9" s="36" t="inlineStr">
        <is>
          <t>Hertel Homes</t>
        </is>
      </c>
      <c r="E9" s="36" t="inlineStr">
        <is>
          <t>3 Bed/1Bath FP</t>
        </is>
      </c>
      <c r="F9" s="37" t="n">
        <v>10</v>
      </c>
      <c r="G9" s="9" t="n">
        <v>10</v>
      </c>
      <c r="H9" s="10" t="n">
        <v>15023</v>
      </c>
      <c r="I9" s="10" t="n">
        <v>1502.3</v>
      </c>
      <c r="J9" s="11" t="n">
        <v>1395</v>
      </c>
      <c r="K9" s="38" t="n">
        <v>1395</v>
      </c>
      <c r="L9" s="11" t="n">
        <v>1275</v>
      </c>
      <c r="M9" s="39" t="n">
        <v>0.9139784946236559</v>
      </c>
      <c r="N9" s="38" t="n">
        <v>1400</v>
      </c>
      <c r="O9" s="40" t="n">
        <v>2</v>
      </c>
      <c r="P9" s="11" t="n">
        <v>1400</v>
      </c>
      <c r="Q9" s="40" t="n">
        <v>1</v>
      </c>
      <c r="R9" s="11" t="inlineStr">
        <is>
          <t>n/a</t>
        </is>
      </c>
      <c r="S9" s="40" t="n">
        <v>0</v>
      </c>
      <c r="T9" s="11" t="inlineStr">
        <is>
          <t>n/a</t>
        </is>
      </c>
      <c r="U9" s="40" t="n">
        <v>0</v>
      </c>
      <c r="V9" s="11" t="inlineStr">
        <is>
          <t>n/a</t>
        </is>
      </c>
      <c r="W9" s="40" t="n">
        <v>0</v>
      </c>
    </row>
    <row r="10">
      <c r="D10" s="36" t="inlineStr">
        <is>
          <t>Hertel Homes</t>
        </is>
      </c>
      <c r="E10" s="36" t="inlineStr">
        <is>
          <t>3 Bed/ 1Bath</t>
        </is>
      </c>
      <c r="F10" s="37" t="n">
        <v>12</v>
      </c>
      <c r="G10" s="9" t="n">
        <v>13</v>
      </c>
      <c r="H10" s="10" t="n">
        <v>19606</v>
      </c>
      <c r="I10" s="10" t="n">
        <v>1508.153846153846</v>
      </c>
      <c r="J10" s="11" t="n">
        <v>1448.461538461539</v>
      </c>
      <c r="K10" s="38" t="n">
        <v>1452.5</v>
      </c>
      <c r="L10" s="11" t="n">
        <v>1431.25</v>
      </c>
      <c r="M10" s="39" t="n">
        <v>0.9853700516351118</v>
      </c>
      <c r="N10" s="38" t="n">
        <v>1400</v>
      </c>
      <c r="O10" s="40" t="n">
        <v>2</v>
      </c>
      <c r="P10" s="11" t="inlineStr">
        <is>
          <t>n/a</t>
        </is>
      </c>
      <c r="Q10" s="40" t="n">
        <v>0</v>
      </c>
      <c r="R10" s="11" t="inlineStr">
        <is>
          <t>n/a</t>
        </is>
      </c>
      <c r="S10" s="40" t="n">
        <v>0</v>
      </c>
      <c r="T10" s="11" t="inlineStr">
        <is>
          <t>n/a</t>
        </is>
      </c>
      <c r="U10" s="40" t="n">
        <v>0</v>
      </c>
      <c r="V10" s="11" t="inlineStr">
        <is>
          <t>n/a</t>
        </is>
      </c>
      <c r="W10" s="40" t="n">
        <v>0</v>
      </c>
    </row>
    <row r="11">
      <c r="D11" s="36" t="inlineStr">
        <is>
          <t>Hertel Homes</t>
        </is>
      </c>
      <c r="E11" s="36" t="inlineStr">
        <is>
          <t>3 Bed 1.5 Bath</t>
        </is>
      </c>
      <c r="F11" s="37" t="n">
        <v>18</v>
      </c>
      <c r="G11" s="9" t="n">
        <v>18</v>
      </c>
      <c r="H11" s="10" t="n">
        <v>27231</v>
      </c>
      <c r="I11" s="10" t="n">
        <v>1512.833333333333</v>
      </c>
      <c r="J11" s="11" t="n">
        <v>1483.333333333333</v>
      </c>
      <c r="K11" s="38" t="n">
        <v>1483.333333333333</v>
      </c>
      <c r="L11" s="11" t="n">
        <v>1360.277777777778</v>
      </c>
      <c r="M11" s="39" t="n">
        <v>0.9170411985018727</v>
      </c>
      <c r="N11" s="38" t="n">
        <v>1431.666666666667</v>
      </c>
      <c r="O11" s="40" t="n">
        <v>3</v>
      </c>
      <c r="P11" s="11" t="n">
        <v>1495</v>
      </c>
      <c r="Q11" s="40" t="n">
        <v>1</v>
      </c>
      <c r="R11" s="11" t="inlineStr">
        <is>
          <t>n/a</t>
        </is>
      </c>
      <c r="S11" s="40" t="n">
        <v>0</v>
      </c>
      <c r="T11" s="11" t="inlineStr">
        <is>
          <t>n/a</t>
        </is>
      </c>
      <c r="U11" s="40" t="n">
        <v>0</v>
      </c>
      <c r="V11" s="11" t="inlineStr">
        <is>
          <t>n/a</t>
        </is>
      </c>
      <c r="W11" s="40" t="n">
        <v>0</v>
      </c>
    </row>
    <row r="12">
      <c r="C12" s="13" t="inlineStr">
        <is>
          <t>Total/Wtd Average</t>
        </is>
      </c>
      <c r="D12" s="41" t="n"/>
      <c r="E12" s="41" t="n"/>
      <c r="F12" s="15" t="n">
        <v>144</v>
      </c>
      <c r="G12" s="15" t="n">
        <v>158</v>
      </c>
      <c r="H12" s="16" t="n">
        <v>213124</v>
      </c>
      <c r="I12" s="16" t="n">
        <v>1348.886075949367</v>
      </c>
      <c r="J12" s="17" t="n">
        <v>1331.803797468354</v>
      </c>
      <c r="K12" s="42" t="n">
        <v>1344.618055555556</v>
      </c>
      <c r="L12" s="17" t="n">
        <v>1245.736111111111</v>
      </c>
      <c r="M12" s="43" t="n">
        <v>0.9264609425435764</v>
      </c>
      <c r="N12" s="42" t="inlineStr">
        <is>
          <t>n/a</t>
        </is>
      </c>
      <c r="O12" s="44" t="n">
        <v>20</v>
      </c>
      <c r="P12" s="17" t="inlineStr">
        <is>
          <t>n/a</t>
        </is>
      </c>
      <c r="Q12" s="44" t="n">
        <v>10</v>
      </c>
      <c r="R12" s="17" t="inlineStr">
        <is>
          <t>n/a</t>
        </is>
      </c>
      <c r="S12" s="44" t="n">
        <v>7</v>
      </c>
      <c r="T12" s="17" t="inlineStr">
        <is>
          <t>n/a</t>
        </is>
      </c>
      <c r="U12" s="44" t="n">
        <v>3</v>
      </c>
      <c r="V12" s="17" t="inlineStr">
        <is>
          <t>n/a</t>
        </is>
      </c>
      <c r="W12" s="45" t="n">
        <v>0</v>
      </c>
    </row>
    <row r="58">
      <c r="Z58" s="25" t="inlineStr">
        <is>
          <t>Links from source data:</t>
        </is>
      </c>
    </row>
    <row r="59">
      <c r="Z59" s="26" t="inlineStr">
        <is>
          <t>Total # units</t>
        </is>
      </c>
      <c r="AB59" s="27" t="n">
        <v>158</v>
      </c>
    </row>
    <row r="60">
      <c r="Z60" s="26" t="inlineStr">
        <is>
          <t>Occ Units</t>
        </is>
      </c>
      <c r="AB60" s="27" t="n">
        <v>144</v>
      </c>
    </row>
    <row r="61">
      <c r="Z61" s="26" t="inlineStr">
        <is>
          <t>Unit %Occ</t>
        </is>
      </c>
      <c r="AB61" s="28" t="n">
        <v>0.9113924050632911</v>
      </c>
    </row>
    <row r="62">
      <c r="Z62" s="26" t="inlineStr">
        <is>
          <t>Net Sq Ft</t>
        </is>
      </c>
      <c r="AB62" s="27" t="n">
        <v>213124</v>
      </c>
    </row>
    <row r="63">
      <c r="Z63" s="26" t="inlineStr">
        <is>
          <t>SF Occ</t>
        </is>
      </c>
      <c r="AB63" s="27" t="n">
        <v>195009</v>
      </c>
    </row>
    <row r="64">
      <c r="Z64" s="26" t="inlineStr">
        <is>
          <t>% SF Occ</t>
        </is>
      </c>
      <c r="AB64" s="28" t="n">
        <v>0.9150025337362286</v>
      </c>
    </row>
    <row r="65">
      <c r="Z65" s="26" t="inlineStr">
        <is>
          <t>Mkt Rent</t>
        </is>
      </c>
      <c r="AB65" s="27" t="n">
        <v>210425</v>
      </c>
    </row>
    <row r="66">
      <c r="Z66" s="26" t="inlineStr">
        <is>
          <t>Cont Rent</t>
        </is>
      </c>
      <c r="AB66" s="27" t="n">
        <v>179386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S20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40" customWidth="1" min="4" max="4"/>
    <col width="1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 (Based on # of beds only)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Hertel Homes</t>
        </is>
      </c>
    </row>
    <row r="5">
      <c r="C5" s="3" t="n"/>
      <c r="D5" s="4" t="inlineStr">
        <is>
          <t>Property Name</t>
        </is>
      </c>
      <c r="E5" s="4" t="inlineStr">
        <is>
          <t>Bed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Hertel Homes</t>
        </is>
      </c>
      <c r="E6" s="46" t="n">
        <v>1</v>
      </c>
      <c r="F6" s="8" t="n">
        <v>21</v>
      </c>
      <c r="G6" s="9" t="n">
        <v>25</v>
      </c>
      <c r="H6" s="10" t="n">
        <v>28709</v>
      </c>
      <c r="I6" s="10" t="n">
        <v>1148.36</v>
      </c>
      <c r="J6" s="11" t="n">
        <v>29695</v>
      </c>
      <c r="K6" s="11" t="n">
        <v>1187.8</v>
      </c>
      <c r="L6" s="12" t="n">
        <v>1.034344630603643</v>
      </c>
      <c r="M6" s="11" t="n">
        <v>24140</v>
      </c>
      <c r="N6" s="11" t="n">
        <v>1149.52380952381</v>
      </c>
      <c r="O6" s="12" t="n">
        <v>1.00078769536918</v>
      </c>
      <c r="P6" s="11" t="n">
        <v>1195</v>
      </c>
      <c r="Q6" s="11" t="n">
        <v>50</v>
      </c>
      <c r="S6" s="10" t="n">
        <v>24121</v>
      </c>
    </row>
    <row r="7">
      <c r="D7" s="7" t="inlineStr">
        <is>
          <t>Hertel Homes</t>
        </is>
      </c>
      <c r="E7" s="46" t="n">
        <v>2</v>
      </c>
      <c r="F7" s="8" t="n">
        <v>83</v>
      </c>
      <c r="G7" s="9" t="n">
        <v>92</v>
      </c>
      <c r="H7" s="10" t="n">
        <v>122555</v>
      </c>
      <c r="I7" s="10" t="n">
        <v>1332.119565217391</v>
      </c>
      <c r="J7" s="11" t="n">
        <v>121250</v>
      </c>
      <c r="K7" s="11" t="n">
        <v>1317.934782608696</v>
      </c>
      <c r="L7" s="12" t="n">
        <v>0.9893517196360817</v>
      </c>
      <c r="M7" s="11" t="n">
        <v>100836</v>
      </c>
      <c r="N7" s="11" t="n">
        <v>1214.89156626506</v>
      </c>
      <c r="O7" s="12" t="n">
        <v>0.9121385087155922</v>
      </c>
      <c r="P7" s="11" t="n">
        <v>1500</v>
      </c>
      <c r="Q7" s="11" t="n">
        <v>1210</v>
      </c>
      <c r="S7" s="10" t="n">
        <v>110549</v>
      </c>
    </row>
    <row r="8">
      <c r="D8" s="7" t="inlineStr">
        <is>
          <t>Hertel Homes</t>
        </is>
      </c>
      <c r="E8" s="46" t="n">
        <v>3</v>
      </c>
      <c r="F8" s="8" t="n">
        <v>40</v>
      </c>
      <c r="G8" s="9" t="n">
        <v>41</v>
      </c>
      <c r="H8" s="10" t="n">
        <v>61860</v>
      </c>
      <c r="I8" s="10" t="n">
        <v>1508.780487804878</v>
      </c>
      <c r="J8" s="11" t="n">
        <v>59480</v>
      </c>
      <c r="K8" s="11" t="n">
        <v>1450.731707317073</v>
      </c>
      <c r="L8" s="12" t="n">
        <v>0.9615260265114776</v>
      </c>
      <c r="M8" s="11" t="n">
        <v>54410</v>
      </c>
      <c r="N8" s="11" t="n">
        <v>1360.25</v>
      </c>
      <c r="O8" s="12" t="n">
        <v>0.9017385107476094</v>
      </c>
      <c r="P8" s="11" t="n">
        <v>1600</v>
      </c>
      <c r="Q8" s="11" t="n">
        <v>375</v>
      </c>
      <c r="S8" s="10" t="n">
        <v>60339</v>
      </c>
    </row>
    <row r="9">
      <c r="C9" s="13" t="inlineStr">
        <is>
          <t>Total/Wtd Average</t>
        </is>
      </c>
      <c r="D9" s="13" t="n"/>
      <c r="E9" s="13" t="n"/>
      <c r="F9" s="14" t="n">
        <v>144</v>
      </c>
      <c r="G9" s="15" t="n">
        <v>158</v>
      </c>
      <c r="H9" s="16" t="n">
        <v>213124</v>
      </c>
      <c r="I9" s="16" t="n">
        <v>1348.886075949367</v>
      </c>
      <c r="J9" s="17" t="n">
        <v>210425</v>
      </c>
      <c r="K9" s="17" t="n">
        <v>1331.803797468354</v>
      </c>
      <c r="L9" s="18" t="n">
        <v>0.9873360109607553</v>
      </c>
      <c r="M9" s="17" t="n">
        <v>179386</v>
      </c>
      <c r="N9" s="17" t="n">
        <v>1245.736111111111</v>
      </c>
      <c r="O9" s="18" t="n">
        <v>0.919885748862873</v>
      </c>
      <c r="P9" s="17" t="inlineStr">
        <is>
          <t>N/A</t>
        </is>
      </c>
      <c r="Q9" s="17" t="n">
        <v>1635</v>
      </c>
      <c r="S9" s="16" t="n">
        <v>195009</v>
      </c>
    </row>
    <row r="11">
      <c r="C11" s="19" t="inlineStr">
        <is>
          <t>Total Units</t>
        </is>
      </c>
      <c r="D11" s="20" t="n"/>
      <c r="E11" s="20" t="n"/>
      <c r="F11" s="20" t="n"/>
      <c r="G11" s="21" t="n">
        <v>158</v>
      </c>
    </row>
    <row r="12">
      <c r="C12" s="19" t="inlineStr">
        <is>
          <t>Occupied Units</t>
        </is>
      </c>
      <c r="D12" s="20" t="n"/>
      <c r="E12" s="20" t="n"/>
      <c r="F12" s="20" t="n"/>
      <c r="G12" s="21" t="n">
        <v>144</v>
      </c>
    </row>
    <row r="13">
      <c r="C13" s="19" t="inlineStr">
        <is>
          <t>Unit Occupancy</t>
        </is>
      </c>
      <c r="D13" s="20" t="n"/>
      <c r="E13" s="20" t="n"/>
      <c r="F13" s="20" t="n"/>
      <c r="G13" s="22" t="n">
        <v>0.9113924050632911</v>
      </c>
    </row>
    <row r="14">
      <c r="C14" s="19" t="inlineStr">
        <is>
          <t>Total Square Feet</t>
        </is>
      </c>
      <c r="D14" s="20" t="n"/>
      <c r="E14" s="20" t="n"/>
      <c r="F14" s="20" t="n"/>
      <c r="G14" s="23" t="n">
        <v>213124</v>
      </c>
    </row>
    <row r="15">
      <c r="C15" s="19" t="inlineStr">
        <is>
          <t>Occupied Square Feet</t>
        </is>
      </c>
      <c r="D15" s="20" t="n"/>
      <c r="E15" s="20" t="n"/>
      <c r="F15" s="20" t="n"/>
      <c r="G15" s="23" t="n">
        <v>195009</v>
      </c>
    </row>
    <row r="16">
      <c r="C16" s="19" t="inlineStr">
        <is>
          <t>Square Feet Occupancy</t>
        </is>
      </c>
      <c r="D16" s="20" t="n"/>
      <c r="E16" s="20" t="n"/>
      <c r="F16" s="20" t="n"/>
      <c r="G16" s="22" t="n">
        <v>0.9150025337362286</v>
      </c>
    </row>
    <row r="18">
      <c r="C18" s="19" t="inlineStr">
        <is>
          <t>Market Rent Annualized</t>
        </is>
      </c>
      <c r="D18" s="20" t="n"/>
      <c r="E18" s="20" t="n"/>
      <c r="F18" s="20" t="n"/>
      <c r="G18" s="24" t="n">
        <v>2525100</v>
      </c>
    </row>
    <row r="19">
      <c r="C19" s="19" t="inlineStr">
        <is>
          <t>In-Place Rent Annualized</t>
        </is>
      </c>
      <c r="D19" s="20" t="n"/>
      <c r="E19" s="20" t="n"/>
      <c r="F19" s="20" t="n"/>
      <c r="G19" s="24" t="n">
        <v>2152632</v>
      </c>
    </row>
    <row r="20">
      <c r="C20" s="19" t="inlineStr">
        <is>
          <t>Other Income Annualized</t>
        </is>
      </c>
      <c r="D20" s="20" t="n"/>
      <c r="E20" s="20" t="n"/>
      <c r="F20" s="20" t="n"/>
      <c r="G20" s="24" t="n">
        <v>19620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AG1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0.9" customWidth="1" min="1" max="1"/>
    <col width="23.4" customWidth="1" min="4" max="4"/>
    <col width="13" customWidth="1" min="5" max="5"/>
    <col width="15.9" customWidth="1" min="6" max="6"/>
    <col width="18" customWidth="1" min="7" max="7"/>
    <col width="9.1" customWidth="1" min="8" max="8"/>
    <col width="9.1" customWidth="1" min="9" max="9"/>
    <col width="12.1" customWidth="1" min="10" max="10"/>
    <col width="17.9" customWidth="1" min="11" max="11"/>
    <col width="12.1" customWidth="1" min="12" max="12"/>
    <col width="6.4" customWidth="1" min="13" max="13"/>
    <col width="6.9" customWidth="1" min="15" max="15"/>
    <col width="6.9" customWidth="1" min="16" max="16"/>
    <col width="6.4" customWidth="1" min="17" max="17"/>
    <col width="5.9" customWidth="1" min="18" max="18"/>
    <col width="11" customWidth="1" min="19" max="19"/>
    <col width="11.4" customWidth="1" min="21" max="21"/>
    <col width="11.4" customWidth="1" min="22" max="22"/>
    <col width="11.4" customWidth="1" min="23" max="23"/>
    <col width="10.9" customWidth="1" min="24" max="24"/>
    <col width="10.4" customWidth="1" min="25" max="25"/>
    <col width="12.9" customWidth="1" min="26" max="26"/>
    <col width="14.4" customWidth="1" min="27" max="27"/>
    <col width="15.4" customWidth="1" min="28" max="28"/>
    <col width="0.9" customWidth="1" min="29" max="29"/>
    <col width="0.9" customWidth="1" min="30" max="30"/>
    <col width="15.4" customWidth="1" min="31" max="31"/>
    <col width="10.4" customWidth="1" min="32" max="32"/>
    <col width="9.4" customWidth="1" min="33" max="33"/>
  </cols>
  <sheetData>
    <row r="3">
      <c r="C3" s="47" t="inlineStr">
        <is>
          <t>PRESENTATION RENT ROLL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48" t="n"/>
      <c r="AD3" s="2" t="inlineStr">
        <is>
          <t>Hertel Homes</t>
        </is>
      </c>
    </row>
    <row r="5">
      <c r="C5" s="49" t="inlineStr">
        <is>
          <t>UNIT INFORMATION</t>
        </is>
      </c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inlineStr">
        <is>
          <t>UNIT STATUS</t>
        </is>
      </c>
      <c r="P5" s="49" t="n"/>
      <c r="Q5" s="49" t="n"/>
      <c r="R5" s="49" t="n"/>
      <c r="S5" s="49" t="n"/>
      <c r="T5" s="49" t="n"/>
      <c r="U5" s="49" t="n"/>
      <c r="V5" s="49" t="inlineStr">
        <is>
          <t>CURRENT LEASE</t>
        </is>
      </c>
      <c r="W5" s="49" t="n"/>
      <c r="X5" s="49" t="n"/>
      <c r="Y5" s="49" t="n"/>
      <c r="Z5" s="49" t="n"/>
      <c r="AA5" s="49" t="n"/>
      <c r="AB5" s="49" t="n"/>
      <c r="AC5" s="49" t="n"/>
    </row>
    <row r="6">
      <c r="C6" s="3" t="n"/>
      <c r="D6" s="50" t="inlineStr">
        <is>
          <t>Property</t>
        </is>
      </c>
      <c r="E6" s="51" t="inlineStr">
        <is>
          <t>Unit</t>
        </is>
      </c>
      <c r="F6" s="51" t="inlineStr">
        <is>
          <t>Unit</t>
        </is>
      </c>
      <c r="G6" s="51" t="inlineStr">
        <is>
          <t>Floor</t>
        </is>
      </c>
      <c r="H6" s="51" t="inlineStr">
        <is>
          <t>Unit</t>
        </is>
      </c>
      <c r="I6" s="3" t="n"/>
      <c r="J6" s="51" t="inlineStr">
        <is>
          <t>Reno</t>
        </is>
      </c>
      <c r="K6" s="50" t="inlineStr">
        <is>
          <t>Tenant</t>
        </is>
      </c>
      <c r="L6" s="51" t="inlineStr">
        <is>
          <t>Net</t>
        </is>
      </c>
      <c r="M6" s="51" t="inlineStr">
        <is>
          <t>#</t>
        </is>
      </c>
      <c r="N6" s="51" t="inlineStr">
        <is>
          <t>#</t>
        </is>
      </c>
      <c r="O6" s="51" t="inlineStr">
        <is>
          <t>Lease</t>
        </is>
      </c>
      <c r="P6" s="51" t="inlineStr">
        <is>
          <t>Reno</t>
        </is>
      </c>
      <c r="Q6" s="51" t="inlineStr">
        <is>
          <t>Occ</t>
        </is>
      </c>
      <c r="R6" s="3" t="n"/>
      <c r="S6" s="51" t="inlineStr">
        <is>
          <t>Renew</t>
        </is>
      </c>
      <c r="T6" s="51" t="inlineStr">
        <is>
          <t>Asking</t>
        </is>
      </c>
      <c r="U6" s="51" t="inlineStr">
        <is>
          <t>Market</t>
        </is>
      </c>
      <c r="V6" s="51" t="inlineStr">
        <is>
          <t>Contract</t>
        </is>
      </c>
      <c r="W6" s="51" t="inlineStr">
        <is>
          <t>Conc/</t>
        </is>
      </c>
      <c r="X6" s="51" t="inlineStr">
        <is>
          <t>Emp</t>
        </is>
      </c>
      <c r="Y6" s="51" t="inlineStr">
        <is>
          <t>Other</t>
        </is>
      </c>
      <c r="Z6" s="51" t="inlineStr">
        <is>
          <t>Move In</t>
        </is>
      </c>
      <c r="AA6" s="51" t="inlineStr">
        <is>
          <t>Lease</t>
        </is>
      </c>
      <c r="AB6" s="51" t="inlineStr">
        <is>
          <t>Lease</t>
        </is>
      </c>
      <c r="AC6" s="3" t="n"/>
    </row>
    <row r="7">
      <c r="C7" s="3" t="n"/>
      <c r="D7" s="50" t="inlineStr">
        <is>
          <t>Name</t>
        </is>
      </c>
      <c r="E7" s="51" t="inlineStr">
        <is>
          <t>Number</t>
        </is>
      </c>
      <c r="F7" s="51" t="inlineStr">
        <is>
          <t>Type</t>
        </is>
      </c>
      <c r="G7" s="51" t="inlineStr">
        <is>
          <t>Plan</t>
        </is>
      </c>
      <c r="H7" s="52" t="inlineStr">
        <is>
          <t>Designation</t>
        </is>
      </c>
      <c r="I7" s="52" t="inlineStr">
        <is>
          <t>Reno'd?</t>
        </is>
      </c>
      <c r="J7" s="52" t="inlineStr">
        <is>
          <t>Type</t>
        </is>
      </c>
      <c r="K7" s="50" t="inlineStr">
        <is>
          <t>Name</t>
        </is>
      </c>
      <c r="L7" s="51" t="inlineStr">
        <is>
          <t>Sq. Ft.</t>
        </is>
      </c>
      <c r="M7" s="51" t="inlineStr">
        <is>
          <t>Bed</t>
        </is>
      </c>
      <c r="N7" s="51" t="inlineStr">
        <is>
          <t>Bath</t>
        </is>
      </c>
      <c r="O7" s="51" t="inlineStr">
        <is>
          <t>Type</t>
        </is>
      </c>
      <c r="P7" s="51" t="inlineStr">
        <is>
          <t>Stat</t>
        </is>
      </c>
      <c r="Q7" s="51" t="inlineStr">
        <is>
          <t>Stat*</t>
        </is>
      </c>
      <c r="R7" s="51" t="inlineStr">
        <is>
          <t>MTM</t>
        </is>
      </c>
      <c r="S7" s="51" t="inlineStr">
        <is>
          <t>Status</t>
        </is>
      </c>
      <c r="T7" s="51" t="inlineStr">
        <is>
          <t>Rent</t>
        </is>
      </c>
      <c r="U7" s="51" t="inlineStr">
        <is>
          <t>Rent</t>
        </is>
      </c>
      <c r="V7" s="51" t="inlineStr">
        <is>
          <t>Rent</t>
        </is>
      </c>
      <c r="W7" s="51" t="inlineStr">
        <is>
          <t>Specl</t>
        </is>
      </c>
      <c r="X7" s="51" t="inlineStr">
        <is>
          <t>Disc</t>
        </is>
      </c>
      <c r="Y7" s="51" t="inlineStr">
        <is>
          <t>Income</t>
        </is>
      </c>
      <c r="Z7" s="51" t="inlineStr">
        <is>
          <t>Date</t>
        </is>
      </c>
      <c r="AA7" s="51" t="inlineStr">
        <is>
          <t>Start Date</t>
        </is>
      </c>
      <c r="AB7" s="51" t="inlineStr">
        <is>
          <t>End Date</t>
        </is>
      </c>
      <c r="AC7" s="3" t="n"/>
      <c r="AE7" s="53" t="inlineStr">
        <is>
          <t>Market Rent</t>
        </is>
      </c>
      <c r="AF7" s="53" t="inlineStr">
        <is>
          <t>LTL</t>
        </is>
      </c>
      <c r="AG7" s="53" t="inlineStr">
        <is>
          <t>LTL %</t>
        </is>
      </c>
    </row>
    <row r="8">
      <c r="D8" s="36" t="inlineStr">
        <is>
          <t>Hertel Homes</t>
        </is>
      </c>
      <c r="E8" s="54" t="inlineStr">
        <is>
          <t>1</t>
        </is>
      </c>
      <c r="F8" s="54" t="inlineStr">
        <is>
          <t>2 Bed 1 Bath</t>
        </is>
      </c>
      <c r="G8" s="54" t="inlineStr">
        <is>
          <t>2 Bed 1 Bath</t>
        </is>
      </c>
      <c r="K8" s="36" t="inlineStr">
        <is>
          <t>Echevarria, Amayrani</t>
        </is>
      </c>
      <c r="L8" s="55" t="n">
        <v>1340</v>
      </c>
      <c r="M8" s="56" t="n">
        <v>2</v>
      </c>
      <c r="N8" s="56" t="n">
        <v>1</v>
      </c>
      <c r="Q8" s="57" t="inlineStr">
        <is>
          <t>Occ</t>
        </is>
      </c>
      <c r="U8" s="58" t="n">
        <v>1350</v>
      </c>
      <c r="V8" s="58" t="n">
        <v>1295</v>
      </c>
      <c r="W8" s="58" t="n">
        <v>0</v>
      </c>
      <c r="X8" s="58" t="n">
        <v>0</v>
      </c>
      <c r="Y8" s="58" t="n">
        <v>0</v>
      </c>
      <c r="Z8" s="59" t="n">
        <v>45219</v>
      </c>
      <c r="AA8" s="59" t="n">
        <v>45219</v>
      </c>
      <c r="AB8" s="59" t="n">
        <v>46691</v>
      </c>
    </row>
    <row r="9">
      <c r="D9" s="36" t="inlineStr">
        <is>
          <t>Hertel Homes</t>
        </is>
      </c>
      <c r="E9" s="54" t="inlineStr">
        <is>
          <t>2</t>
        </is>
      </c>
      <c r="F9" s="54" t="inlineStr">
        <is>
          <t>2 Bed 1 Bath</t>
        </is>
      </c>
      <c r="G9" s="54" t="inlineStr">
        <is>
          <t>2 Bed 1 Bath</t>
        </is>
      </c>
      <c r="K9" s="36" t="inlineStr">
        <is>
          <t>Sanders (BEL), Lasyon</t>
        </is>
      </c>
      <c r="L9" s="55" t="n">
        <v>1340</v>
      </c>
      <c r="M9" s="56" t="n">
        <v>2</v>
      </c>
      <c r="N9" s="56" t="n">
        <v>1</v>
      </c>
      <c r="Q9" s="57" t="inlineStr">
        <is>
          <t>Occ</t>
        </is>
      </c>
      <c r="U9" s="58" t="n">
        <v>1350</v>
      </c>
      <c r="V9" s="58" t="n">
        <v>1150</v>
      </c>
      <c r="W9" s="58" t="n">
        <v>0</v>
      </c>
      <c r="X9" s="58" t="n">
        <v>0</v>
      </c>
      <c r="Y9" s="58" t="n">
        <v>35</v>
      </c>
      <c r="Z9" s="59" t="n">
        <v>38443</v>
      </c>
      <c r="AA9" s="59" t="n">
        <v>38443</v>
      </c>
      <c r="AB9" s="59" t="n">
        <v>46265</v>
      </c>
    </row>
    <row r="10">
      <c r="D10" s="36" t="inlineStr">
        <is>
          <t>Hertel Homes</t>
        </is>
      </c>
      <c r="E10" s="54" t="inlineStr">
        <is>
          <t>3</t>
        </is>
      </c>
      <c r="F10" s="54" t="inlineStr">
        <is>
          <t>2 Bed 1 Bath</t>
        </is>
      </c>
      <c r="G10" s="54" t="inlineStr">
        <is>
          <t>2 Bed 1 Bath</t>
        </is>
      </c>
      <c r="K10" s="36" t="inlineStr">
        <is>
          <t>Terry, Daniele</t>
        </is>
      </c>
      <c r="L10" s="55" t="n">
        <v>1334</v>
      </c>
      <c r="M10" s="56" t="n">
        <v>2</v>
      </c>
      <c r="N10" s="56" t="n">
        <v>1</v>
      </c>
      <c r="Q10" s="57" t="inlineStr">
        <is>
          <t>Occ</t>
        </is>
      </c>
      <c r="U10" s="58" t="n">
        <v>1350</v>
      </c>
      <c r="V10" s="58" t="n">
        <v>1350</v>
      </c>
      <c r="W10" s="58" t="n">
        <v>0</v>
      </c>
      <c r="X10" s="58" t="n">
        <v>0</v>
      </c>
      <c r="Y10" s="58" t="n">
        <v>0</v>
      </c>
      <c r="Z10" s="59" t="n">
        <v>45971</v>
      </c>
      <c r="AA10" s="59" t="n">
        <v>45971</v>
      </c>
      <c r="AB10" s="59" t="n">
        <v>46721</v>
      </c>
    </row>
    <row r="11">
      <c r="D11" s="36" t="inlineStr">
        <is>
          <t>Hertel Homes</t>
        </is>
      </c>
      <c r="E11" s="54" t="inlineStr">
        <is>
          <t>4</t>
        </is>
      </c>
      <c r="F11" s="54" t="inlineStr">
        <is>
          <t>2 Bed 1 Bath</t>
        </is>
      </c>
      <c r="G11" s="54" t="inlineStr">
        <is>
          <t>2 Bed 1 Bath</t>
        </is>
      </c>
      <c r="K11" s="36" t="inlineStr">
        <is>
          <t>Medina, Dylan</t>
        </is>
      </c>
      <c r="L11" s="55" t="n">
        <v>1334</v>
      </c>
      <c r="M11" s="56" t="n">
        <v>2</v>
      </c>
      <c r="N11" s="56" t="n">
        <v>1</v>
      </c>
      <c r="Q11" s="57" t="inlineStr">
        <is>
          <t>Occ</t>
        </is>
      </c>
      <c r="U11" s="58" t="n">
        <v>1350</v>
      </c>
      <c r="V11" s="58" t="n">
        <v>1500</v>
      </c>
      <c r="W11" s="58" t="n">
        <v>0</v>
      </c>
      <c r="X11" s="58" t="n">
        <v>0</v>
      </c>
      <c r="Y11" s="58" t="n">
        <v>0</v>
      </c>
      <c r="Z11" s="59" t="n">
        <v>44713</v>
      </c>
      <c r="AA11" s="59" t="n">
        <v>44713</v>
      </c>
      <c r="AB11" s="59" t="n">
        <v>46538</v>
      </c>
    </row>
    <row r="12">
      <c r="D12" s="36" t="inlineStr">
        <is>
          <t>Hertel Homes</t>
        </is>
      </c>
      <c r="E12" s="54" t="inlineStr">
        <is>
          <t>5</t>
        </is>
      </c>
      <c r="F12" s="54" t="inlineStr">
        <is>
          <t>2 Bed 1 Bath</t>
        </is>
      </c>
      <c r="G12" s="54" t="inlineStr">
        <is>
          <t>2 Bed 1 Bath</t>
        </is>
      </c>
      <c r="K12" s="36" t="inlineStr">
        <is>
          <t>Duffy, Denise</t>
        </is>
      </c>
      <c r="L12" s="55" t="n">
        <v>1334</v>
      </c>
      <c r="M12" s="56" t="n">
        <v>2</v>
      </c>
      <c r="N12" s="56" t="n">
        <v>1</v>
      </c>
      <c r="Q12" s="57" t="inlineStr">
        <is>
          <t>Occ</t>
        </is>
      </c>
      <c r="U12" s="58" t="n">
        <v>1350</v>
      </c>
      <c r="V12" s="58" t="n">
        <v>1375</v>
      </c>
      <c r="W12" s="58" t="n">
        <v>0</v>
      </c>
      <c r="X12" s="58" t="n">
        <v>0</v>
      </c>
      <c r="Y12" s="58" t="n">
        <v>0</v>
      </c>
      <c r="Z12" s="59" t="n">
        <v>45017</v>
      </c>
      <c r="AA12" s="59" t="n">
        <v>45017</v>
      </c>
      <c r="AB12" s="59" t="n">
        <v>46477</v>
      </c>
    </row>
    <row r="13">
      <c r="D13" s="36" t="inlineStr">
        <is>
          <t>Hertel Homes</t>
        </is>
      </c>
      <c r="E13" s="54" t="inlineStr">
        <is>
          <t>6</t>
        </is>
      </c>
      <c r="F13" s="54" t="inlineStr">
        <is>
          <t>2 Bed 1 Bath</t>
        </is>
      </c>
      <c r="G13" s="54" t="inlineStr">
        <is>
          <t>2 Bed 1 Bath</t>
        </is>
      </c>
      <c r="K13" s="36" t="inlineStr">
        <is>
          <t>Bellamy, Sade</t>
        </is>
      </c>
      <c r="L13" s="55" t="n">
        <v>1334</v>
      </c>
      <c r="M13" s="56" t="n">
        <v>2</v>
      </c>
      <c r="N13" s="56" t="n">
        <v>1</v>
      </c>
      <c r="Q13" s="57" t="inlineStr">
        <is>
          <t>Occ</t>
        </is>
      </c>
      <c r="U13" s="58" t="n">
        <v>1350</v>
      </c>
      <c r="V13" s="58" t="n">
        <v>1100</v>
      </c>
      <c r="W13" s="58" t="n">
        <v>0</v>
      </c>
      <c r="X13" s="58" t="n">
        <v>0</v>
      </c>
      <c r="Y13" s="58" t="n">
        <v>0</v>
      </c>
      <c r="Z13" s="59" t="n">
        <v>43500</v>
      </c>
      <c r="AA13" s="59" t="n">
        <v>43500</v>
      </c>
      <c r="AB13" s="59" t="n">
        <v>46173</v>
      </c>
    </row>
    <row r="14">
      <c r="D14" s="36" t="inlineStr">
        <is>
          <t>Hertel Homes</t>
        </is>
      </c>
      <c r="E14" s="54" t="inlineStr">
        <is>
          <t>7</t>
        </is>
      </c>
      <c r="F14" s="54" t="inlineStr">
        <is>
          <t>2 Bed 1 Bath</t>
        </is>
      </c>
      <c r="G14" s="54" t="inlineStr">
        <is>
          <t>2 Bed 1 Bath</t>
        </is>
      </c>
      <c r="K14" s="36" t="inlineStr">
        <is>
          <t>Durham, Dawna</t>
        </is>
      </c>
      <c r="L14" s="55" t="n">
        <v>1334</v>
      </c>
      <c r="M14" s="56" t="n">
        <v>2</v>
      </c>
      <c r="N14" s="56" t="n">
        <v>1</v>
      </c>
      <c r="Q14" s="57" t="inlineStr">
        <is>
          <t>Occ</t>
        </is>
      </c>
      <c r="U14" s="58" t="n">
        <v>1350</v>
      </c>
      <c r="V14" s="58" t="n">
        <v>1300</v>
      </c>
      <c r="W14" s="58" t="n">
        <v>0</v>
      </c>
      <c r="X14" s="58" t="n">
        <v>0</v>
      </c>
      <c r="Y14" s="58" t="n">
        <v>0</v>
      </c>
      <c r="Z14" s="59" t="n">
        <v>45748</v>
      </c>
      <c r="AA14" s="59" t="n">
        <v>45748</v>
      </c>
      <c r="AB14" s="59" t="n">
        <v>46507</v>
      </c>
    </row>
    <row r="15">
      <c r="D15" s="36" t="inlineStr">
        <is>
          <t>Hertel Homes</t>
        </is>
      </c>
      <c r="E15" s="54" t="inlineStr">
        <is>
          <t>8</t>
        </is>
      </c>
      <c r="F15" s="54" t="inlineStr">
        <is>
          <t>2 Bed 1 Bath</t>
        </is>
      </c>
      <c r="G15" s="54" t="inlineStr">
        <is>
          <t>2 Bed 1 Bath</t>
        </is>
      </c>
      <c r="K15" s="36" t="inlineStr">
        <is>
          <t>Chaney, Tamea</t>
        </is>
      </c>
      <c r="L15" s="55" t="n">
        <v>1334</v>
      </c>
      <c r="M15" s="56" t="n">
        <v>2</v>
      </c>
      <c r="N15" s="56" t="n">
        <v>1</v>
      </c>
      <c r="Q15" s="57" t="inlineStr">
        <is>
          <t>Occ</t>
        </is>
      </c>
      <c r="U15" s="58" t="n">
        <v>1350</v>
      </c>
      <c r="V15" s="58" t="n">
        <v>1300</v>
      </c>
      <c r="W15" s="58" t="n">
        <v>0</v>
      </c>
      <c r="X15" s="58" t="n">
        <v>0</v>
      </c>
      <c r="Y15" s="58" t="n">
        <v>0</v>
      </c>
      <c r="Z15" s="59" t="n">
        <v>46174</v>
      </c>
      <c r="AA15" s="59" t="n">
        <v>46174</v>
      </c>
      <c r="AB15" s="59" t="n">
        <v>46538</v>
      </c>
    </row>
    <row r="16">
      <c r="D16" s="36" t="inlineStr">
        <is>
          <t>Hertel Homes</t>
        </is>
      </c>
      <c r="E16" s="54" t="inlineStr">
        <is>
          <t>9</t>
        </is>
      </c>
      <c r="F16" s="54" t="inlineStr">
        <is>
          <t>2 Bed 1 Bath</t>
        </is>
      </c>
      <c r="G16" s="54" t="inlineStr">
        <is>
          <t>2 Bed 1 Bath</t>
        </is>
      </c>
      <c r="K16" s="36" t="inlineStr">
        <is>
          <t>Lewis, Trendel</t>
        </is>
      </c>
      <c r="L16" s="55" t="n">
        <v>1334</v>
      </c>
      <c r="M16" s="56" t="n">
        <v>2</v>
      </c>
      <c r="N16" s="56" t="n">
        <v>1</v>
      </c>
      <c r="Q16" s="57" t="inlineStr">
        <is>
          <t>Occ</t>
        </is>
      </c>
      <c r="U16" s="58" t="n">
        <v>1350</v>
      </c>
      <c r="V16" s="58" t="n">
        <v>1225</v>
      </c>
      <c r="W16" s="58" t="n">
        <v>0</v>
      </c>
      <c r="X16" s="58" t="n">
        <v>0</v>
      </c>
      <c r="Y16" s="58" t="n">
        <v>200</v>
      </c>
      <c r="Z16" s="59" t="n">
        <v>41183</v>
      </c>
      <c r="AA16" s="59" t="n">
        <v>41183</v>
      </c>
      <c r="AB16" s="59" t="n">
        <v>46660</v>
      </c>
    </row>
    <row r="17">
      <c r="D17" s="36" t="inlineStr">
        <is>
          <t>Hertel Homes</t>
        </is>
      </c>
      <c r="E17" s="54" t="inlineStr">
        <is>
          <t>10</t>
        </is>
      </c>
      <c r="F17" s="54" t="inlineStr">
        <is>
          <t>2 Bed 1 Bath</t>
        </is>
      </c>
      <c r="G17" s="54" t="inlineStr">
        <is>
          <t>2 Bed 1 Bath</t>
        </is>
      </c>
      <c r="K17" s="36" t="inlineStr">
        <is>
          <t>Kuzub (RACB), Marlene</t>
        </is>
      </c>
      <c r="L17" s="55" t="n">
        <v>1334</v>
      </c>
      <c r="M17" s="56" t="n">
        <v>2</v>
      </c>
      <c r="N17" s="56" t="n">
        <v>1</v>
      </c>
      <c r="Q17" s="57" t="inlineStr">
        <is>
          <t>Occ</t>
        </is>
      </c>
      <c r="U17" s="58" t="n">
        <v>1350</v>
      </c>
      <c r="V17" s="58" t="n">
        <v>1225</v>
      </c>
      <c r="W17" s="58" t="n">
        <v>0</v>
      </c>
      <c r="X17" s="58" t="n">
        <v>0</v>
      </c>
      <c r="Y17" s="58" t="n">
        <v>0</v>
      </c>
      <c r="Z17" s="59" t="n">
        <v>40664</v>
      </c>
      <c r="AA17" s="59" t="n">
        <v>40664</v>
      </c>
      <c r="AB17" s="59" t="n">
        <v>46142</v>
      </c>
    </row>
    <row r="18">
      <c r="D18" s="36" t="inlineStr">
        <is>
          <t>Hertel Homes</t>
        </is>
      </c>
      <c r="E18" s="54" t="inlineStr">
        <is>
          <t>11</t>
        </is>
      </c>
      <c r="F18" s="54" t="inlineStr">
        <is>
          <t>2 Bed 1 Bath</t>
        </is>
      </c>
      <c r="G18" s="54" t="inlineStr">
        <is>
          <t>2 Bed 1 Bath</t>
        </is>
      </c>
      <c r="K18" s="36" t="inlineStr">
        <is>
          <t>Gamblin (BFNC), Kizzy</t>
        </is>
      </c>
      <c r="L18" s="55" t="n">
        <v>1334</v>
      </c>
      <c r="M18" s="56" t="n">
        <v>2</v>
      </c>
      <c r="N18" s="56" t="n">
        <v>1</v>
      </c>
      <c r="Q18" s="57" t="inlineStr">
        <is>
          <t>Occ</t>
        </is>
      </c>
      <c r="U18" s="58" t="n">
        <v>1350</v>
      </c>
      <c r="V18" s="58" t="n">
        <v>1000</v>
      </c>
      <c r="W18" s="58" t="n">
        <v>0</v>
      </c>
      <c r="X18" s="58" t="n">
        <v>0</v>
      </c>
      <c r="Y18" s="58" t="n">
        <v>25</v>
      </c>
      <c r="Z18" s="59" t="n">
        <v>42156</v>
      </c>
      <c r="AA18" s="59" t="n">
        <v>42156</v>
      </c>
      <c r="AB18" s="59" t="n">
        <v>46507</v>
      </c>
    </row>
    <row r="19">
      <c r="D19" s="36" t="inlineStr">
        <is>
          <t>Hertel Homes</t>
        </is>
      </c>
      <c r="E19" s="54" t="inlineStr">
        <is>
          <t>12</t>
        </is>
      </c>
      <c r="F19" s="54" t="inlineStr">
        <is>
          <t>2 Bed 1 Bath</t>
        </is>
      </c>
      <c r="G19" s="54" t="inlineStr">
        <is>
          <t>2 Bed 1 Bath</t>
        </is>
      </c>
      <c r="K19" s="36" t="inlineStr">
        <is>
          <t>Caseres, Yadrieliz</t>
        </is>
      </c>
      <c r="L19" s="55" t="n">
        <v>1334</v>
      </c>
      <c r="M19" s="56" t="n">
        <v>2</v>
      </c>
      <c r="N19" s="56" t="n">
        <v>1</v>
      </c>
      <c r="Q19" s="57" t="inlineStr">
        <is>
          <t>Occ</t>
        </is>
      </c>
      <c r="U19" s="58" t="n">
        <v>1350</v>
      </c>
      <c r="V19" s="58" t="n">
        <v>1450</v>
      </c>
      <c r="W19" s="58" t="n">
        <v>0</v>
      </c>
      <c r="X19" s="58" t="n">
        <v>0</v>
      </c>
      <c r="Y19" s="58" t="n">
        <v>0</v>
      </c>
      <c r="Z19" s="59" t="n">
        <v>44896</v>
      </c>
      <c r="AA19" s="59" t="n">
        <v>44896</v>
      </c>
      <c r="AB19" s="59" t="n">
        <v>46418</v>
      </c>
    </row>
    <row r="20">
      <c r="D20" s="36" t="inlineStr">
        <is>
          <t>Hertel Homes</t>
        </is>
      </c>
      <c r="E20" s="54" t="inlineStr">
        <is>
          <t>13</t>
        </is>
      </c>
      <c r="F20" s="54" t="inlineStr">
        <is>
          <t>2 Bed 1 Bath</t>
        </is>
      </c>
      <c r="G20" s="54" t="inlineStr">
        <is>
          <t>2 Bed 1 Bath</t>
        </is>
      </c>
      <c r="K20" s="36" t="inlineStr">
        <is>
          <t>Payne (BFNC), Ulysses</t>
        </is>
      </c>
      <c r="L20" s="55" t="n">
        <v>1334</v>
      </c>
      <c r="M20" s="56" t="n">
        <v>2</v>
      </c>
      <c r="N20" s="56" t="n">
        <v>1</v>
      </c>
      <c r="Q20" s="57" t="inlineStr">
        <is>
          <t>Occ</t>
        </is>
      </c>
      <c r="U20" s="58" t="n">
        <v>1350</v>
      </c>
      <c r="V20" s="58" t="n">
        <v>1350</v>
      </c>
      <c r="W20" s="58" t="n">
        <v>0</v>
      </c>
      <c r="X20" s="58" t="n">
        <v>0</v>
      </c>
      <c r="Y20" s="58" t="n">
        <v>0</v>
      </c>
      <c r="Z20" s="59" t="n">
        <v>45945</v>
      </c>
      <c r="AA20" s="59" t="n">
        <v>45945</v>
      </c>
      <c r="AB20" s="59" t="n">
        <v>46326</v>
      </c>
    </row>
    <row r="21">
      <c r="D21" s="36" t="inlineStr">
        <is>
          <t>Hertel Homes</t>
        </is>
      </c>
      <c r="E21" s="54" t="inlineStr">
        <is>
          <t>14</t>
        </is>
      </c>
      <c r="F21" s="54" t="inlineStr">
        <is>
          <t>2 Bed 1 Bath</t>
        </is>
      </c>
      <c r="G21" s="54" t="inlineStr">
        <is>
          <t>2 Bed 1 Bath</t>
        </is>
      </c>
      <c r="K21" s="36" t="inlineStr">
        <is>
          <t>Davis, Ebony</t>
        </is>
      </c>
      <c r="L21" s="55" t="n">
        <v>1334</v>
      </c>
      <c r="M21" s="56" t="n">
        <v>2</v>
      </c>
      <c r="N21" s="56" t="n">
        <v>1</v>
      </c>
      <c r="Q21" s="57" t="inlineStr">
        <is>
          <t>Occ</t>
        </is>
      </c>
      <c r="U21" s="58" t="n">
        <v>1350</v>
      </c>
      <c r="V21" s="58" t="n">
        <v>1325</v>
      </c>
      <c r="W21" s="58" t="n">
        <v>0</v>
      </c>
      <c r="X21" s="58" t="n">
        <v>0</v>
      </c>
      <c r="Y21" s="58" t="n">
        <v>0</v>
      </c>
      <c r="Z21" s="59" t="n">
        <v>46053</v>
      </c>
      <c r="AA21" s="59" t="n">
        <v>46053</v>
      </c>
      <c r="AB21" s="59" t="n">
        <v>46446</v>
      </c>
    </row>
    <row r="22">
      <c r="D22" s="36" t="inlineStr">
        <is>
          <t>Hertel Homes</t>
        </is>
      </c>
      <c r="E22" s="54" t="inlineStr">
        <is>
          <t>15</t>
        </is>
      </c>
      <c r="F22" s="54" t="inlineStr">
        <is>
          <t>2 Bed 1 Bath</t>
        </is>
      </c>
      <c r="G22" s="54" t="inlineStr">
        <is>
          <t>2 Bed 1 Bath</t>
        </is>
      </c>
      <c r="K22" s="36" t="inlineStr">
        <is>
          <t>Barner, Ne'Quan</t>
        </is>
      </c>
      <c r="L22" s="55" t="n">
        <v>1334</v>
      </c>
      <c r="M22" s="56" t="n">
        <v>2</v>
      </c>
      <c r="N22" s="56" t="n">
        <v>1</v>
      </c>
      <c r="Q22" s="57" t="inlineStr">
        <is>
          <t>Occ</t>
        </is>
      </c>
      <c r="U22" s="58" t="n">
        <v>1350</v>
      </c>
      <c r="V22" s="58" t="n">
        <v>1325</v>
      </c>
      <c r="W22" s="58" t="n">
        <v>0</v>
      </c>
      <c r="X22" s="58" t="n">
        <v>0</v>
      </c>
      <c r="Y22" s="58" t="n">
        <v>0</v>
      </c>
      <c r="Z22" s="59" t="n">
        <v>46023</v>
      </c>
      <c r="AA22" s="59" t="n">
        <v>46023</v>
      </c>
      <c r="AB22" s="59" t="n">
        <v>46418</v>
      </c>
    </row>
    <row r="23">
      <c r="D23" s="36" t="inlineStr">
        <is>
          <t>Hertel Homes</t>
        </is>
      </c>
      <c r="E23" s="54" t="inlineStr">
        <is>
          <t>16</t>
        </is>
      </c>
      <c r="F23" s="54" t="inlineStr">
        <is>
          <t>2 Bed 1 Bath</t>
        </is>
      </c>
      <c r="G23" s="54" t="inlineStr">
        <is>
          <t>2 Bed 1 Bath</t>
        </is>
      </c>
      <c r="K23" s="36" t="inlineStr">
        <is>
          <t>Showard, Brianna</t>
        </is>
      </c>
      <c r="L23" s="55" t="n">
        <v>1334</v>
      </c>
      <c r="M23" s="56" t="n">
        <v>2</v>
      </c>
      <c r="N23" s="56" t="n">
        <v>1</v>
      </c>
      <c r="Q23" s="57" t="inlineStr">
        <is>
          <t>Occ</t>
        </is>
      </c>
      <c r="U23" s="58" t="n">
        <v>1350</v>
      </c>
      <c r="V23" s="58" t="n">
        <v>1325</v>
      </c>
      <c r="W23" s="58" t="n">
        <v>0</v>
      </c>
      <c r="X23" s="58" t="n">
        <v>0</v>
      </c>
      <c r="Y23" s="58" t="n">
        <v>0</v>
      </c>
      <c r="Z23" s="59" t="n">
        <v>46037</v>
      </c>
      <c r="AA23" s="59" t="n">
        <v>46037</v>
      </c>
      <c r="AB23" s="59" t="n">
        <v>46418</v>
      </c>
    </row>
    <row r="24">
      <c r="D24" s="36" t="inlineStr">
        <is>
          <t>Hertel Homes</t>
        </is>
      </c>
      <c r="E24" s="54" t="inlineStr">
        <is>
          <t>17</t>
        </is>
      </c>
      <c r="F24" s="54" t="inlineStr">
        <is>
          <t>2 Bed 1 Bath</t>
        </is>
      </c>
      <c r="G24" s="54" t="inlineStr">
        <is>
          <t>2 Bed 1 Bath</t>
        </is>
      </c>
      <c r="K24" s="36" t="inlineStr">
        <is>
          <t>Vacant</t>
        </is>
      </c>
      <c r="L24" s="55" t="n">
        <v>1334</v>
      </c>
      <c r="M24" s="56" t="n">
        <v>2</v>
      </c>
      <c r="N24" s="56" t="n">
        <v>1</v>
      </c>
      <c r="Q24" s="57" t="inlineStr">
        <is>
          <t>Vac</t>
        </is>
      </c>
      <c r="U24" s="58" t="n">
        <v>1200</v>
      </c>
      <c r="V24" s="58" t="n">
        <v>0</v>
      </c>
      <c r="W24" s="58" t="n">
        <v>0</v>
      </c>
      <c r="X24" s="58" t="n">
        <v>0</v>
      </c>
      <c r="Y24" s="58" t="n">
        <v>0</v>
      </c>
    </row>
    <row r="25">
      <c r="D25" s="36" t="inlineStr">
        <is>
          <t>Hertel Homes</t>
        </is>
      </c>
      <c r="E25" s="54" t="inlineStr">
        <is>
          <t>18</t>
        </is>
      </c>
      <c r="F25" s="54" t="inlineStr">
        <is>
          <t>2 Bed 1 Bath</t>
        </is>
      </c>
      <c r="G25" s="54" t="inlineStr">
        <is>
          <t>2 Bed 1 Bath</t>
        </is>
      </c>
      <c r="K25" s="36" t="inlineStr">
        <is>
          <t>Cash, Najah</t>
        </is>
      </c>
      <c r="L25" s="55" t="n">
        <v>1334</v>
      </c>
      <c r="M25" s="56" t="n">
        <v>2</v>
      </c>
      <c r="N25" s="56" t="n">
        <v>1</v>
      </c>
      <c r="Q25" s="57" t="inlineStr">
        <is>
          <t>Occ</t>
        </is>
      </c>
      <c r="U25" s="58" t="n">
        <v>1350</v>
      </c>
      <c r="V25" s="58" t="n">
        <v>1350</v>
      </c>
      <c r="W25" s="58" t="n">
        <v>0</v>
      </c>
      <c r="X25" s="58" t="n">
        <v>0</v>
      </c>
      <c r="Y25" s="58" t="n">
        <v>0</v>
      </c>
      <c r="Z25" s="59" t="n">
        <v>45931</v>
      </c>
      <c r="AA25" s="59" t="n">
        <v>45931</v>
      </c>
      <c r="AB25" s="59" t="n">
        <v>46295</v>
      </c>
    </row>
    <row r="26">
      <c r="D26" s="36" t="inlineStr">
        <is>
          <t>Hertel Homes</t>
        </is>
      </c>
      <c r="E26" s="54" t="inlineStr">
        <is>
          <t>19</t>
        </is>
      </c>
      <c r="F26" s="54" t="inlineStr">
        <is>
          <t>3 Bed 1.5 Bath</t>
        </is>
      </c>
      <c r="G26" s="54" t="inlineStr">
        <is>
          <t>3 Bed 1.5 Bath</t>
        </is>
      </c>
      <c r="K26" s="36" t="inlineStr">
        <is>
          <t>Correa (BEL), Carlin</t>
        </is>
      </c>
      <c r="L26" s="55" t="n">
        <v>1334</v>
      </c>
      <c r="M26" s="56" t="n">
        <v>3</v>
      </c>
      <c r="N26" s="56" t="n">
        <v>1.5</v>
      </c>
      <c r="Q26" s="57" t="inlineStr">
        <is>
          <t>Occ</t>
        </is>
      </c>
      <c r="U26" s="58" t="n">
        <v>1495</v>
      </c>
      <c r="V26" s="58" t="n">
        <v>1150</v>
      </c>
      <c r="W26" s="58" t="n">
        <v>0</v>
      </c>
      <c r="X26" s="58" t="n">
        <v>0</v>
      </c>
      <c r="Y26" s="58" t="n">
        <v>0</v>
      </c>
      <c r="Z26" s="59" t="n">
        <v>43888</v>
      </c>
      <c r="AA26" s="59" t="n">
        <v>43888</v>
      </c>
      <c r="AB26" s="59" t="n">
        <v>46568</v>
      </c>
    </row>
    <row r="27">
      <c r="D27" s="36" t="inlineStr">
        <is>
          <t>Hertel Homes</t>
        </is>
      </c>
      <c r="E27" s="54" t="inlineStr">
        <is>
          <t>20</t>
        </is>
      </c>
      <c r="F27" s="54" t="inlineStr">
        <is>
          <t>3 Bed 1.5 Bath</t>
        </is>
      </c>
      <c r="G27" s="54" t="inlineStr">
        <is>
          <t>3 Bed 1.5 Bath</t>
        </is>
      </c>
      <c r="K27" s="36" t="inlineStr">
        <is>
          <t>Crawford, Lori</t>
        </is>
      </c>
      <c r="L27" s="55" t="n">
        <v>1521</v>
      </c>
      <c r="M27" s="56" t="n">
        <v>3</v>
      </c>
      <c r="N27" s="56" t="n">
        <v>1.5</v>
      </c>
      <c r="Q27" s="57" t="inlineStr">
        <is>
          <t>Occ</t>
        </is>
      </c>
      <c r="U27" s="58" t="n">
        <v>1495</v>
      </c>
      <c r="V27" s="58" t="n">
        <v>1450</v>
      </c>
      <c r="W27" s="58" t="n">
        <v>0</v>
      </c>
      <c r="X27" s="58" t="n">
        <v>0</v>
      </c>
      <c r="Y27" s="58" t="n">
        <v>105</v>
      </c>
      <c r="Z27" s="59" t="n">
        <v>45565</v>
      </c>
      <c r="AA27" s="59" t="n">
        <v>45565</v>
      </c>
      <c r="AB27" s="59" t="n">
        <v>46295</v>
      </c>
    </row>
    <row r="28">
      <c r="D28" s="36" t="inlineStr">
        <is>
          <t>Hertel Homes</t>
        </is>
      </c>
      <c r="E28" s="54" t="inlineStr">
        <is>
          <t>21</t>
        </is>
      </c>
      <c r="F28" s="54" t="inlineStr">
        <is>
          <t>2 Bed 1 Bath</t>
        </is>
      </c>
      <c r="G28" s="54" t="inlineStr">
        <is>
          <t>2 Bed 1 Bath</t>
        </is>
      </c>
      <c r="K28" s="36" t="inlineStr">
        <is>
          <t>Coffey, Duane</t>
        </is>
      </c>
      <c r="L28" s="55" t="n">
        <v>1334</v>
      </c>
      <c r="M28" s="56" t="n">
        <v>2</v>
      </c>
      <c r="N28" s="56" t="n">
        <v>1</v>
      </c>
      <c r="Q28" s="57" t="inlineStr">
        <is>
          <t>Occ</t>
        </is>
      </c>
      <c r="U28" s="58" t="n">
        <v>1325</v>
      </c>
      <c r="V28" s="58" t="n">
        <v>800</v>
      </c>
      <c r="W28" s="58" t="n">
        <v>0</v>
      </c>
      <c r="X28" s="58" t="n">
        <v>0</v>
      </c>
      <c r="Y28" s="58" t="n">
        <v>0</v>
      </c>
      <c r="Z28" s="59" t="n">
        <v>40299</v>
      </c>
      <c r="AA28" s="59" t="n">
        <v>40299</v>
      </c>
      <c r="AB28" s="59" t="n">
        <v>46326</v>
      </c>
    </row>
    <row r="29">
      <c r="D29" s="36" t="inlineStr">
        <is>
          <t>Hertel Homes</t>
        </is>
      </c>
      <c r="E29" s="54" t="inlineStr">
        <is>
          <t>22</t>
        </is>
      </c>
      <c r="F29" s="54" t="inlineStr">
        <is>
          <t>1 Bed 1 Bath</t>
        </is>
      </c>
      <c r="G29" s="54" t="inlineStr">
        <is>
          <t>1 Bed 1 Bath</t>
        </is>
      </c>
      <c r="K29" s="36" t="inlineStr">
        <is>
          <t>Miller, Richelle</t>
        </is>
      </c>
      <c r="L29" s="55" t="n">
        <v>1149</v>
      </c>
      <c r="M29" s="56" t="n">
        <v>1</v>
      </c>
      <c r="N29" s="56" t="n">
        <v>1</v>
      </c>
      <c r="Q29" s="57" t="inlineStr">
        <is>
          <t>Occ</t>
        </is>
      </c>
      <c r="U29" s="58" t="n">
        <v>1195</v>
      </c>
      <c r="V29" s="58" t="n">
        <v>1195</v>
      </c>
      <c r="W29" s="58" t="n">
        <v>0</v>
      </c>
      <c r="X29" s="58" t="n">
        <v>0</v>
      </c>
      <c r="Y29" s="58" t="n">
        <v>0</v>
      </c>
      <c r="Z29" s="59" t="n">
        <v>46106</v>
      </c>
      <c r="AA29" s="59" t="n">
        <v>46106</v>
      </c>
      <c r="AB29" s="59" t="n">
        <v>46477</v>
      </c>
    </row>
    <row r="30">
      <c r="D30" s="36" t="inlineStr">
        <is>
          <t>Hertel Homes</t>
        </is>
      </c>
      <c r="E30" s="54" t="inlineStr">
        <is>
          <t>23</t>
        </is>
      </c>
      <c r="F30" s="54" t="inlineStr">
        <is>
          <t>3 Bed/ 1Bath</t>
        </is>
      </c>
      <c r="G30" s="54" t="inlineStr">
        <is>
          <t>3 Bed/ 1Bath</t>
        </is>
      </c>
      <c r="K30" s="36" t="inlineStr">
        <is>
          <t>McDuffie, Adaysha</t>
        </is>
      </c>
      <c r="L30" s="55" t="n">
        <v>1521</v>
      </c>
      <c r="M30" s="56" t="n">
        <v>3</v>
      </c>
      <c r="N30" s="56" t="n">
        <v>1</v>
      </c>
      <c r="Q30" s="57" t="inlineStr">
        <is>
          <t>Occ</t>
        </is>
      </c>
      <c r="U30" s="58" t="n">
        <v>1495</v>
      </c>
      <c r="V30" s="58" t="n">
        <v>1600</v>
      </c>
      <c r="W30" s="58" t="n">
        <v>0</v>
      </c>
      <c r="X30" s="58" t="n">
        <v>0</v>
      </c>
      <c r="Y30" s="58" t="n">
        <v>0</v>
      </c>
      <c r="Z30" s="59" t="n">
        <v>45078</v>
      </c>
      <c r="AA30" s="59" t="n">
        <v>45078</v>
      </c>
      <c r="AB30" s="59" t="n">
        <v>46173</v>
      </c>
    </row>
    <row r="31">
      <c r="D31" s="36" t="inlineStr">
        <is>
          <t>Hertel Homes</t>
        </is>
      </c>
      <c r="E31" s="54" t="inlineStr">
        <is>
          <t>24</t>
        </is>
      </c>
      <c r="F31" s="54" t="inlineStr">
        <is>
          <t>2 Bed 1 Bath</t>
        </is>
      </c>
      <c r="G31" s="54" t="inlineStr">
        <is>
          <t>2 Bed 1 Bath</t>
        </is>
      </c>
      <c r="K31" s="36" t="inlineStr">
        <is>
          <t>Dandridge, Maria</t>
        </is>
      </c>
      <c r="L31" s="55" t="n">
        <v>1334</v>
      </c>
      <c r="M31" s="56" t="n">
        <v>2</v>
      </c>
      <c r="N31" s="56" t="n">
        <v>1</v>
      </c>
      <c r="Q31" s="57" t="inlineStr">
        <is>
          <t>Occ</t>
        </is>
      </c>
      <c r="U31" s="58" t="n">
        <v>1325</v>
      </c>
      <c r="V31" s="58" t="n">
        <v>1325</v>
      </c>
      <c r="W31" s="58" t="n">
        <v>0</v>
      </c>
      <c r="X31" s="58" t="n">
        <v>0</v>
      </c>
      <c r="Y31" s="58" t="n">
        <v>0</v>
      </c>
      <c r="Z31" s="59" t="n">
        <v>46045</v>
      </c>
      <c r="AA31" s="59" t="n">
        <v>46045</v>
      </c>
      <c r="AB31" s="59" t="n">
        <v>46418</v>
      </c>
    </row>
    <row r="32">
      <c r="D32" s="36" t="inlineStr">
        <is>
          <t>Hertel Homes</t>
        </is>
      </c>
      <c r="E32" s="54" t="inlineStr">
        <is>
          <t>25</t>
        </is>
      </c>
      <c r="F32" s="54" t="inlineStr">
        <is>
          <t>2 Bed 1 Bath</t>
        </is>
      </c>
      <c r="G32" s="54" t="inlineStr">
        <is>
          <t>2 Bed 1 Bath</t>
        </is>
      </c>
      <c r="K32" s="36" t="inlineStr">
        <is>
          <t>Hudson, Tanya</t>
        </is>
      </c>
      <c r="L32" s="55" t="n">
        <v>1334</v>
      </c>
      <c r="M32" s="56" t="n">
        <v>2</v>
      </c>
      <c r="N32" s="56" t="n">
        <v>1</v>
      </c>
      <c r="Q32" s="57" t="inlineStr">
        <is>
          <t>Occ</t>
        </is>
      </c>
      <c r="U32" s="58" t="n">
        <v>1325</v>
      </c>
      <c r="V32" s="58" t="n">
        <v>1300</v>
      </c>
      <c r="W32" s="58" t="n">
        <v>0</v>
      </c>
      <c r="X32" s="58" t="n">
        <v>0</v>
      </c>
      <c r="Y32" s="58" t="n">
        <v>0</v>
      </c>
      <c r="Z32" s="59" t="n">
        <v>46174</v>
      </c>
      <c r="AA32" s="59" t="n">
        <v>46174</v>
      </c>
      <c r="AB32" s="59" t="n">
        <v>46538</v>
      </c>
    </row>
    <row r="33">
      <c r="D33" s="36" t="inlineStr">
        <is>
          <t>Hertel Homes</t>
        </is>
      </c>
      <c r="E33" s="54" t="inlineStr">
        <is>
          <t>26</t>
        </is>
      </c>
      <c r="F33" s="54" t="inlineStr">
        <is>
          <t>3 Bed/1Bath FP</t>
        </is>
      </c>
      <c r="G33" s="54" t="inlineStr">
        <is>
          <t>3 Bed/1Bath FP</t>
        </is>
      </c>
      <c r="K33" s="36" t="inlineStr">
        <is>
          <t>Cramer, Mary</t>
        </is>
      </c>
      <c r="L33" s="55" t="n">
        <v>1521</v>
      </c>
      <c r="M33" s="56" t="n">
        <v>3</v>
      </c>
      <c r="N33" s="56" t="n">
        <v>1</v>
      </c>
      <c r="Q33" s="57" t="inlineStr">
        <is>
          <t>Occ</t>
        </is>
      </c>
      <c r="U33" s="58" t="n">
        <v>1325</v>
      </c>
      <c r="V33" s="58" t="n">
        <v>1400</v>
      </c>
      <c r="W33" s="58" t="n">
        <v>0</v>
      </c>
      <c r="X33" s="58" t="n">
        <v>0</v>
      </c>
      <c r="Y33" s="58" t="n">
        <v>0</v>
      </c>
      <c r="Z33" s="59" t="n">
        <v>46096</v>
      </c>
      <c r="AA33" s="59" t="n">
        <v>46096</v>
      </c>
      <c r="AB33" s="59" t="n">
        <v>46477</v>
      </c>
    </row>
    <row r="34">
      <c r="D34" s="36" t="inlineStr">
        <is>
          <t>Hertel Homes</t>
        </is>
      </c>
      <c r="E34" s="54" t="inlineStr">
        <is>
          <t>27</t>
        </is>
      </c>
      <c r="F34" s="54" t="inlineStr">
        <is>
          <t>1 Bed 1 Bath</t>
        </is>
      </c>
      <c r="G34" s="54" t="inlineStr">
        <is>
          <t>1 Bed 1 Bath</t>
        </is>
      </c>
      <c r="K34" s="36" t="inlineStr">
        <is>
          <t>Dittrich, Ashley</t>
        </is>
      </c>
      <c r="L34" s="55" t="n">
        <v>1149</v>
      </c>
      <c r="M34" s="56" t="n">
        <v>1</v>
      </c>
      <c r="N34" s="56" t="n">
        <v>1</v>
      </c>
      <c r="Q34" s="57" t="inlineStr">
        <is>
          <t>Occ</t>
        </is>
      </c>
      <c r="U34" s="58" t="n">
        <v>1195</v>
      </c>
      <c r="V34" s="58" t="n">
        <v>1195</v>
      </c>
      <c r="W34" s="58" t="n">
        <v>0</v>
      </c>
      <c r="X34" s="58" t="n">
        <v>0</v>
      </c>
      <c r="Y34" s="58" t="n">
        <v>0</v>
      </c>
      <c r="Z34" s="59" t="n">
        <v>45258</v>
      </c>
      <c r="AA34" s="59" t="n">
        <v>45258</v>
      </c>
      <c r="AB34" s="59" t="n">
        <v>46356</v>
      </c>
    </row>
    <row r="35">
      <c r="D35" s="36" t="inlineStr">
        <is>
          <t>Hertel Homes</t>
        </is>
      </c>
      <c r="E35" s="54" t="inlineStr">
        <is>
          <t>28</t>
        </is>
      </c>
      <c r="F35" s="54" t="inlineStr">
        <is>
          <t>2 Bed 1 Bath</t>
        </is>
      </c>
      <c r="G35" s="54" t="inlineStr">
        <is>
          <t>2 Bed 1 Bath</t>
        </is>
      </c>
      <c r="K35" s="36" t="inlineStr">
        <is>
          <t>Pena, Deja</t>
        </is>
      </c>
      <c r="L35" s="55" t="n">
        <v>1334</v>
      </c>
      <c r="M35" s="56" t="n">
        <v>2</v>
      </c>
      <c r="N35" s="56" t="n">
        <v>1</v>
      </c>
      <c r="Q35" s="57" t="inlineStr">
        <is>
          <t>Occ</t>
        </is>
      </c>
      <c r="U35" s="58" t="n">
        <v>1325</v>
      </c>
      <c r="V35" s="58" t="n">
        <v>1150</v>
      </c>
      <c r="W35" s="58" t="n">
        <v>0</v>
      </c>
      <c r="X35" s="58" t="n">
        <v>0</v>
      </c>
      <c r="Y35" s="58" t="n">
        <v>0</v>
      </c>
      <c r="Z35" s="59" t="n">
        <v>43763</v>
      </c>
      <c r="AA35" s="59" t="n">
        <v>43763</v>
      </c>
      <c r="AB35" s="59" t="n">
        <v>46173</v>
      </c>
    </row>
    <row r="36">
      <c r="D36" s="36" t="inlineStr">
        <is>
          <t>Hertel Homes</t>
        </is>
      </c>
      <c r="E36" s="54" t="inlineStr">
        <is>
          <t>29</t>
        </is>
      </c>
      <c r="F36" s="54" t="inlineStr">
        <is>
          <t>2 Bed 1 Bath</t>
        </is>
      </c>
      <c r="G36" s="54" t="inlineStr">
        <is>
          <t>2 Bed 1 Bath</t>
        </is>
      </c>
      <c r="K36" s="36" t="inlineStr">
        <is>
          <t>Berry (BEL), Delores</t>
        </is>
      </c>
      <c r="L36" s="55" t="n">
        <v>1334</v>
      </c>
      <c r="M36" s="56" t="n">
        <v>2</v>
      </c>
      <c r="N36" s="56" t="n">
        <v>1</v>
      </c>
      <c r="Q36" s="57" t="inlineStr">
        <is>
          <t>Occ</t>
        </is>
      </c>
      <c r="U36" s="58" t="n">
        <v>1325</v>
      </c>
      <c r="V36" s="58" t="n">
        <v>1175</v>
      </c>
      <c r="W36" s="58" t="n">
        <v>0</v>
      </c>
      <c r="X36" s="58" t="n">
        <v>0</v>
      </c>
      <c r="Y36" s="58" t="n">
        <v>200</v>
      </c>
      <c r="Z36" s="59" t="n">
        <v>43419</v>
      </c>
      <c r="AA36" s="59" t="n">
        <v>43419</v>
      </c>
      <c r="AB36" s="59" t="n">
        <v>46599</v>
      </c>
    </row>
    <row r="37">
      <c r="D37" s="36" t="inlineStr">
        <is>
          <t>Hertel Homes</t>
        </is>
      </c>
      <c r="E37" s="54" t="inlineStr">
        <is>
          <t>30</t>
        </is>
      </c>
      <c r="F37" s="54" t="inlineStr">
        <is>
          <t>2 Bed 1 Bath</t>
        </is>
      </c>
      <c r="G37" s="54" t="inlineStr">
        <is>
          <t>2 Bed 1 Bath</t>
        </is>
      </c>
      <c r="K37" s="36" t="inlineStr">
        <is>
          <t>Vacant</t>
        </is>
      </c>
      <c r="L37" s="55" t="n">
        <v>1334</v>
      </c>
      <c r="M37" s="56" t="n">
        <v>2</v>
      </c>
      <c r="N37" s="56" t="n">
        <v>1</v>
      </c>
      <c r="Q37" s="57" t="inlineStr">
        <is>
          <t>Vac</t>
        </is>
      </c>
      <c r="U37" s="58" t="n">
        <v>1200</v>
      </c>
      <c r="V37" s="58" t="n">
        <v>0</v>
      </c>
      <c r="W37" s="58" t="n">
        <v>0</v>
      </c>
      <c r="X37" s="58" t="n">
        <v>0</v>
      </c>
      <c r="Y37" s="58" t="n">
        <v>0</v>
      </c>
    </row>
    <row r="38">
      <c r="D38" s="36" t="inlineStr">
        <is>
          <t>Hertel Homes</t>
        </is>
      </c>
      <c r="E38" s="54" t="inlineStr">
        <is>
          <t>31</t>
        </is>
      </c>
      <c r="F38" s="54" t="inlineStr">
        <is>
          <t>2 Bed 1 Bath</t>
        </is>
      </c>
      <c r="G38" s="54" t="inlineStr">
        <is>
          <t>2 Bed 1 Bath</t>
        </is>
      </c>
      <c r="K38" s="36" t="inlineStr">
        <is>
          <t>Nemi-Mack (BFNC), Jaiana</t>
        </is>
      </c>
      <c r="L38" s="55" t="n">
        <v>1334</v>
      </c>
      <c r="M38" s="56" t="n">
        <v>2</v>
      </c>
      <c r="N38" s="56" t="n">
        <v>1</v>
      </c>
      <c r="Q38" s="57" t="inlineStr">
        <is>
          <t>Occ</t>
        </is>
      </c>
      <c r="U38" s="58" t="n">
        <v>1325</v>
      </c>
      <c r="V38" s="58" t="n">
        <v>1325</v>
      </c>
      <c r="W38" s="58" t="n">
        <v>0</v>
      </c>
      <c r="X38" s="58" t="n">
        <v>0</v>
      </c>
      <c r="Y38" s="58" t="n">
        <v>0</v>
      </c>
      <c r="Z38" s="59" t="n">
        <v>45945</v>
      </c>
      <c r="AA38" s="59" t="n">
        <v>45945</v>
      </c>
      <c r="AB38" s="59" t="n">
        <v>46326</v>
      </c>
    </row>
    <row r="39">
      <c r="D39" s="36" t="inlineStr">
        <is>
          <t>Hertel Homes</t>
        </is>
      </c>
      <c r="E39" s="54" t="inlineStr">
        <is>
          <t>32</t>
        </is>
      </c>
      <c r="F39" s="54" t="inlineStr">
        <is>
          <t>2 Bed 1 Bath</t>
        </is>
      </c>
      <c r="G39" s="54" t="inlineStr">
        <is>
          <t>2 Bed 1 Bath</t>
        </is>
      </c>
      <c r="K39" s="36" t="inlineStr">
        <is>
          <t>Parker-Hall, Alma</t>
        </is>
      </c>
      <c r="L39" s="55" t="n">
        <v>1334</v>
      </c>
      <c r="M39" s="56" t="n">
        <v>2</v>
      </c>
      <c r="N39" s="56" t="n">
        <v>1</v>
      </c>
      <c r="Q39" s="57" t="inlineStr">
        <is>
          <t>Occ</t>
        </is>
      </c>
      <c r="U39" s="58" t="n">
        <v>1325</v>
      </c>
      <c r="V39" s="58" t="n">
        <v>1000</v>
      </c>
      <c r="W39" s="58" t="n">
        <v>0</v>
      </c>
      <c r="X39" s="58" t="n">
        <v>0</v>
      </c>
      <c r="Y39" s="58" t="n">
        <v>0</v>
      </c>
      <c r="Z39" s="59" t="n">
        <v>43363</v>
      </c>
      <c r="AA39" s="59" t="n">
        <v>43363</v>
      </c>
      <c r="AB39" s="59" t="n">
        <v>46142</v>
      </c>
    </row>
    <row r="40">
      <c r="D40" s="36" t="inlineStr">
        <is>
          <t>Hertel Homes</t>
        </is>
      </c>
      <c r="E40" s="54" t="inlineStr">
        <is>
          <t>33</t>
        </is>
      </c>
      <c r="F40" s="54" t="inlineStr">
        <is>
          <t>2 Bed 1 Bath</t>
        </is>
      </c>
      <c r="G40" s="54" t="inlineStr">
        <is>
          <t>2 Bed 1 Bath</t>
        </is>
      </c>
      <c r="K40" s="36" t="inlineStr">
        <is>
          <t>Alexander, Jennell</t>
        </is>
      </c>
      <c r="L40" s="55" t="n">
        <v>1334</v>
      </c>
      <c r="M40" s="56" t="n">
        <v>2</v>
      </c>
      <c r="N40" s="56" t="n">
        <v>1</v>
      </c>
      <c r="Q40" s="57" t="inlineStr">
        <is>
          <t>Occ</t>
        </is>
      </c>
      <c r="U40" s="58" t="n">
        <v>1325</v>
      </c>
      <c r="V40" s="58" t="n">
        <v>1050</v>
      </c>
      <c r="W40" s="58" t="n">
        <v>0</v>
      </c>
      <c r="X40" s="58" t="n">
        <v>0</v>
      </c>
      <c r="Y40" s="58" t="n">
        <v>0</v>
      </c>
      <c r="Z40" s="59" t="n">
        <v>43195</v>
      </c>
      <c r="AA40" s="59" t="n">
        <v>43195</v>
      </c>
      <c r="AB40" s="59" t="n">
        <v>46507</v>
      </c>
    </row>
    <row r="41">
      <c r="D41" s="36" t="inlineStr">
        <is>
          <t>Hertel Homes</t>
        </is>
      </c>
      <c r="E41" s="54" t="inlineStr">
        <is>
          <t>34</t>
        </is>
      </c>
      <c r="F41" s="54" t="inlineStr">
        <is>
          <t>2 Bed 1 Bath</t>
        </is>
      </c>
      <c r="G41" s="54" t="inlineStr">
        <is>
          <t>2 Bed 1 Bath</t>
        </is>
      </c>
      <c r="K41" s="36" t="inlineStr">
        <is>
          <t>Colon (BMHA), Jami'lis</t>
        </is>
      </c>
      <c r="L41" s="55" t="n">
        <v>1334</v>
      </c>
      <c r="M41" s="56" t="n">
        <v>2</v>
      </c>
      <c r="N41" s="56" t="n">
        <v>1</v>
      </c>
      <c r="Q41" s="57" t="inlineStr">
        <is>
          <t>Occ</t>
        </is>
      </c>
      <c r="U41" s="58" t="n">
        <v>1325</v>
      </c>
      <c r="V41" s="58" t="n">
        <v>950</v>
      </c>
      <c r="W41" s="58" t="n">
        <v>0</v>
      </c>
      <c r="X41" s="58" t="n">
        <v>0</v>
      </c>
      <c r="Y41" s="58" t="n">
        <v>0</v>
      </c>
      <c r="Z41" s="59" t="n">
        <v>42614</v>
      </c>
      <c r="AA41" s="59" t="n">
        <v>42614</v>
      </c>
      <c r="AB41" s="59" t="n">
        <v>45900</v>
      </c>
    </row>
    <row r="42">
      <c r="D42" s="36" t="inlineStr">
        <is>
          <t>Hertel Homes</t>
        </is>
      </c>
      <c r="E42" s="54" t="inlineStr">
        <is>
          <t>35</t>
        </is>
      </c>
      <c r="F42" s="54" t="inlineStr">
        <is>
          <t>2 Bed 1 Bath</t>
        </is>
      </c>
      <c r="G42" s="54" t="inlineStr">
        <is>
          <t>2 Bed 1 Bath</t>
        </is>
      </c>
      <c r="K42" s="36" t="inlineStr">
        <is>
          <t>Santiago (RACB), Maria</t>
        </is>
      </c>
      <c r="L42" s="55" t="n">
        <v>1334</v>
      </c>
      <c r="M42" s="56" t="n">
        <v>2</v>
      </c>
      <c r="N42" s="56" t="n">
        <v>1</v>
      </c>
      <c r="Q42" s="57" t="inlineStr">
        <is>
          <t>Occ</t>
        </is>
      </c>
      <c r="U42" s="58" t="n">
        <v>1325</v>
      </c>
      <c r="V42" s="58" t="n">
        <v>1050</v>
      </c>
      <c r="W42" s="58" t="n">
        <v>0</v>
      </c>
      <c r="X42" s="58" t="n">
        <v>0</v>
      </c>
      <c r="Y42" s="58" t="n">
        <v>50</v>
      </c>
      <c r="Z42" s="59" t="n">
        <v>38777</v>
      </c>
      <c r="AA42" s="59" t="n">
        <v>38777</v>
      </c>
      <c r="AB42" s="59" t="n">
        <v>46446</v>
      </c>
    </row>
    <row r="43">
      <c r="D43" s="36" t="inlineStr">
        <is>
          <t>Hertel Homes</t>
        </is>
      </c>
      <c r="E43" s="54" t="inlineStr">
        <is>
          <t>36</t>
        </is>
      </c>
      <c r="F43" s="54" t="inlineStr">
        <is>
          <t>3 Bed/ 1Bath</t>
        </is>
      </c>
      <c r="G43" s="54" t="inlineStr">
        <is>
          <t>3 Bed/ 1Bath</t>
        </is>
      </c>
      <c r="K43" s="36" t="inlineStr">
        <is>
          <t>Mangier Parra, Luis</t>
        </is>
      </c>
      <c r="L43" s="55" t="n">
        <v>1521</v>
      </c>
      <c r="M43" s="56" t="n">
        <v>3</v>
      </c>
      <c r="N43" s="56" t="n">
        <v>1</v>
      </c>
      <c r="Q43" s="57" t="inlineStr">
        <is>
          <t>Occ</t>
        </is>
      </c>
      <c r="U43" s="58" t="n">
        <v>1475</v>
      </c>
      <c r="V43" s="58" t="n">
        <v>1375</v>
      </c>
      <c r="W43" s="58" t="n">
        <v>0</v>
      </c>
      <c r="X43" s="58" t="n">
        <v>0</v>
      </c>
      <c r="Y43" s="58" t="n">
        <v>0</v>
      </c>
      <c r="Z43" s="59" t="n">
        <v>45328</v>
      </c>
      <c r="AA43" s="59" t="n">
        <v>45328</v>
      </c>
      <c r="AB43" s="59" t="n">
        <v>46446</v>
      </c>
    </row>
    <row r="44">
      <c r="D44" s="36" t="inlineStr">
        <is>
          <t>Hertel Homes</t>
        </is>
      </c>
      <c r="E44" s="54" t="inlineStr">
        <is>
          <t>37</t>
        </is>
      </c>
      <c r="F44" s="54" t="inlineStr">
        <is>
          <t>1 Bed 1 Bath</t>
        </is>
      </c>
      <c r="G44" s="54" t="inlineStr">
        <is>
          <t>1 Bed 1 Bath</t>
        </is>
      </c>
      <c r="K44" s="36" t="inlineStr">
        <is>
          <t>Kennelly, Brooke</t>
        </is>
      </c>
      <c r="L44" s="55" t="n">
        <v>1149</v>
      </c>
      <c r="M44" s="56" t="n">
        <v>1</v>
      </c>
      <c r="N44" s="56" t="n">
        <v>1</v>
      </c>
      <c r="Q44" s="57" t="inlineStr">
        <is>
          <t>Occ</t>
        </is>
      </c>
      <c r="U44" s="58" t="n">
        <v>1195</v>
      </c>
      <c r="V44" s="58" t="n">
        <v>1150</v>
      </c>
      <c r="W44" s="58" t="n">
        <v>0</v>
      </c>
      <c r="X44" s="58" t="n">
        <v>0</v>
      </c>
      <c r="Y44" s="58" t="n">
        <v>0</v>
      </c>
      <c r="Z44" s="59" t="n">
        <v>46193</v>
      </c>
      <c r="AA44" s="59" t="n">
        <v>46193</v>
      </c>
      <c r="AB44" s="59" t="n">
        <v>46568</v>
      </c>
    </row>
    <row r="45">
      <c r="D45" s="36" t="inlineStr">
        <is>
          <t>Hertel Homes</t>
        </is>
      </c>
      <c r="E45" s="54" t="inlineStr">
        <is>
          <t>38</t>
        </is>
      </c>
      <c r="F45" s="54" t="inlineStr">
        <is>
          <t>2 Bed 1 Bath</t>
        </is>
      </c>
      <c r="G45" s="54" t="inlineStr">
        <is>
          <t>2 Bed 1 Bath</t>
        </is>
      </c>
      <c r="K45" s="36" t="inlineStr">
        <is>
          <t>Brown, Katlyn</t>
        </is>
      </c>
      <c r="L45" s="55" t="n">
        <v>1334</v>
      </c>
      <c r="M45" s="56" t="n">
        <v>2</v>
      </c>
      <c r="N45" s="56" t="n">
        <v>1</v>
      </c>
      <c r="Q45" s="57" t="inlineStr">
        <is>
          <t>Occ</t>
        </is>
      </c>
      <c r="U45" s="58" t="n">
        <v>1325</v>
      </c>
      <c r="V45" s="58" t="n">
        <v>1275</v>
      </c>
      <c r="W45" s="58" t="n">
        <v>0</v>
      </c>
      <c r="X45" s="58" t="n">
        <v>0</v>
      </c>
      <c r="Y45" s="58" t="n">
        <v>0</v>
      </c>
      <c r="Z45" s="59" t="n">
        <v>46143</v>
      </c>
      <c r="AA45" s="59" t="n">
        <v>46143</v>
      </c>
      <c r="AB45" s="59" t="n">
        <v>46507</v>
      </c>
    </row>
    <row r="46">
      <c r="D46" s="36" t="inlineStr">
        <is>
          <t>Hertel Homes</t>
        </is>
      </c>
      <c r="E46" s="54" t="inlineStr">
        <is>
          <t>39</t>
        </is>
      </c>
      <c r="F46" s="54" t="inlineStr">
        <is>
          <t>3 Bed 1.5 Bath</t>
        </is>
      </c>
      <c r="G46" s="54" t="inlineStr">
        <is>
          <t>3 Bed 1.5 Bath</t>
        </is>
      </c>
      <c r="K46" s="36" t="inlineStr">
        <is>
          <t>Lopez (RACB), Chantel</t>
        </is>
      </c>
      <c r="L46" s="55" t="n">
        <v>1521</v>
      </c>
      <c r="M46" s="56" t="n">
        <v>3</v>
      </c>
      <c r="N46" s="56" t="n">
        <v>1.5</v>
      </c>
      <c r="Q46" s="57" t="inlineStr">
        <is>
          <t>Occ</t>
        </is>
      </c>
      <c r="U46" s="58" t="n">
        <v>1495</v>
      </c>
      <c r="V46" s="58" t="n">
        <v>1400</v>
      </c>
      <c r="W46" s="58" t="n">
        <v>0</v>
      </c>
      <c r="X46" s="58" t="n">
        <v>0</v>
      </c>
      <c r="Y46" s="58" t="n">
        <v>0</v>
      </c>
      <c r="Z46" s="59" t="n">
        <v>46113</v>
      </c>
      <c r="AA46" s="59" t="n">
        <v>46113</v>
      </c>
      <c r="AB46" s="59" t="n">
        <v>46507</v>
      </c>
    </row>
    <row r="47">
      <c r="D47" s="36" t="inlineStr">
        <is>
          <t>Hertel Homes</t>
        </is>
      </c>
      <c r="E47" s="54" t="inlineStr">
        <is>
          <t>40</t>
        </is>
      </c>
      <c r="F47" s="54" t="inlineStr">
        <is>
          <t>3 Bed 1.5 Bath</t>
        </is>
      </c>
      <c r="G47" s="54" t="inlineStr">
        <is>
          <t>3 Bed 1.5 Bath</t>
        </is>
      </c>
      <c r="K47" s="36" t="inlineStr">
        <is>
          <t>Falcon, Alejandra</t>
        </is>
      </c>
      <c r="L47" s="55" t="n">
        <v>1521</v>
      </c>
      <c r="M47" s="56" t="n">
        <v>3</v>
      </c>
      <c r="N47" s="56" t="n">
        <v>1.5</v>
      </c>
      <c r="Q47" s="57" t="inlineStr">
        <is>
          <t>Occ</t>
        </is>
      </c>
      <c r="U47" s="58" t="n">
        <v>1495</v>
      </c>
      <c r="V47" s="58" t="n">
        <v>1500</v>
      </c>
      <c r="W47" s="58" t="n">
        <v>0</v>
      </c>
      <c r="X47" s="58" t="n">
        <v>0</v>
      </c>
      <c r="Y47" s="58" t="n">
        <v>0</v>
      </c>
      <c r="Z47" s="59" t="n">
        <v>45443</v>
      </c>
      <c r="AA47" s="59" t="n">
        <v>45443</v>
      </c>
      <c r="AB47" s="59" t="n">
        <v>46203</v>
      </c>
    </row>
    <row r="48">
      <c r="D48" s="36" t="inlineStr">
        <is>
          <t>Hertel Homes</t>
        </is>
      </c>
      <c r="E48" s="54" t="inlineStr">
        <is>
          <t>41</t>
        </is>
      </c>
      <c r="F48" s="54" t="inlineStr">
        <is>
          <t>2 Bed 1 Bath</t>
        </is>
      </c>
      <c r="G48" s="54" t="inlineStr">
        <is>
          <t>2 Bed 1 Bath</t>
        </is>
      </c>
      <c r="K48" s="36" t="inlineStr">
        <is>
          <t>Beasley/Solomon, Christine/Dorothy</t>
        </is>
      </c>
      <c r="L48" s="55" t="n">
        <v>1334</v>
      </c>
      <c r="M48" s="56" t="n">
        <v>2</v>
      </c>
      <c r="N48" s="56" t="n">
        <v>1</v>
      </c>
      <c r="Q48" s="57" t="inlineStr">
        <is>
          <t>Occ</t>
        </is>
      </c>
      <c r="U48" s="58" t="n">
        <v>1325</v>
      </c>
      <c r="V48" s="58" t="n">
        <v>1200</v>
      </c>
      <c r="W48" s="58" t="n">
        <v>0</v>
      </c>
      <c r="X48" s="58" t="n">
        <v>0</v>
      </c>
      <c r="Y48" s="58" t="n">
        <v>200</v>
      </c>
      <c r="Z48" s="59" t="n">
        <v>37987</v>
      </c>
      <c r="AA48" s="59" t="n">
        <v>37987</v>
      </c>
      <c r="AB48" s="59" t="n">
        <v>46265</v>
      </c>
    </row>
    <row r="49">
      <c r="D49" s="36" t="inlineStr">
        <is>
          <t>Hertel Homes</t>
        </is>
      </c>
      <c r="E49" s="54" t="inlineStr">
        <is>
          <t>42</t>
        </is>
      </c>
      <c r="F49" s="54" t="inlineStr">
        <is>
          <t>2 Bed 1 Bath</t>
        </is>
      </c>
      <c r="G49" s="54" t="inlineStr">
        <is>
          <t>2 Bed 1 Bath</t>
        </is>
      </c>
      <c r="K49" s="36" t="inlineStr">
        <is>
          <t>Lozada, Jessica</t>
        </is>
      </c>
      <c r="L49" s="55" t="n">
        <v>1334</v>
      </c>
      <c r="M49" s="56" t="n">
        <v>2</v>
      </c>
      <c r="N49" s="56" t="n">
        <v>1</v>
      </c>
      <c r="Q49" s="57" t="inlineStr">
        <is>
          <t>Occ</t>
        </is>
      </c>
      <c r="U49" s="58" t="n">
        <v>1325</v>
      </c>
      <c r="V49" s="58" t="n">
        <v>1250</v>
      </c>
      <c r="W49" s="58" t="n">
        <v>0</v>
      </c>
      <c r="X49" s="58" t="n">
        <v>0</v>
      </c>
      <c r="Y49" s="58" t="n">
        <v>0</v>
      </c>
      <c r="Z49" s="59" t="n">
        <v>40770</v>
      </c>
      <c r="AA49" s="59" t="n">
        <v>40770</v>
      </c>
      <c r="AB49" s="59" t="n">
        <v>46630</v>
      </c>
    </row>
    <row r="50">
      <c r="D50" s="36" t="inlineStr">
        <is>
          <t>Hertel Homes</t>
        </is>
      </c>
      <c r="E50" s="54" t="inlineStr">
        <is>
          <t>43</t>
        </is>
      </c>
      <c r="F50" s="54" t="inlineStr">
        <is>
          <t>2 Bed 1 Bath</t>
        </is>
      </c>
      <c r="G50" s="54" t="inlineStr">
        <is>
          <t>2 Bed 1 Bath</t>
        </is>
      </c>
      <c r="K50" s="36" t="inlineStr">
        <is>
          <t>Ridgeway, Jayce</t>
        </is>
      </c>
      <c r="L50" s="55" t="n">
        <v>1334</v>
      </c>
      <c r="M50" s="56" t="n">
        <v>2</v>
      </c>
      <c r="N50" s="56" t="n">
        <v>1</v>
      </c>
      <c r="Q50" s="57" t="inlineStr">
        <is>
          <t>Occ</t>
        </is>
      </c>
      <c r="U50" s="58" t="n">
        <v>1325</v>
      </c>
      <c r="V50" s="58" t="n">
        <v>1300</v>
      </c>
      <c r="W50" s="58" t="n">
        <v>0</v>
      </c>
      <c r="X50" s="58" t="n">
        <v>0</v>
      </c>
      <c r="Y50" s="58" t="n">
        <v>0</v>
      </c>
      <c r="Z50" s="59" t="n">
        <v>46127</v>
      </c>
      <c r="AA50" s="59" t="n">
        <v>46127</v>
      </c>
      <c r="AB50" s="59" t="n">
        <v>46507</v>
      </c>
    </row>
    <row r="51">
      <c r="D51" s="36" t="inlineStr">
        <is>
          <t>Hertel Homes</t>
        </is>
      </c>
      <c r="E51" s="54" t="inlineStr">
        <is>
          <t>44</t>
        </is>
      </c>
      <c r="F51" s="54" t="inlineStr">
        <is>
          <t>2 Bed 1 Bath</t>
        </is>
      </c>
      <c r="G51" s="54" t="inlineStr">
        <is>
          <t>2 Bed 1 Bath</t>
        </is>
      </c>
      <c r="K51" s="36" t="inlineStr">
        <is>
          <t>Jefferson (BEL), Kenneth</t>
        </is>
      </c>
      <c r="L51" s="55" t="n">
        <v>1334</v>
      </c>
      <c r="M51" s="56" t="n">
        <v>2</v>
      </c>
      <c r="N51" s="56" t="n">
        <v>1</v>
      </c>
      <c r="Q51" s="57" t="inlineStr">
        <is>
          <t>Occ</t>
        </is>
      </c>
      <c r="U51" s="58" t="n">
        <v>1325</v>
      </c>
      <c r="V51" s="58" t="n">
        <v>1198</v>
      </c>
      <c r="W51" s="58" t="n">
        <v>0</v>
      </c>
      <c r="X51" s="58" t="n">
        <v>0</v>
      </c>
      <c r="Y51" s="58" t="n">
        <v>0</v>
      </c>
      <c r="Z51" s="59" t="n">
        <v>45331</v>
      </c>
      <c r="AA51" s="59" t="n">
        <v>45331</v>
      </c>
      <c r="AB51" s="59" t="n">
        <v>46446</v>
      </c>
    </row>
    <row r="52">
      <c r="D52" s="36" t="inlineStr">
        <is>
          <t>Hertel Homes</t>
        </is>
      </c>
      <c r="E52" s="54" t="inlineStr">
        <is>
          <t>45</t>
        </is>
      </c>
      <c r="F52" s="54" t="inlineStr">
        <is>
          <t>2 Bed 1 Bath</t>
        </is>
      </c>
      <c r="G52" s="54" t="inlineStr">
        <is>
          <t>2 Bed 1 Bath</t>
        </is>
      </c>
      <c r="K52" s="36" t="inlineStr">
        <is>
          <t>Bowens, Dana</t>
        </is>
      </c>
      <c r="L52" s="55" t="n">
        <v>1334</v>
      </c>
      <c r="M52" s="56" t="n">
        <v>2</v>
      </c>
      <c r="N52" s="56" t="n">
        <v>1</v>
      </c>
      <c r="Q52" s="57" t="inlineStr">
        <is>
          <t>Occ</t>
        </is>
      </c>
      <c r="U52" s="58" t="n">
        <v>1325</v>
      </c>
      <c r="V52" s="58" t="n">
        <v>1125</v>
      </c>
      <c r="W52" s="58" t="n">
        <v>0</v>
      </c>
      <c r="X52" s="58" t="n">
        <v>0</v>
      </c>
      <c r="Y52" s="58" t="n">
        <v>0</v>
      </c>
      <c r="Z52" s="59" t="n">
        <v>42551</v>
      </c>
      <c r="AA52" s="59" t="n">
        <v>42551</v>
      </c>
      <c r="AB52" s="59" t="n">
        <v>46568</v>
      </c>
    </row>
    <row r="53">
      <c r="D53" s="36" t="inlineStr">
        <is>
          <t>Hertel Homes</t>
        </is>
      </c>
      <c r="E53" s="54" t="inlineStr">
        <is>
          <t>46</t>
        </is>
      </c>
      <c r="F53" s="54" t="inlineStr">
        <is>
          <t>2 Bed 1 Bath</t>
        </is>
      </c>
      <c r="G53" s="54" t="inlineStr">
        <is>
          <t>2 Bed 1 Bath</t>
        </is>
      </c>
      <c r="K53" s="36" t="inlineStr">
        <is>
          <t>Thurman, Tyler</t>
        </is>
      </c>
      <c r="L53" s="55" t="n">
        <v>1334</v>
      </c>
      <c r="M53" s="56" t="n">
        <v>2</v>
      </c>
      <c r="N53" s="56" t="n">
        <v>1</v>
      </c>
      <c r="Q53" s="57" t="inlineStr">
        <is>
          <t>Occ</t>
        </is>
      </c>
      <c r="U53" s="58" t="n">
        <v>1325</v>
      </c>
      <c r="V53" s="58" t="n">
        <v>1325</v>
      </c>
      <c r="W53" s="58" t="n">
        <v>0</v>
      </c>
      <c r="X53" s="58" t="n">
        <v>0</v>
      </c>
      <c r="Y53" s="58" t="n">
        <v>0</v>
      </c>
      <c r="Z53" s="59" t="n">
        <v>46111</v>
      </c>
      <c r="AA53" s="59" t="n">
        <v>46111</v>
      </c>
      <c r="AB53" s="59" t="n">
        <v>46477</v>
      </c>
    </row>
    <row r="54">
      <c r="D54" s="36" t="inlineStr">
        <is>
          <t>Hertel Homes</t>
        </is>
      </c>
      <c r="E54" s="54" t="inlineStr">
        <is>
          <t>47</t>
        </is>
      </c>
      <c r="F54" s="54" t="inlineStr">
        <is>
          <t>2 Bed 1 Bath</t>
        </is>
      </c>
      <c r="G54" s="54" t="inlineStr">
        <is>
          <t>2 Bed 1 Bath</t>
        </is>
      </c>
      <c r="K54" s="36" t="inlineStr">
        <is>
          <t>Hampton, Kayla</t>
        </is>
      </c>
      <c r="L54" s="55" t="n">
        <v>1334</v>
      </c>
      <c r="M54" s="56" t="n">
        <v>2</v>
      </c>
      <c r="N54" s="56" t="n">
        <v>1</v>
      </c>
      <c r="Q54" s="57" t="inlineStr">
        <is>
          <t>Occ</t>
        </is>
      </c>
      <c r="U54" s="58" t="n">
        <v>1325</v>
      </c>
      <c r="V54" s="58" t="n">
        <v>1295</v>
      </c>
      <c r="W54" s="58" t="n">
        <v>0</v>
      </c>
      <c r="X54" s="58" t="n">
        <v>0</v>
      </c>
      <c r="Y54" s="58" t="n">
        <v>0</v>
      </c>
      <c r="Z54" s="59" t="n">
        <v>46113</v>
      </c>
      <c r="AA54" s="59" t="n">
        <v>46113</v>
      </c>
      <c r="AB54" s="59" t="n">
        <v>46477</v>
      </c>
    </row>
    <row r="55">
      <c r="D55" s="36" t="inlineStr">
        <is>
          <t>Hertel Homes</t>
        </is>
      </c>
      <c r="E55" s="54" t="inlineStr">
        <is>
          <t>48</t>
        </is>
      </c>
      <c r="F55" s="54" t="inlineStr">
        <is>
          <t>2 Bed 1 Bath</t>
        </is>
      </c>
      <c r="G55" s="54" t="inlineStr">
        <is>
          <t>2 Bed 1 Bath</t>
        </is>
      </c>
      <c r="K55" s="36" t="inlineStr">
        <is>
          <t>Febles, Miguel</t>
        </is>
      </c>
      <c r="L55" s="55" t="n">
        <v>1334</v>
      </c>
      <c r="M55" s="56" t="n">
        <v>2</v>
      </c>
      <c r="N55" s="56" t="n">
        <v>1</v>
      </c>
      <c r="Q55" s="57" t="inlineStr">
        <is>
          <t>Occ</t>
        </is>
      </c>
      <c r="U55" s="58" t="n">
        <v>1325</v>
      </c>
      <c r="V55" s="58" t="n">
        <v>1425</v>
      </c>
      <c r="W55" s="58" t="n">
        <v>0</v>
      </c>
      <c r="X55" s="58" t="n">
        <v>0</v>
      </c>
      <c r="Y55" s="58" t="n">
        <v>0</v>
      </c>
      <c r="Z55" s="59" t="n">
        <v>45565</v>
      </c>
      <c r="AA55" s="59" t="n">
        <v>45565</v>
      </c>
      <c r="AB55" s="59" t="n">
        <v>46295</v>
      </c>
    </row>
    <row r="56">
      <c r="D56" s="36" t="inlineStr">
        <is>
          <t>Hertel Homes</t>
        </is>
      </c>
      <c r="E56" s="54" t="inlineStr">
        <is>
          <t>49</t>
        </is>
      </c>
      <c r="F56" s="54" t="inlineStr">
        <is>
          <t>2 Bed 1 Bath</t>
        </is>
      </c>
      <c r="G56" s="54" t="inlineStr">
        <is>
          <t>2 Bed 1 Bath</t>
        </is>
      </c>
      <c r="K56" s="36" t="inlineStr">
        <is>
          <t>Clarke, Brandon</t>
        </is>
      </c>
      <c r="L56" s="55" t="n">
        <v>1334</v>
      </c>
      <c r="M56" s="56" t="n">
        <v>2</v>
      </c>
      <c r="N56" s="56" t="n">
        <v>1</v>
      </c>
      <c r="Q56" s="57" t="inlineStr">
        <is>
          <t>Occ</t>
        </is>
      </c>
      <c r="U56" s="58" t="n">
        <v>1325</v>
      </c>
      <c r="V56" s="58" t="n">
        <v>1325</v>
      </c>
      <c r="W56" s="58" t="n">
        <v>0</v>
      </c>
      <c r="X56" s="58" t="n">
        <v>0</v>
      </c>
      <c r="Y56" s="58" t="n">
        <v>25</v>
      </c>
      <c r="Z56" s="59" t="n">
        <v>46051</v>
      </c>
      <c r="AA56" s="59" t="n">
        <v>46051</v>
      </c>
      <c r="AB56" s="59" t="n">
        <v>46418</v>
      </c>
    </row>
    <row r="57">
      <c r="D57" s="36" t="inlineStr">
        <is>
          <t>Hertel Homes</t>
        </is>
      </c>
      <c r="E57" s="54" t="inlineStr">
        <is>
          <t>50</t>
        </is>
      </c>
      <c r="F57" s="54" t="inlineStr">
        <is>
          <t>2 Bed 1 Bath</t>
        </is>
      </c>
      <c r="G57" s="54" t="inlineStr">
        <is>
          <t>2 Bed 1 Bath</t>
        </is>
      </c>
      <c r="K57" s="36" t="inlineStr">
        <is>
          <t>Cardoza, Patricia</t>
        </is>
      </c>
      <c r="L57" s="55" t="n">
        <v>1334</v>
      </c>
      <c r="M57" s="56" t="n">
        <v>2</v>
      </c>
      <c r="N57" s="56" t="n">
        <v>1</v>
      </c>
      <c r="Q57" s="57" t="inlineStr">
        <is>
          <t>Occ</t>
        </is>
      </c>
      <c r="U57" s="58" t="n">
        <v>1325</v>
      </c>
      <c r="V57" s="58" t="n">
        <v>1200</v>
      </c>
      <c r="W57" s="58" t="n">
        <v>0</v>
      </c>
      <c r="X57" s="58" t="n">
        <v>0</v>
      </c>
      <c r="Y57" s="58" t="n">
        <v>0</v>
      </c>
      <c r="Z57" s="59" t="n">
        <v>46204</v>
      </c>
      <c r="AA57" s="59" t="n">
        <v>46204</v>
      </c>
      <c r="AB57" s="59" t="n">
        <v>46568</v>
      </c>
    </row>
    <row r="58">
      <c r="D58" s="36" t="inlineStr">
        <is>
          <t>Hertel Homes</t>
        </is>
      </c>
      <c r="E58" s="54" t="inlineStr">
        <is>
          <t>51</t>
        </is>
      </c>
      <c r="F58" s="54" t="inlineStr">
        <is>
          <t>2 Bed 1 Bath</t>
        </is>
      </c>
      <c r="G58" s="54" t="inlineStr">
        <is>
          <t>2 Bed 1 Bath</t>
        </is>
      </c>
      <c r="K58" s="36" t="inlineStr">
        <is>
          <t>Services Inc., Transitional</t>
        </is>
      </c>
      <c r="L58" s="55" t="n">
        <v>1334</v>
      </c>
      <c r="M58" s="56" t="n">
        <v>2</v>
      </c>
      <c r="N58" s="56" t="n">
        <v>1</v>
      </c>
      <c r="Q58" s="57" t="inlineStr">
        <is>
          <t>Occ</t>
        </is>
      </c>
      <c r="U58" s="58" t="n">
        <v>1325</v>
      </c>
      <c r="V58" s="58" t="n">
        <v>1225</v>
      </c>
      <c r="W58" s="58" t="n">
        <v>0</v>
      </c>
      <c r="X58" s="58" t="n">
        <v>0</v>
      </c>
      <c r="Y58" s="58" t="n">
        <v>0</v>
      </c>
      <c r="Z58" s="59" t="n">
        <v>41091</v>
      </c>
      <c r="AA58" s="59" t="n">
        <v>41091</v>
      </c>
      <c r="AB58" s="59" t="n">
        <v>46568</v>
      </c>
    </row>
    <row r="59">
      <c r="D59" s="36" t="inlineStr">
        <is>
          <t>Hertel Homes</t>
        </is>
      </c>
      <c r="E59" s="54" t="inlineStr">
        <is>
          <t>52</t>
        </is>
      </c>
      <c r="F59" s="54" t="inlineStr">
        <is>
          <t>2 Bed 1 Bath</t>
        </is>
      </c>
      <c r="G59" s="54" t="inlineStr">
        <is>
          <t>2 Bed 1 Bath</t>
        </is>
      </c>
      <c r="K59" s="36" t="inlineStr">
        <is>
          <t>Vacant</t>
        </is>
      </c>
      <c r="L59" s="55" t="n">
        <v>1334</v>
      </c>
      <c r="M59" s="56" t="n">
        <v>2</v>
      </c>
      <c r="N59" s="56" t="n">
        <v>1</v>
      </c>
      <c r="Q59" s="57" t="inlineStr">
        <is>
          <t>Vac</t>
        </is>
      </c>
      <c r="U59" s="58" t="n">
        <v>1200</v>
      </c>
      <c r="V59" s="58" t="n">
        <v>0</v>
      </c>
      <c r="W59" s="58" t="n">
        <v>0</v>
      </c>
      <c r="X59" s="58" t="n">
        <v>0</v>
      </c>
      <c r="Y59" s="58" t="n">
        <v>0</v>
      </c>
    </row>
    <row r="60">
      <c r="D60" s="36" t="inlineStr">
        <is>
          <t>Hertel Homes</t>
        </is>
      </c>
      <c r="E60" s="54" t="inlineStr">
        <is>
          <t>53</t>
        </is>
      </c>
      <c r="F60" s="54" t="inlineStr">
        <is>
          <t>2 Bed 1 Bath</t>
        </is>
      </c>
      <c r="G60" s="54" t="inlineStr">
        <is>
          <t>2 Bed 1 Bath</t>
        </is>
      </c>
      <c r="K60" s="36" t="inlineStr">
        <is>
          <t>Alvarez Pinero, Kathy</t>
        </is>
      </c>
      <c r="L60" s="55" t="n">
        <v>1334</v>
      </c>
      <c r="M60" s="56" t="n">
        <v>2</v>
      </c>
      <c r="N60" s="56" t="n">
        <v>1</v>
      </c>
      <c r="Q60" s="57" t="inlineStr">
        <is>
          <t>Occ</t>
        </is>
      </c>
      <c r="U60" s="58" t="n">
        <v>1325</v>
      </c>
      <c r="V60" s="58" t="n">
        <v>1325</v>
      </c>
      <c r="W60" s="58" t="n">
        <v>0</v>
      </c>
      <c r="X60" s="58" t="n">
        <v>0</v>
      </c>
      <c r="Y60" s="58" t="n">
        <v>0</v>
      </c>
      <c r="Z60" s="59" t="n">
        <v>46057</v>
      </c>
      <c r="AA60" s="59" t="n">
        <v>46057</v>
      </c>
      <c r="AB60" s="59" t="n">
        <v>46446</v>
      </c>
    </row>
    <row r="61">
      <c r="D61" s="36" t="inlineStr">
        <is>
          <t>Hertel Homes</t>
        </is>
      </c>
      <c r="E61" s="54" t="inlineStr">
        <is>
          <t>54</t>
        </is>
      </c>
      <c r="F61" s="54" t="inlineStr">
        <is>
          <t>2 Bed 1 Bath</t>
        </is>
      </c>
      <c r="G61" s="54" t="inlineStr">
        <is>
          <t>2 Bed 1 Bath</t>
        </is>
      </c>
      <c r="K61" s="36" t="inlineStr">
        <is>
          <t>Jaycox, Alfred</t>
        </is>
      </c>
      <c r="L61" s="55" t="n">
        <v>1334</v>
      </c>
      <c r="M61" s="56" t="n">
        <v>2</v>
      </c>
      <c r="N61" s="56" t="n">
        <v>1</v>
      </c>
      <c r="Q61" s="57" t="inlineStr">
        <is>
          <t>Occ</t>
        </is>
      </c>
      <c r="U61" s="58" t="n">
        <v>1325</v>
      </c>
      <c r="V61" s="58" t="n">
        <v>1200</v>
      </c>
      <c r="W61" s="58" t="n">
        <v>0</v>
      </c>
      <c r="X61" s="58" t="n">
        <v>0</v>
      </c>
      <c r="Y61" s="58" t="n">
        <v>50</v>
      </c>
      <c r="Z61" s="59" t="n">
        <v>44215</v>
      </c>
      <c r="AA61" s="59" t="n">
        <v>44215</v>
      </c>
      <c r="AB61" s="59" t="n">
        <v>46142</v>
      </c>
    </row>
    <row r="62">
      <c r="D62" s="36" t="inlineStr">
        <is>
          <t>Hertel Homes</t>
        </is>
      </c>
      <c r="E62" s="54" t="inlineStr">
        <is>
          <t>55</t>
        </is>
      </c>
      <c r="F62" s="54" t="inlineStr">
        <is>
          <t>2 Bed 1 Bath</t>
        </is>
      </c>
      <c r="G62" s="54" t="inlineStr">
        <is>
          <t>2 Bed 1 Bath</t>
        </is>
      </c>
      <c r="K62" s="36" t="inlineStr">
        <is>
          <t>Brown, John</t>
        </is>
      </c>
      <c r="L62" s="55" t="n">
        <v>1334</v>
      </c>
      <c r="M62" s="56" t="n">
        <v>2</v>
      </c>
      <c r="N62" s="56" t="n">
        <v>1</v>
      </c>
      <c r="Q62" s="57" t="inlineStr">
        <is>
          <t>Occ</t>
        </is>
      </c>
      <c r="U62" s="58" t="n">
        <v>1325</v>
      </c>
      <c r="V62" s="58" t="n">
        <v>1095</v>
      </c>
      <c r="W62" s="58" t="n">
        <v>0</v>
      </c>
      <c r="X62" s="58" t="n">
        <v>0</v>
      </c>
      <c r="Y62" s="58" t="n">
        <v>0</v>
      </c>
      <c r="Z62" s="59" t="n">
        <v>38764</v>
      </c>
      <c r="AA62" s="59" t="n">
        <v>38764</v>
      </c>
      <c r="AB62" s="59" t="n">
        <v>46446</v>
      </c>
    </row>
    <row r="63">
      <c r="D63" s="36" t="inlineStr">
        <is>
          <t>Hertel Homes</t>
        </is>
      </c>
      <c r="E63" s="54" t="inlineStr">
        <is>
          <t>56</t>
        </is>
      </c>
      <c r="F63" s="54" t="inlineStr">
        <is>
          <t>1 Bed 1 Bath</t>
        </is>
      </c>
      <c r="G63" s="54" t="inlineStr">
        <is>
          <t>1 Bed 1 Bath</t>
        </is>
      </c>
      <c r="K63" s="36" t="inlineStr">
        <is>
          <t>Arroyo, Feridinand</t>
        </is>
      </c>
      <c r="L63" s="55" t="n">
        <v>1149</v>
      </c>
      <c r="M63" s="56" t="n">
        <v>1</v>
      </c>
      <c r="N63" s="56" t="n">
        <v>1</v>
      </c>
      <c r="Q63" s="57" t="inlineStr">
        <is>
          <t>Occ</t>
        </is>
      </c>
      <c r="U63" s="58" t="n">
        <v>1195</v>
      </c>
      <c r="V63" s="58" t="n">
        <v>1195</v>
      </c>
      <c r="W63" s="58" t="n">
        <v>0</v>
      </c>
      <c r="X63" s="58" t="n">
        <v>0</v>
      </c>
      <c r="Y63" s="58" t="n">
        <v>50</v>
      </c>
      <c r="Z63" s="59" t="n">
        <v>46082</v>
      </c>
      <c r="AA63" s="59" t="n">
        <v>46082</v>
      </c>
      <c r="AB63" s="59" t="n">
        <v>46446</v>
      </c>
    </row>
    <row r="64">
      <c r="D64" s="36" t="inlineStr">
        <is>
          <t>Hertel Homes</t>
        </is>
      </c>
      <c r="E64" s="54" t="inlineStr">
        <is>
          <t>57</t>
        </is>
      </c>
      <c r="F64" s="54" t="inlineStr">
        <is>
          <t>3 Bed/1Bath FP</t>
        </is>
      </c>
      <c r="G64" s="54" t="inlineStr">
        <is>
          <t>3 Bed/1Bath FP</t>
        </is>
      </c>
      <c r="K64" s="36" t="inlineStr">
        <is>
          <t>Woodfork, Alex</t>
        </is>
      </c>
      <c r="L64" s="55" t="n">
        <v>1521</v>
      </c>
      <c r="M64" s="56" t="n">
        <v>3</v>
      </c>
      <c r="N64" s="56" t="n">
        <v>1</v>
      </c>
      <c r="Q64" s="57" t="inlineStr">
        <is>
          <t>Occ</t>
        </is>
      </c>
      <c r="U64" s="58" t="n">
        <v>1325</v>
      </c>
      <c r="V64" s="58" t="n">
        <v>1325</v>
      </c>
      <c r="W64" s="58" t="n">
        <v>0</v>
      </c>
      <c r="X64" s="58" t="n">
        <v>0</v>
      </c>
      <c r="Y64" s="58" t="n">
        <v>0</v>
      </c>
      <c r="Z64" s="59" t="n">
        <v>45898</v>
      </c>
      <c r="AA64" s="59" t="n">
        <v>45898</v>
      </c>
      <c r="AB64" s="59" t="n">
        <v>46265</v>
      </c>
    </row>
    <row r="65">
      <c r="D65" s="36" t="inlineStr">
        <is>
          <t>Hertel Homes</t>
        </is>
      </c>
      <c r="E65" s="54" t="inlineStr">
        <is>
          <t>58</t>
        </is>
      </c>
      <c r="F65" s="54" t="inlineStr">
        <is>
          <t>2 Bed 1 Bath</t>
        </is>
      </c>
      <c r="G65" s="54" t="inlineStr">
        <is>
          <t>2 Bed 1 Bath</t>
        </is>
      </c>
      <c r="K65" s="36" t="inlineStr">
        <is>
          <t>Thomas, Marie Magdala</t>
        </is>
      </c>
      <c r="L65" s="55" t="n">
        <v>1334</v>
      </c>
      <c r="M65" s="56" t="n">
        <v>2</v>
      </c>
      <c r="N65" s="56" t="n">
        <v>1</v>
      </c>
      <c r="Q65" s="57" t="inlineStr">
        <is>
          <t>Occ</t>
        </is>
      </c>
      <c r="U65" s="58" t="n">
        <v>1325</v>
      </c>
      <c r="V65" s="58" t="n">
        <v>1300</v>
      </c>
      <c r="W65" s="58" t="n">
        <v>0</v>
      </c>
      <c r="X65" s="58" t="n">
        <v>0</v>
      </c>
      <c r="Y65" s="58" t="n">
        <v>0</v>
      </c>
      <c r="Z65" s="59" t="n">
        <v>45754</v>
      </c>
      <c r="AA65" s="59" t="n">
        <v>45754</v>
      </c>
      <c r="AB65" s="59" t="n">
        <v>46507</v>
      </c>
    </row>
    <row r="66">
      <c r="D66" s="36" t="inlineStr">
        <is>
          <t>Hertel Homes</t>
        </is>
      </c>
      <c r="E66" s="54" t="inlineStr">
        <is>
          <t>59</t>
        </is>
      </c>
      <c r="F66" s="54" t="inlineStr">
        <is>
          <t>3 Bed 1.5 Bath</t>
        </is>
      </c>
      <c r="G66" s="54" t="inlineStr">
        <is>
          <t>3 Bed 1.5 Bath</t>
        </is>
      </c>
      <c r="K66" s="36" t="inlineStr">
        <is>
          <t>Smith, Carla</t>
        </is>
      </c>
      <c r="L66" s="55" t="n">
        <v>1521</v>
      </c>
      <c r="M66" s="56" t="n">
        <v>3</v>
      </c>
      <c r="N66" s="56" t="n">
        <v>1.5</v>
      </c>
      <c r="Q66" s="57" t="inlineStr">
        <is>
          <t>Occ</t>
        </is>
      </c>
      <c r="U66" s="58" t="n">
        <v>1495</v>
      </c>
      <c r="V66" s="58" t="n">
        <v>1225</v>
      </c>
      <c r="W66" s="58" t="n">
        <v>0</v>
      </c>
      <c r="X66" s="58" t="n">
        <v>0</v>
      </c>
      <c r="Y66" s="58" t="n">
        <v>0</v>
      </c>
      <c r="Z66" s="59" t="n">
        <v>41487</v>
      </c>
      <c r="AA66" s="59" t="n">
        <v>41487</v>
      </c>
      <c r="AB66" s="59" t="n">
        <v>46234</v>
      </c>
    </row>
    <row r="67">
      <c r="D67" s="36" t="inlineStr">
        <is>
          <t>Hertel Homes</t>
        </is>
      </c>
      <c r="E67" s="54" t="inlineStr">
        <is>
          <t>60</t>
        </is>
      </c>
      <c r="F67" s="54" t="inlineStr">
        <is>
          <t>3 Bed 1.5 Bath</t>
        </is>
      </c>
      <c r="G67" s="54" t="inlineStr">
        <is>
          <t>3 Bed 1.5 Bath</t>
        </is>
      </c>
      <c r="K67" s="36" t="inlineStr">
        <is>
          <t>Herby (BMHA), Leah</t>
        </is>
      </c>
      <c r="L67" s="55" t="n">
        <v>1521</v>
      </c>
      <c r="M67" s="56" t="n">
        <v>3</v>
      </c>
      <c r="N67" s="56" t="n">
        <v>1.5</v>
      </c>
      <c r="Q67" s="57" t="inlineStr">
        <is>
          <t>Occ</t>
        </is>
      </c>
      <c r="U67" s="58" t="n">
        <v>1495</v>
      </c>
      <c r="V67" s="58" t="n">
        <v>1495</v>
      </c>
      <c r="W67" s="58" t="n">
        <v>0</v>
      </c>
      <c r="X67" s="58" t="n">
        <v>0</v>
      </c>
      <c r="Y67" s="58" t="n">
        <v>0</v>
      </c>
      <c r="Z67" s="59" t="n">
        <v>46143</v>
      </c>
      <c r="AA67" s="59" t="n">
        <v>46143</v>
      </c>
      <c r="AB67" s="59" t="n">
        <v>46507</v>
      </c>
    </row>
    <row r="68">
      <c r="D68" s="36" t="inlineStr">
        <is>
          <t>Hertel Homes</t>
        </is>
      </c>
      <c r="E68" s="54" t="inlineStr">
        <is>
          <t>61</t>
        </is>
      </c>
      <c r="F68" s="54" t="inlineStr">
        <is>
          <t>2 Bed 1 Bath</t>
        </is>
      </c>
      <c r="G68" s="54" t="inlineStr">
        <is>
          <t>2 Bed 1 Bath</t>
        </is>
      </c>
      <c r="K68" s="36" t="inlineStr">
        <is>
          <t>Perez (RACB), Carmen</t>
        </is>
      </c>
      <c r="L68" s="55" t="n">
        <v>1334</v>
      </c>
      <c r="M68" s="56" t="n">
        <v>2</v>
      </c>
      <c r="N68" s="56" t="n">
        <v>1</v>
      </c>
      <c r="Q68" s="57" t="inlineStr">
        <is>
          <t>Occ</t>
        </is>
      </c>
      <c r="U68" s="58" t="n">
        <v>1325</v>
      </c>
      <c r="V68" s="58" t="n">
        <v>1250</v>
      </c>
      <c r="W68" s="58" t="n">
        <v>0</v>
      </c>
      <c r="X68" s="58" t="n">
        <v>0</v>
      </c>
      <c r="Y68" s="58" t="n">
        <v>50</v>
      </c>
      <c r="Z68" s="59" t="n">
        <v>40878</v>
      </c>
      <c r="AA68" s="59" t="n">
        <v>40878</v>
      </c>
      <c r="AB68" s="59" t="n">
        <v>46721</v>
      </c>
    </row>
    <row r="69">
      <c r="D69" s="36" t="inlineStr">
        <is>
          <t>Hertel Homes</t>
        </is>
      </c>
      <c r="E69" s="54" t="inlineStr">
        <is>
          <t>62</t>
        </is>
      </c>
      <c r="F69" s="54" t="inlineStr">
        <is>
          <t>2 Bed 1 Bath</t>
        </is>
      </c>
      <c r="G69" s="54" t="inlineStr">
        <is>
          <t>2 Bed 1 Bath</t>
        </is>
      </c>
      <c r="K69" s="36" t="inlineStr">
        <is>
          <t>Vacant</t>
        </is>
      </c>
      <c r="L69" s="55" t="n">
        <v>1334</v>
      </c>
      <c r="M69" s="56" t="n">
        <v>2</v>
      </c>
      <c r="N69" s="56" t="n">
        <v>1</v>
      </c>
      <c r="Q69" s="57" t="inlineStr">
        <is>
          <t>Vac</t>
        </is>
      </c>
      <c r="U69" s="58" t="n">
        <v>1200</v>
      </c>
      <c r="V69" s="58" t="n">
        <v>0</v>
      </c>
      <c r="W69" s="58" t="n">
        <v>0</v>
      </c>
      <c r="X69" s="58" t="n">
        <v>0</v>
      </c>
      <c r="Y69" s="58" t="n">
        <v>0</v>
      </c>
    </row>
    <row r="70">
      <c r="D70" s="36" t="inlineStr">
        <is>
          <t>Hertel Homes</t>
        </is>
      </c>
      <c r="E70" s="54" t="inlineStr">
        <is>
          <t>63</t>
        </is>
      </c>
      <c r="F70" s="54" t="inlineStr">
        <is>
          <t>2 Bed 1 Bath</t>
        </is>
      </c>
      <c r="G70" s="54" t="inlineStr">
        <is>
          <t>2 Bed 1 Bath</t>
        </is>
      </c>
      <c r="K70" s="36" t="inlineStr">
        <is>
          <t>Leon Rodriguez (RACB), Jose Luis</t>
        </is>
      </c>
      <c r="L70" s="55" t="n">
        <v>1334</v>
      </c>
      <c r="M70" s="56" t="n">
        <v>2</v>
      </c>
      <c r="N70" s="56" t="n">
        <v>1</v>
      </c>
      <c r="Q70" s="57" t="inlineStr">
        <is>
          <t>Occ</t>
        </is>
      </c>
      <c r="U70" s="58" t="n">
        <v>1325</v>
      </c>
      <c r="V70" s="58" t="n">
        <v>1000</v>
      </c>
      <c r="W70" s="58" t="n">
        <v>0</v>
      </c>
      <c r="X70" s="58" t="n">
        <v>0</v>
      </c>
      <c r="Y70" s="58" t="n">
        <v>0</v>
      </c>
      <c r="Z70" s="59" t="n">
        <v>42829</v>
      </c>
      <c r="AA70" s="59" t="n">
        <v>42829</v>
      </c>
      <c r="AB70" s="59" t="n">
        <v>46507</v>
      </c>
    </row>
    <row r="71">
      <c r="D71" s="36" t="inlineStr">
        <is>
          <t>Hertel Homes</t>
        </is>
      </c>
      <c r="E71" s="54" t="inlineStr">
        <is>
          <t>64</t>
        </is>
      </c>
      <c r="F71" s="54" t="inlineStr">
        <is>
          <t>2 Bed 1 Bath</t>
        </is>
      </c>
      <c r="G71" s="54" t="inlineStr">
        <is>
          <t>2 Bed 1 Bath</t>
        </is>
      </c>
      <c r="K71" s="36" t="inlineStr">
        <is>
          <t>Myers, Ty</t>
        </is>
      </c>
      <c r="L71" s="55" t="n">
        <v>1334</v>
      </c>
      <c r="M71" s="56" t="n">
        <v>2</v>
      </c>
      <c r="N71" s="56" t="n">
        <v>1</v>
      </c>
      <c r="Q71" s="57" t="inlineStr">
        <is>
          <t>Occ</t>
        </is>
      </c>
      <c r="U71" s="58" t="n">
        <v>1325</v>
      </c>
      <c r="V71" s="58" t="n">
        <v>1000</v>
      </c>
      <c r="W71" s="58" t="n">
        <v>0</v>
      </c>
      <c r="X71" s="58" t="n">
        <v>0</v>
      </c>
      <c r="Y71" s="58" t="n">
        <v>0</v>
      </c>
      <c r="Z71" s="59" t="n">
        <v>40589</v>
      </c>
      <c r="AA71" s="59" t="n">
        <v>40589</v>
      </c>
      <c r="AB71" s="59" t="n">
        <v>46477</v>
      </c>
    </row>
    <row r="72">
      <c r="D72" s="36" t="inlineStr">
        <is>
          <t>Hertel Homes</t>
        </is>
      </c>
      <c r="E72" s="54" t="inlineStr">
        <is>
          <t>65</t>
        </is>
      </c>
      <c r="F72" s="54" t="inlineStr">
        <is>
          <t>2 Bed 1 Bath</t>
        </is>
      </c>
      <c r="G72" s="54" t="inlineStr">
        <is>
          <t>2 Bed 1 Bath</t>
        </is>
      </c>
      <c r="K72" s="36" t="inlineStr">
        <is>
          <t>Carson (BEL), Joyce</t>
        </is>
      </c>
      <c r="L72" s="55" t="n">
        <v>1334</v>
      </c>
      <c r="M72" s="56" t="n">
        <v>2</v>
      </c>
      <c r="N72" s="56" t="n">
        <v>1</v>
      </c>
      <c r="Q72" s="57" t="inlineStr">
        <is>
          <t>Occ</t>
        </is>
      </c>
      <c r="U72" s="58" t="n">
        <v>1325</v>
      </c>
      <c r="V72" s="58" t="n">
        <v>1150</v>
      </c>
      <c r="W72" s="58" t="n">
        <v>0</v>
      </c>
      <c r="X72" s="58" t="n">
        <v>0</v>
      </c>
      <c r="Y72" s="58" t="n">
        <v>50</v>
      </c>
      <c r="Z72" s="59" t="n">
        <v>39731</v>
      </c>
      <c r="AA72" s="59" t="n">
        <v>39731</v>
      </c>
      <c r="AB72" s="59" t="n">
        <v>46142</v>
      </c>
    </row>
    <row r="73">
      <c r="D73" s="36" t="inlineStr">
        <is>
          <t>Hertel Homes</t>
        </is>
      </c>
      <c r="E73" s="54" t="inlineStr">
        <is>
          <t>66</t>
        </is>
      </c>
      <c r="F73" s="54" t="inlineStr">
        <is>
          <t>2 Bed 1 Bath</t>
        </is>
      </c>
      <c r="G73" s="54" t="inlineStr">
        <is>
          <t>2 Bed 1 Bath</t>
        </is>
      </c>
      <c r="K73" s="36" t="inlineStr">
        <is>
          <t>Chesson (BEL), Amuniquee</t>
        </is>
      </c>
      <c r="L73" s="55" t="n">
        <v>1149</v>
      </c>
      <c r="M73" s="56" t="n">
        <v>2</v>
      </c>
      <c r="N73" s="56" t="n">
        <v>1</v>
      </c>
      <c r="Q73" s="57" t="inlineStr">
        <is>
          <t>Occ</t>
        </is>
      </c>
      <c r="U73" s="58" t="n">
        <v>1325</v>
      </c>
      <c r="V73" s="58" t="n">
        <v>1200</v>
      </c>
      <c r="W73" s="58" t="n">
        <v>0</v>
      </c>
      <c r="X73" s="58" t="n">
        <v>0</v>
      </c>
      <c r="Y73" s="58" t="n">
        <v>0</v>
      </c>
      <c r="Z73" s="59" t="n">
        <v>45245</v>
      </c>
      <c r="AA73" s="59" t="n">
        <v>45245</v>
      </c>
      <c r="AB73" s="59" t="n">
        <v>46326</v>
      </c>
    </row>
    <row r="74">
      <c r="D74" s="36" t="inlineStr">
        <is>
          <t>Hertel Homes</t>
        </is>
      </c>
      <c r="E74" s="54" t="inlineStr">
        <is>
          <t>67</t>
        </is>
      </c>
      <c r="F74" s="54" t="inlineStr">
        <is>
          <t>2 Bed 1 Bath</t>
        </is>
      </c>
      <c r="G74" s="54" t="inlineStr">
        <is>
          <t>2 Bed 1 Bath</t>
        </is>
      </c>
      <c r="K74" s="36" t="inlineStr">
        <is>
          <t>Roland, Mildred</t>
        </is>
      </c>
      <c r="L74" s="55" t="n">
        <v>1334</v>
      </c>
      <c r="M74" s="56" t="n">
        <v>2</v>
      </c>
      <c r="N74" s="56" t="n">
        <v>1</v>
      </c>
      <c r="Q74" s="57" t="inlineStr">
        <is>
          <t>Occ</t>
        </is>
      </c>
      <c r="U74" s="58" t="n">
        <v>1325</v>
      </c>
      <c r="V74" s="58" t="n">
        <v>900</v>
      </c>
      <c r="W74" s="58" t="n">
        <v>0</v>
      </c>
      <c r="X74" s="58" t="n">
        <v>0</v>
      </c>
      <c r="Y74" s="58" t="n">
        <v>0</v>
      </c>
      <c r="Z74" s="59" t="n">
        <v>42307</v>
      </c>
      <c r="AA74" s="59" t="n">
        <v>42307</v>
      </c>
      <c r="AB74" s="59" t="n">
        <v>46173</v>
      </c>
    </row>
    <row r="75">
      <c r="D75" s="36" t="inlineStr">
        <is>
          <t>Hertel Homes</t>
        </is>
      </c>
      <c r="E75" s="54" t="inlineStr">
        <is>
          <t>68</t>
        </is>
      </c>
      <c r="F75" s="54" t="inlineStr">
        <is>
          <t>2 Bed 1 Bath</t>
        </is>
      </c>
      <c r="G75" s="54" t="inlineStr">
        <is>
          <t>2 Bed 1 Bath</t>
        </is>
      </c>
      <c r="K75" s="36" t="inlineStr">
        <is>
          <t>Lewis, Earlisa</t>
        </is>
      </c>
      <c r="L75" s="55" t="n">
        <v>1334</v>
      </c>
      <c r="M75" s="56" t="n">
        <v>2</v>
      </c>
      <c r="N75" s="56" t="n">
        <v>1</v>
      </c>
      <c r="Q75" s="57" t="inlineStr">
        <is>
          <t>Occ</t>
        </is>
      </c>
      <c r="U75" s="58" t="n">
        <v>1325</v>
      </c>
      <c r="V75" s="58" t="n">
        <v>1425</v>
      </c>
      <c r="W75" s="58" t="n">
        <v>0</v>
      </c>
      <c r="X75" s="58" t="n">
        <v>0</v>
      </c>
      <c r="Y75" s="58" t="n">
        <v>0</v>
      </c>
      <c r="Z75" s="59" t="n">
        <v>45139</v>
      </c>
      <c r="AA75" s="59" t="n">
        <v>45139</v>
      </c>
      <c r="AB75" s="59" t="n">
        <v>46234</v>
      </c>
    </row>
    <row r="76">
      <c r="D76" s="36" t="inlineStr">
        <is>
          <t>Hertel Homes</t>
        </is>
      </c>
      <c r="E76" s="54" t="inlineStr">
        <is>
          <t>69</t>
        </is>
      </c>
      <c r="F76" s="54" t="inlineStr">
        <is>
          <t>2 Bed 1 Bath</t>
        </is>
      </c>
      <c r="G76" s="54" t="inlineStr">
        <is>
          <t>2 Bed 1 Bath</t>
        </is>
      </c>
      <c r="K76" s="36" t="inlineStr">
        <is>
          <t>Vacant</t>
        </is>
      </c>
      <c r="L76" s="55" t="n">
        <v>1334</v>
      </c>
      <c r="M76" s="56" t="n">
        <v>2</v>
      </c>
      <c r="N76" s="56" t="n">
        <v>1</v>
      </c>
      <c r="Q76" s="57" t="inlineStr">
        <is>
          <t>Vac</t>
        </is>
      </c>
      <c r="U76" s="58" t="n">
        <v>1200</v>
      </c>
      <c r="V76" s="58" t="n">
        <v>0</v>
      </c>
      <c r="W76" s="58" t="n">
        <v>0</v>
      </c>
      <c r="X76" s="58" t="n">
        <v>0</v>
      </c>
      <c r="Y76" s="58" t="n">
        <v>0</v>
      </c>
    </row>
    <row r="77">
      <c r="D77" s="36" t="inlineStr">
        <is>
          <t>Hertel Homes</t>
        </is>
      </c>
      <c r="E77" s="54" t="inlineStr">
        <is>
          <t>70</t>
        </is>
      </c>
      <c r="F77" s="54" t="inlineStr">
        <is>
          <t>2 Bed 1 Bath</t>
        </is>
      </c>
      <c r="G77" s="54" t="inlineStr">
        <is>
          <t>2 Bed 1 Bath</t>
        </is>
      </c>
      <c r="K77" s="36" t="inlineStr">
        <is>
          <t>Ball, Ruby</t>
        </is>
      </c>
      <c r="L77" s="55" t="n">
        <v>1334</v>
      </c>
      <c r="M77" s="56" t="n">
        <v>2</v>
      </c>
      <c r="N77" s="56" t="n">
        <v>1</v>
      </c>
      <c r="Q77" s="57" t="inlineStr">
        <is>
          <t>Occ</t>
        </is>
      </c>
      <c r="U77" s="58" t="n">
        <v>1325</v>
      </c>
      <c r="V77" s="58" t="n">
        <v>1425</v>
      </c>
      <c r="W77" s="58" t="n">
        <v>0</v>
      </c>
      <c r="X77" s="58" t="n">
        <v>0</v>
      </c>
      <c r="Y77" s="58" t="n">
        <v>25</v>
      </c>
      <c r="Z77" s="59" t="n">
        <v>44372</v>
      </c>
      <c r="AA77" s="59" t="n">
        <v>44372</v>
      </c>
      <c r="AB77" s="59" t="n">
        <v>46599</v>
      </c>
    </row>
    <row r="78">
      <c r="D78" s="36" t="inlineStr">
        <is>
          <t>Hertel Homes</t>
        </is>
      </c>
      <c r="E78" s="54" t="inlineStr">
        <is>
          <t>71</t>
        </is>
      </c>
      <c r="F78" s="54" t="inlineStr">
        <is>
          <t>2 Bed 1 Bath</t>
        </is>
      </c>
      <c r="G78" s="54" t="inlineStr">
        <is>
          <t>2 Bed 1 Bath</t>
        </is>
      </c>
      <c r="K78" s="36" t="inlineStr">
        <is>
          <t>Williams (BEL), Earl</t>
        </is>
      </c>
      <c r="L78" s="55" t="n">
        <v>1334</v>
      </c>
      <c r="M78" s="56" t="n">
        <v>2</v>
      </c>
      <c r="N78" s="56" t="n">
        <v>1</v>
      </c>
      <c r="Q78" s="57" t="inlineStr">
        <is>
          <t>Occ</t>
        </is>
      </c>
      <c r="U78" s="58" t="n">
        <v>1325</v>
      </c>
      <c r="V78" s="58" t="n">
        <v>1200</v>
      </c>
      <c r="W78" s="58" t="n">
        <v>0</v>
      </c>
      <c r="X78" s="58" t="n">
        <v>0</v>
      </c>
      <c r="Y78" s="58" t="n">
        <v>0</v>
      </c>
      <c r="Z78" s="59" t="n">
        <v>43332</v>
      </c>
      <c r="AA78" s="59" t="n">
        <v>43332</v>
      </c>
      <c r="AB78" s="59" t="n">
        <v>46387</v>
      </c>
    </row>
    <row r="79">
      <c r="D79" s="36" t="inlineStr">
        <is>
          <t>Hertel Homes</t>
        </is>
      </c>
      <c r="E79" s="54" t="inlineStr">
        <is>
          <t>72</t>
        </is>
      </c>
      <c r="F79" s="54" t="inlineStr">
        <is>
          <t>2 Bed 1 Bath</t>
        </is>
      </c>
      <c r="G79" s="54" t="inlineStr">
        <is>
          <t>2 Bed 1 Bath</t>
        </is>
      </c>
      <c r="K79" s="36" t="inlineStr">
        <is>
          <t>Services, TSI, Transitional</t>
        </is>
      </c>
      <c r="L79" s="55" t="n">
        <v>1334</v>
      </c>
      <c r="M79" s="56" t="n">
        <v>2</v>
      </c>
      <c r="N79" s="56" t="n">
        <v>1</v>
      </c>
      <c r="Q79" s="57" t="inlineStr">
        <is>
          <t>Occ</t>
        </is>
      </c>
      <c r="U79" s="58" t="n">
        <v>1325</v>
      </c>
      <c r="V79" s="58" t="n">
        <v>1425</v>
      </c>
      <c r="W79" s="58" t="n">
        <v>0</v>
      </c>
      <c r="X79" s="58" t="n">
        <v>0</v>
      </c>
      <c r="Y79" s="58" t="n">
        <v>0</v>
      </c>
      <c r="Z79" s="59" t="n">
        <v>45467</v>
      </c>
      <c r="AA79" s="59" t="n">
        <v>45467</v>
      </c>
      <c r="AB79" s="59" t="n">
        <v>46568</v>
      </c>
    </row>
    <row r="80">
      <c r="D80" s="36" t="inlineStr">
        <is>
          <t>Hertel Homes</t>
        </is>
      </c>
      <c r="E80" s="54" t="inlineStr">
        <is>
          <t>73</t>
        </is>
      </c>
      <c r="F80" s="54" t="inlineStr">
        <is>
          <t>2 Bed 1 Bath</t>
        </is>
      </c>
      <c r="G80" s="54" t="inlineStr">
        <is>
          <t>2 Bed 1 Bath</t>
        </is>
      </c>
      <c r="K80" s="36" t="inlineStr">
        <is>
          <t>Matos (RACB), Alida</t>
        </is>
      </c>
      <c r="L80" s="55" t="n">
        <v>1334</v>
      </c>
      <c r="M80" s="56" t="n">
        <v>2</v>
      </c>
      <c r="N80" s="56" t="n">
        <v>1</v>
      </c>
      <c r="Q80" s="57" t="inlineStr">
        <is>
          <t>Occ</t>
        </is>
      </c>
      <c r="U80" s="58" t="n">
        <v>1325</v>
      </c>
      <c r="V80" s="58" t="n">
        <v>1350</v>
      </c>
      <c r="W80" s="58" t="n">
        <v>0</v>
      </c>
      <c r="X80" s="58" t="n">
        <v>0</v>
      </c>
      <c r="Y80" s="58" t="n">
        <v>0</v>
      </c>
      <c r="Z80" s="59" t="n">
        <v>37986</v>
      </c>
      <c r="AA80" s="59" t="n">
        <v>37986</v>
      </c>
      <c r="AB80" s="59" t="n">
        <v>46173</v>
      </c>
    </row>
    <row r="81">
      <c r="D81" s="36" t="inlineStr">
        <is>
          <t>Hertel Homes</t>
        </is>
      </c>
      <c r="E81" s="54" t="inlineStr">
        <is>
          <t>74</t>
        </is>
      </c>
      <c r="F81" s="54" t="inlineStr">
        <is>
          <t>2 Bed 1 Bath</t>
        </is>
      </c>
      <c r="G81" s="54" t="inlineStr">
        <is>
          <t>2 Bed 1 Bath</t>
        </is>
      </c>
      <c r="K81" s="36" t="inlineStr">
        <is>
          <t>Robinson, Felicia</t>
        </is>
      </c>
      <c r="L81" s="55" t="n">
        <v>1334</v>
      </c>
      <c r="M81" s="56" t="n">
        <v>2</v>
      </c>
      <c r="N81" s="56" t="n">
        <v>1</v>
      </c>
      <c r="Q81" s="57" t="inlineStr">
        <is>
          <t>Occ</t>
        </is>
      </c>
      <c r="U81" s="58" t="n">
        <v>1325</v>
      </c>
      <c r="V81" s="58" t="n">
        <v>1100</v>
      </c>
      <c r="W81" s="58" t="n">
        <v>0</v>
      </c>
      <c r="X81" s="58" t="n">
        <v>0</v>
      </c>
      <c r="Y81" s="58" t="n">
        <v>0</v>
      </c>
      <c r="Z81" s="59" t="n">
        <v>43347</v>
      </c>
      <c r="AA81" s="59" t="n">
        <v>43347</v>
      </c>
      <c r="AB81" s="59" t="n">
        <v>46295</v>
      </c>
    </row>
    <row r="82">
      <c r="D82" s="36" t="inlineStr">
        <is>
          <t>Hertel Homes</t>
        </is>
      </c>
      <c r="E82" s="54" t="inlineStr">
        <is>
          <t>75</t>
        </is>
      </c>
      <c r="F82" s="54" t="inlineStr">
        <is>
          <t>2 Bed 1 Bath</t>
        </is>
      </c>
      <c r="G82" s="54" t="inlineStr">
        <is>
          <t>2 Bed 1 Bath</t>
        </is>
      </c>
      <c r="K82" s="36" t="inlineStr">
        <is>
          <t>Rodriguez, Juan</t>
        </is>
      </c>
      <c r="L82" s="55" t="n">
        <v>1334</v>
      </c>
      <c r="M82" s="56" t="n">
        <v>2</v>
      </c>
      <c r="N82" s="56" t="n">
        <v>1</v>
      </c>
      <c r="Q82" s="57" t="inlineStr">
        <is>
          <t>Occ</t>
        </is>
      </c>
      <c r="U82" s="58" t="n">
        <v>1325</v>
      </c>
      <c r="V82" s="58" t="n">
        <v>1400</v>
      </c>
      <c r="W82" s="58" t="n">
        <v>0</v>
      </c>
      <c r="X82" s="58" t="n">
        <v>0</v>
      </c>
      <c r="Y82" s="58" t="n">
        <v>0</v>
      </c>
      <c r="Z82" s="59" t="n">
        <v>45547</v>
      </c>
      <c r="AA82" s="59" t="n">
        <v>45547</v>
      </c>
      <c r="AB82" s="59" t="n">
        <v>46295</v>
      </c>
    </row>
    <row r="83">
      <c r="D83" s="36" t="inlineStr">
        <is>
          <t>Hertel Homes</t>
        </is>
      </c>
      <c r="E83" s="54" t="inlineStr">
        <is>
          <t>76</t>
        </is>
      </c>
      <c r="F83" s="54" t="inlineStr">
        <is>
          <t>2 Bed 1 Bath</t>
        </is>
      </c>
      <c r="G83" s="54" t="inlineStr">
        <is>
          <t>2 Bed 1 Bath</t>
        </is>
      </c>
      <c r="K83" s="36" t="inlineStr">
        <is>
          <t>Rodriguez (BMHA), Betsy</t>
        </is>
      </c>
      <c r="L83" s="55" t="n">
        <v>1334</v>
      </c>
      <c r="M83" s="56" t="n">
        <v>2</v>
      </c>
      <c r="N83" s="56" t="n">
        <v>1</v>
      </c>
      <c r="Q83" s="57" t="inlineStr">
        <is>
          <t>Occ</t>
        </is>
      </c>
      <c r="U83" s="58" t="n">
        <v>1325</v>
      </c>
      <c r="V83" s="58" t="n">
        <v>1200</v>
      </c>
      <c r="W83" s="58" t="n">
        <v>0</v>
      </c>
      <c r="X83" s="58" t="n">
        <v>0</v>
      </c>
      <c r="Y83" s="58" t="n">
        <v>0</v>
      </c>
      <c r="Z83" s="59" t="n">
        <v>39783</v>
      </c>
      <c r="AA83" s="59" t="n">
        <v>39783</v>
      </c>
      <c r="AB83" s="59" t="n">
        <v>46418</v>
      </c>
    </row>
    <row r="84">
      <c r="D84" s="36" t="inlineStr">
        <is>
          <t>Hertel Homes</t>
        </is>
      </c>
      <c r="E84" s="54" t="inlineStr">
        <is>
          <t>77</t>
        </is>
      </c>
      <c r="F84" s="54" t="inlineStr">
        <is>
          <t>2 Bed 1 Bath</t>
        </is>
      </c>
      <c r="G84" s="54" t="inlineStr">
        <is>
          <t>2 Bed 1 Bath</t>
        </is>
      </c>
      <c r="K84" s="36" t="inlineStr">
        <is>
          <t>Clemons, Shandy</t>
        </is>
      </c>
      <c r="L84" s="55" t="n">
        <v>1334</v>
      </c>
      <c r="M84" s="56" t="n">
        <v>2</v>
      </c>
      <c r="N84" s="56" t="n">
        <v>1</v>
      </c>
      <c r="Q84" s="57" t="inlineStr">
        <is>
          <t>Occ</t>
        </is>
      </c>
      <c r="U84" s="58" t="n">
        <v>1325</v>
      </c>
      <c r="V84" s="58" t="n">
        <v>1300</v>
      </c>
      <c r="W84" s="58" t="n">
        <v>0</v>
      </c>
      <c r="X84" s="58" t="n">
        <v>0</v>
      </c>
      <c r="Y84" s="58" t="n">
        <v>0</v>
      </c>
      <c r="Z84" s="59" t="n">
        <v>46188</v>
      </c>
      <c r="AA84" s="59" t="n">
        <v>46188</v>
      </c>
      <c r="AB84" s="59" t="n">
        <v>46568</v>
      </c>
    </row>
    <row r="85">
      <c r="D85" s="36" t="inlineStr">
        <is>
          <t>Hertel Homes</t>
        </is>
      </c>
      <c r="E85" s="54" t="inlineStr">
        <is>
          <t>78</t>
        </is>
      </c>
      <c r="F85" s="54" t="inlineStr">
        <is>
          <t>1 Bed 1 Bath</t>
        </is>
      </c>
      <c r="G85" s="54" t="inlineStr">
        <is>
          <t>1 Bed 1 Bath</t>
        </is>
      </c>
      <c r="K85" s="36" t="inlineStr">
        <is>
          <t>Green, Taylor</t>
        </is>
      </c>
      <c r="L85" s="55" t="n">
        <v>1149</v>
      </c>
      <c r="M85" s="56" t="n">
        <v>1</v>
      </c>
      <c r="N85" s="56" t="n">
        <v>1</v>
      </c>
      <c r="Q85" s="57" t="inlineStr">
        <is>
          <t>Occ</t>
        </is>
      </c>
      <c r="U85" s="58" t="n">
        <v>1195</v>
      </c>
      <c r="V85" s="58" t="n">
        <v>1195</v>
      </c>
      <c r="W85" s="58" t="n">
        <v>0</v>
      </c>
      <c r="X85" s="58" t="n">
        <v>0</v>
      </c>
      <c r="Y85" s="58" t="n">
        <v>0</v>
      </c>
      <c r="Z85" s="59" t="n">
        <v>46006</v>
      </c>
      <c r="AA85" s="59" t="n">
        <v>46006</v>
      </c>
      <c r="AB85" s="59" t="n">
        <v>46387</v>
      </c>
    </row>
    <row r="86">
      <c r="D86" s="36" t="inlineStr">
        <is>
          <t>Hertel Homes</t>
        </is>
      </c>
      <c r="E86" s="54" t="inlineStr">
        <is>
          <t>79</t>
        </is>
      </c>
      <c r="F86" s="54" t="inlineStr">
        <is>
          <t>3 Bed/1Bath FP</t>
        </is>
      </c>
      <c r="G86" s="54" t="inlineStr">
        <is>
          <t>3 Bed/1Bath FP</t>
        </is>
      </c>
      <c r="K86" s="36" t="inlineStr">
        <is>
          <t>Walker (RACB), Teniel</t>
        </is>
      </c>
      <c r="L86" s="55" t="n">
        <v>1334</v>
      </c>
      <c r="M86" s="56" t="n">
        <v>3</v>
      </c>
      <c r="N86" s="56" t="n">
        <v>1</v>
      </c>
      <c r="Q86" s="57" t="inlineStr">
        <is>
          <t>Occ</t>
        </is>
      </c>
      <c r="U86" s="58" t="n">
        <v>1475</v>
      </c>
      <c r="V86" s="58" t="n">
        <v>1325</v>
      </c>
      <c r="W86" s="58" t="n">
        <v>0</v>
      </c>
      <c r="X86" s="58" t="n">
        <v>0</v>
      </c>
      <c r="Y86" s="58" t="n">
        <v>0</v>
      </c>
      <c r="Z86" s="59" t="n">
        <v>43556</v>
      </c>
      <c r="AA86" s="59" t="n">
        <v>43556</v>
      </c>
      <c r="AB86" s="59" t="n">
        <v>46142</v>
      </c>
    </row>
    <row r="87">
      <c r="D87" s="36" t="inlineStr">
        <is>
          <t>Hertel Homes</t>
        </is>
      </c>
      <c r="E87" s="54" t="inlineStr">
        <is>
          <t>80</t>
        </is>
      </c>
      <c r="F87" s="54" t="inlineStr">
        <is>
          <t>3 Bed 1.5 Bath</t>
        </is>
      </c>
      <c r="G87" s="54" t="inlineStr">
        <is>
          <t>3 Bed 1.5 Bath</t>
        </is>
      </c>
      <c r="K87" s="36" t="inlineStr">
        <is>
          <t>Whittle, Wanda</t>
        </is>
      </c>
      <c r="L87" s="55" t="n">
        <v>1521</v>
      </c>
      <c r="M87" s="56" t="n">
        <v>3</v>
      </c>
      <c r="N87" s="56" t="n">
        <v>1.5</v>
      </c>
      <c r="Q87" s="57" t="inlineStr">
        <is>
          <t>Occ</t>
        </is>
      </c>
      <c r="U87" s="58" t="n">
        <v>1495</v>
      </c>
      <c r="V87" s="58" t="n">
        <v>1000</v>
      </c>
      <c r="W87" s="58" t="n">
        <v>0</v>
      </c>
      <c r="X87" s="58" t="n">
        <v>0</v>
      </c>
      <c r="Y87" s="58" t="n">
        <v>0</v>
      </c>
      <c r="Z87" s="59" t="n">
        <v>42328</v>
      </c>
      <c r="AA87" s="59" t="n">
        <v>42328</v>
      </c>
      <c r="AB87" s="59" t="n">
        <v>46326</v>
      </c>
    </row>
    <row r="88">
      <c r="D88" s="36" t="inlineStr">
        <is>
          <t>Hertel Homes</t>
        </is>
      </c>
      <c r="E88" s="54" t="inlineStr">
        <is>
          <t>81</t>
        </is>
      </c>
      <c r="F88" s="54" t="inlineStr">
        <is>
          <t>3 Bed 1.5 Bath</t>
        </is>
      </c>
      <c r="G88" s="54" t="inlineStr">
        <is>
          <t>3 Bed 1.5 Bath</t>
        </is>
      </c>
      <c r="K88" s="36" t="inlineStr">
        <is>
          <t>Anderson, Eric</t>
        </is>
      </c>
      <c r="L88" s="55" t="n">
        <v>1521</v>
      </c>
      <c r="M88" s="56" t="n">
        <v>3</v>
      </c>
      <c r="N88" s="56" t="n">
        <v>1.5</v>
      </c>
      <c r="Q88" s="57" t="inlineStr">
        <is>
          <t>Occ</t>
        </is>
      </c>
      <c r="U88" s="58" t="n">
        <v>1495</v>
      </c>
      <c r="V88" s="58" t="n">
        <v>1400</v>
      </c>
      <c r="W88" s="58" t="n">
        <v>0</v>
      </c>
      <c r="X88" s="58" t="n">
        <v>0</v>
      </c>
      <c r="Y88" s="58" t="n">
        <v>0</v>
      </c>
      <c r="Z88" s="59" t="n">
        <v>45762</v>
      </c>
      <c r="AA88" s="59" t="n">
        <v>45762</v>
      </c>
      <c r="AB88" s="59" t="n">
        <v>46507</v>
      </c>
    </row>
    <row r="89">
      <c r="D89" s="36" t="inlineStr">
        <is>
          <t>Hertel Homes</t>
        </is>
      </c>
      <c r="E89" s="54" t="inlineStr">
        <is>
          <t>82</t>
        </is>
      </c>
      <c r="F89" s="54" t="inlineStr">
        <is>
          <t>3 Bed/ 1Bath</t>
        </is>
      </c>
      <c r="G89" s="54" t="inlineStr">
        <is>
          <t>3 Bed/ 1Bath</t>
        </is>
      </c>
      <c r="K89" s="36" t="inlineStr">
        <is>
          <t>Sosa-Hearn, Griselida</t>
        </is>
      </c>
      <c r="L89" s="55" t="n">
        <v>1334</v>
      </c>
      <c r="M89" s="56" t="n">
        <v>3</v>
      </c>
      <c r="N89" s="56" t="n">
        <v>1</v>
      </c>
      <c r="Q89" s="57" t="inlineStr">
        <is>
          <t>Occ</t>
        </is>
      </c>
      <c r="U89" s="58" t="n">
        <v>1325</v>
      </c>
      <c r="V89" s="58" t="n">
        <v>1400</v>
      </c>
      <c r="W89" s="58" t="n">
        <v>0</v>
      </c>
      <c r="X89" s="58" t="n">
        <v>0</v>
      </c>
      <c r="Y89" s="58" t="n">
        <v>50</v>
      </c>
      <c r="Z89" s="59" t="n">
        <v>46096</v>
      </c>
      <c r="AA89" s="59" t="n">
        <v>46096</v>
      </c>
      <c r="AB89" s="59" t="n">
        <v>46507</v>
      </c>
    </row>
    <row r="90">
      <c r="D90" s="36" t="inlineStr">
        <is>
          <t>Hertel Homes</t>
        </is>
      </c>
      <c r="E90" s="54" t="inlineStr">
        <is>
          <t>83</t>
        </is>
      </c>
      <c r="F90" s="54" t="inlineStr">
        <is>
          <t>1 Bed 1 Bath</t>
        </is>
      </c>
      <c r="G90" s="54" t="inlineStr">
        <is>
          <t>1 Bed 1 Bath</t>
        </is>
      </c>
      <c r="K90" s="36" t="inlineStr">
        <is>
          <t>Wortman, Patrick</t>
        </is>
      </c>
      <c r="L90" s="55" t="n">
        <v>1149</v>
      </c>
      <c r="M90" s="56" t="n">
        <v>1</v>
      </c>
      <c r="N90" s="56" t="n">
        <v>1</v>
      </c>
      <c r="Q90" s="57" t="inlineStr">
        <is>
          <t>Occ</t>
        </is>
      </c>
      <c r="U90" s="58" t="n">
        <v>1195</v>
      </c>
      <c r="V90" s="58" t="n">
        <v>1195</v>
      </c>
      <c r="W90" s="58" t="n">
        <v>0</v>
      </c>
      <c r="X90" s="58" t="n">
        <v>0</v>
      </c>
      <c r="Y90" s="58" t="n">
        <v>0</v>
      </c>
      <c r="Z90" s="59" t="n">
        <v>45884</v>
      </c>
      <c r="AA90" s="59" t="n">
        <v>45884</v>
      </c>
      <c r="AB90" s="59" t="n">
        <v>46265</v>
      </c>
    </row>
    <row r="91">
      <c r="D91" s="36" t="inlineStr">
        <is>
          <t>Hertel Homes</t>
        </is>
      </c>
      <c r="E91" s="54" t="inlineStr">
        <is>
          <t>84</t>
        </is>
      </c>
      <c r="F91" s="54" t="inlineStr">
        <is>
          <t>2 Bed 1 Bath</t>
        </is>
      </c>
      <c r="G91" s="54" t="inlineStr">
        <is>
          <t>2 Bed 1 Bath</t>
        </is>
      </c>
      <c r="K91" s="36" t="inlineStr">
        <is>
          <t>Turner, William</t>
        </is>
      </c>
      <c r="L91" s="55" t="n">
        <v>1334</v>
      </c>
      <c r="M91" s="56" t="n">
        <v>2</v>
      </c>
      <c r="N91" s="56" t="n">
        <v>1</v>
      </c>
      <c r="Q91" s="57" t="inlineStr">
        <is>
          <t>Occ</t>
        </is>
      </c>
      <c r="U91" s="58" t="n">
        <v>1325</v>
      </c>
      <c r="V91" s="58" t="n">
        <v>1200</v>
      </c>
      <c r="W91" s="58" t="n">
        <v>0</v>
      </c>
      <c r="X91" s="58" t="n">
        <v>0</v>
      </c>
      <c r="Y91" s="58" t="n">
        <v>200</v>
      </c>
      <c r="Z91" s="59" t="n">
        <v>45229</v>
      </c>
      <c r="AA91" s="59" t="n">
        <v>45229</v>
      </c>
      <c r="AB91" s="59" t="n">
        <v>45596</v>
      </c>
    </row>
    <row r="92">
      <c r="D92" s="36" t="inlineStr">
        <is>
          <t>Hertel Homes</t>
        </is>
      </c>
      <c r="E92" s="54" t="inlineStr">
        <is>
          <t>85</t>
        </is>
      </c>
      <c r="F92" s="54" t="inlineStr">
        <is>
          <t>2 Bed 1 Bath</t>
        </is>
      </c>
      <c r="G92" s="54" t="inlineStr">
        <is>
          <t>2 Bed 1 Bath</t>
        </is>
      </c>
      <c r="K92" s="36" t="inlineStr">
        <is>
          <t>Williams, Erik</t>
        </is>
      </c>
      <c r="L92" s="55" t="n">
        <v>1334</v>
      </c>
      <c r="M92" s="56" t="n">
        <v>2</v>
      </c>
      <c r="N92" s="56" t="n">
        <v>1</v>
      </c>
      <c r="Q92" s="57" t="inlineStr">
        <is>
          <t>Occ</t>
        </is>
      </c>
      <c r="U92" s="58" t="n">
        <v>1325</v>
      </c>
      <c r="V92" s="58" t="n">
        <v>1100</v>
      </c>
      <c r="W92" s="58" t="n">
        <v>0</v>
      </c>
      <c r="X92" s="58" t="n">
        <v>0</v>
      </c>
      <c r="Y92" s="58" t="n">
        <v>0</v>
      </c>
      <c r="Z92" s="59" t="n">
        <v>43539</v>
      </c>
      <c r="AA92" s="59" t="n">
        <v>43539</v>
      </c>
      <c r="AB92" s="59" t="n">
        <v>46477</v>
      </c>
    </row>
    <row r="93">
      <c r="D93" s="36" t="inlineStr">
        <is>
          <t>Hertel Homes</t>
        </is>
      </c>
      <c r="E93" s="54" t="inlineStr">
        <is>
          <t>86</t>
        </is>
      </c>
      <c r="F93" s="54" t="inlineStr">
        <is>
          <t>3 Bed 1.5 Bath</t>
        </is>
      </c>
      <c r="G93" s="54" t="inlineStr">
        <is>
          <t>3 Bed 1.5 Bath</t>
        </is>
      </c>
      <c r="K93" s="36" t="inlineStr">
        <is>
          <t>Brown, Marland</t>
        </is>
      </c>
      <c r="L93" s="55" t="n">
        <v>1521</v>
      </c>
      <c r="M93" s="56" t="n">
        <v>3</v>
      </c>
      <c r="N93" s="56" t="n">
        <v>1.5</v>
      </c>
      <c r="Q93" s="57" t="inlineStr">
        <is>
          <t>Occ</t>
        </is>
      </c>
      <c r="U93" s="58" t="n">
        <v>1495</v>
      </c>
      <c r="V93" s="58" t="n">
        <v>1495</v>
      </c>
      <c r="W93" s="58" t="n">
        <v>0</v>
      </c>
      <c r="X93" s="58" t="n">
        <v>0</v>
      </c>
      <c r="Y93" s="58" t="n">
        <v>0</v>
      </c>
      <c r="Z93" s="59" t="n">
        <v>45931</v>
      </c>
      <c r="AA93" s="59" t="n">
        <v>45931</v>
      </c>
      <c r="AB93" s="59" t="n">
        <v>46660</v>
      </c>
    </row>
    <row r="94">
      <c r="D94" s="36" t="inlineStr">
        <is>
          <t>Hertel Homes</t>
        </is>
      </c>
      <c r="E94" s="54" t="inlineStr">
        <is>
          <t>87</t>
        </is>
      </c>
      <c r="F94" s="54" t="inlineStr">
        <is>
          <t>3 Bed 1.5 Bath</t>
        </is>
      </c>
      <c r="G94" s="54" t="inlineStr">
        <is>
          <t>3 Bed 1.5 Bath</t>
        </is>
      </c>
      <c r="K94" s="36" t="inlineStr">
        <is>
          <t>Harper, Sheontra</t>
        </is>
      </c>
      <c r="L94" s="55" t="n">
        <v>1521</v>
      </c>
      <c r="M94" s="56" t="n">
        <v>3</v>
      </c>
      <c r="N94" s="56" t="n">
        <v>1.5</v>
      </c>
      <c r="Q94" s="57" t="inlineStr">
        <is>
          <t>Occ</t>
        </is>
      </c>
      <c r="U94" s="58" t="n">
        <v>1495</v>
      </c>
      <c r="V94" s="58" t="n">
        <v>1400</v>
      </c>
      <c r="W94" s="58" t="n">
        <v>0</v>
      </c>
      <c r="X94" s="58" t="n">
        <v>0</v>
      </c>
      <c r="Y94" s="58" t="n">
        <v>0</v>
      </c>
      <c r="Z94" s="59" t="n">
        <v>46081</v>
      </c>
      <c r="AA94" s="59" t="n">
        <v>46081</v>
      </c>
      <c r="AB94" s="59" t="n">
        <v>46446</v>
      </c>
    </row>
    <row r="95">
      <c r="D95" s="36" t="inlineStr">
        <is>
          <t>Hertel Homes</t>
        </is>
      </c>
      <c r="E95" s="54" t="inlineStr">
        <is>
          <t>88</t>
        </is>
      </c>
      <c r="F95" s="54" t="inlineStr">
        <is>
          <t>2 Bed 1 Bath</t>
        </is>
      </c>
      <c r="G95" s="54" t="inlineStr">
        <is>
          <t>2 Bed 1 Bath</t>
        </is>
      </c>
      <c r="K95" s="36" t="inlineStr">
        <is>
          <t>Walker, Jeanette</t>
        </is>
      </c>
      <c r="L95" s="55" t="n">
        <v>1334</v>
      </c>
      <c r="M95" s="56" t="n">
        <v>2</v>
      </c>
      <c r="N95" s="56" t="n">
        <v>1</v>
      </c>
      <c r="Q95" s="57" t="inlineStr">
        <is>
          <t>Occ</t>
        </is>
      </c>
      <c r="U95" s="58" t="n">
        <v>1325</v>
      </c>
      <c r="V95" s="58" t="n">
        <v>995</v>
      </c>
      <c r="W95" s="58" t="n">
        <v>0</v>
      </c>
      <c r="X95" s="58" t="n">
        <v>0</v>
      </c>
      <c r="Y95" s="58" t="n">
        <v>0</v>
      </c>
      <c r="Z95" s="59" t="n">
        <v>42984</v>
      </c>
      <c r="AA95" s="59" t="n">
        <v>42984</v>
      </c>
      <c r="AB95" s="59" t="n">
        <v>46691</v>
      </c>
    </row>
    <row r="96">
      <c r="D96" s="36" t="inlineStr">
        <is>
          <t>Hertel Homes</t>
        </is>
      </c>
      <c r="E96" s="54" t="inlineStr">
        <is>
          <t>89</t>
        </is>
      </c>
      <c r="F96" s="54" t="inlineStr">
        <is>
          <t>2 Bed 1 Bath</t>
        </is>
      </c>
      <c r="G96" s="54" t="inlineStr">
        <is>
          <t>2 Bed 1 Bath</t>
        </is>
      </c>
      <c r="K96" s="36" t="inlineStr">
        <is>
          <t>elmore, clintonia</t>
        </is>
      </c>
      <c r="L96" s="55" t="n">
        <v>1334</v>
      </c>
      <c r="M96" s="56" t="n">
        <v>2</v>
      </c>
      <c r="N96" s="56" t="n">
        <v>1</v>
      </c>
      <c r="Q96" s="57" t="inlineStr">
        <is>
          <t>Occ</t>
        </is>
      </c>
      <c r="U96" s="58" t="n">
        <v>1325</v>
      </c>
      <c r="V96" s="58" t="n">
        <v>1200</v>
      </c>
      <c r="W96" s="58" t="n">
        <v>0</v>
      </c>
      <c r="X96" s="58" t="n">
        <v>0</v>
      </c>
      <c r="Y96" s="58" t="n">
        <v>0</v>
      </c>
      <c r="Z96" s="59" t="n">
        <v>44270</v>
      </c>
      <c r="AA96" s="59" t="n">
        <v>44270</v>
      </c>
      <c r="AB96" s="59" t="n">
        <v>45961</v>
      </c>
    </row>
    <row r="97">
      <c r="D97" s="36" t="inlineStr">
        <is>
          <t>Hertel Homes</t>
        </is>
      </c>
      <c r="E97" s="54" t="inlineStr">
        <is>
          <t>90</t>
        </is>
      </c>
      <c r="F97" s="54" t="inlineStr">
        <is>
          <t>1 Bed 1 Bath</t>
        </is>
      </c>
      <c r="G97" s="54" t="inlineStr">
        <is>
          <t>1 Bed 1 Bath</t>
        </is>
      </c>
      <c r="K97" s="36" t="inlineStr">
        <is>
          <t>Lin, Henry</t>
        </is>
      </c>
      <c r="L97" s="55" t="n">
        <v>1149</v>
      </c>
      <c r="M97" s="56" t="n">
        <v>1</v>
      </c>
      <c r="N97" s="56" t="n">
        <v>1</v>
      </c>
      <c r="Q97" s="57" t="inlineStr">
        <is>
          <t>Occ</t>
        </is>
      </c>
      <c r="U97" s="58" t="n">
        <v>1195</v>
      </c>
      <c r="V97" s="58" t="n">
        <v>1145</v>
      </c>
      <c r="W97" s="58" t="n">
        <v>0</v>
      </c>
      <c r="X97" s="58" t="n">
        <v>0</v>
      </c>
      <c r="Y97" s="58" t="n">
        <v>0</v>
      </c>
      <c r="Z97" s="59" t="n">
        <v>45831</v>
      </c>
      <c r="AA97" s="59" t="n">
        <v>45831</v>
      </c>
      <c r="AB97" s="59" t="n">
        <v>46568</v>
      </c>
    </row>
    <row r="98">
      <c r="D98" s="36" t="inlineStr">
        <is>
          <t>Hertel Homes</t>
        </is>
      </c>
      <c r="E98" s="54" t="inlineStr">
        <is>
          <t>91</t>
        </is>
      </c>
      <c r="F98" s="54" t="inlineStr">
        <is>
          <t>3 Bed/ 1Bath</t>
        </is>
      </c>
      <c r="G98" s="54" t="inlineStr">
        <is>
          <t>3 Bed/ 1Bath</t>
        </is>
      </c>
      <c r="K98" s="36" t="inlineStr">
        <is>
          <t>Neasman, Tionisha</t>
        </is>
      </c>
      <c r="L98" s="55" t="n">
        <v>1541</v>
      </c>
      <c r="M98" s="56" t="n">
        <v>3</v>
      </c>
      <c r="N98" s="56" t="n">
        <v>1</v>
      </c>
      <c r="Q98" s="57" t="inlineStr">
        <is>
          <t>Occ</t>
        </is>
      </c>
      <c r="U98" s="58" t="n">
        <v>1495</v>
      </c>
      <c r="V98" s="58" t="n">
        <v>1400</v>
      </c>
      <c r="W98" s="58" t="n">
        <v>0</v>
      </c>
      <c r="X98" s="58" t="n">
        <v>0</v>
      </c>
      <c r="Y98" s="58" t="n">
        <v>0</v>
      </c>
      <c r="Z98" s="59" t="n">
        <v>45267</v>
      </c>
      <c r="AA98" s="59" t="n">
        <v>45267</v>
      </c>
      <c r="AB98" s="59" t="n">
        <v>46387</v>
      </c>
    </row>
    <row r="99">
      <c r="D99" s="36" t="inlineStr">
        <is>
          <t>Hertel Homes</t>
        </is>
      </c>
      <c r="E99" s="54" t="inlineStr">
        <is>
          <t>92</t>
        </is>
      </c>
      <c r="F99" s="54" t="inlineStr">
        <is>
          <t>1 Bed 1 Bath</t>
        </is>
      </c>
      <c r="G99" s="54" t="inlineStr">
        <is>
          <t>1 Bed 1 Bath</t>
        </is>
      </c>
      <c r="K99" s="36" t="inlineStr">
        <is>
          <t>Vacant</t>
        </is>
      </c>
      <c r="L99" s="55" t="n">
        <v>1149</v>
      </c>
      <c r="M99" s="56" t="n">
        <v>1</v>
      </c>
      <c r="N99" s="56" t="n">
        <v>1</v>
      </c>
      <c r="Q99" s="57" t="inlineStr">
        <is>
          <t>Vac</t>
        </is>
      </c>
      <c r="U99" s="58" t="n">
        <v>1150</v>
      </c>
      <c r="V99" s="58" t="n">
        <v>0</v>
      </c>
      <c r="W99" s="58" t="n">
        <v>0</v>
      </c>
      <c r="X99" s="58" t="n">
        <v>0</v>
      </c>
      <c r="Y99" s="58" t="n">
        <v>0</v>
      </c>
    </row>
    <row r="100">
      <c r="D100" s="36" t="inlineStr">
        <is>
          <t>Hertel Homes</t>
        </is>
      </c>
      <c r="E100" s="54" t="inlineStr">
        <is>
          <t>93</t>
        </is>
      </c>
      <c r="F100" s="54" t="inlineStr">
        <is>
          <t>3 Bed/ 1Bath</t>
        </is>
      </c>
      <c r="G100" s="54" t="inlineStr">
        <is>
          <t>3 Bed/ 1Bath</t>
        </is>
      </c>
      <c r="K100" s="36" t="inlineStr">
        <is>
          <t>Hussein, Mohamud</t>
        </is>
      </c>
      <c r="L100" s="55" t="n">
        <v>1521</v>
      </c>
      <c r="M100" s="56" t="n">
        <v>3</v>
      </c>
      <c r="N100" s="56" t="n">
        <v>1</v>
      </c>
      <c r="Q100" s="57" t="inlineStr">
        <is>
          <t>Occ</t>
        </is>
      </c>
      <c r="U100" s="58" t="n">
        <v>1495</v>
      </c>
      <c r="V100" s="58" t="n">
        <v>1400</v>
      </c>
      <c r="W100" s="58" t="n">
        <v>0</v>
      </c>
      <c r="X100" s="58" t="n">
        <v>0</v>
      </c>
      <c r="Y100" s="58" t="n">
        <v>0</v>
      </c>
      <c r="Z100" s="59" t="n">
        <v>46038</v>
      </c>
      <c r="AA100" s="59" t="n">
        <v>46038</v>
      </c>
      <c r="AB100" s="59" t="n">
        <v>46418</v>
      </c>
    </row>
    <row r="101">
      <c r="D101" s="36" t="inlineStr">
        <is>
          <t>Hertel Homes</t>
        </is>
      </c>
      <c r="E101" s="54" t="inlineStr">
        <is>
          <t>94</t>
        </is>
      </c>
      <c r="F101" s="54" t="inlineStr">
        <is>
          <t>2 Bed 1 Bath</t>
        </is>
      </c>
      <c r="G101" s="54" t="inlineStr">
        <is>
          <t>2 Bed 1 Bath</t>
        </is>
      </c>
      <c r="K101" s="36" t="inlineStr">
        <is>
          <t>Jenifer, Poshine</t>
        </is>
      </c>
      <c r="L101" s="55" t="n">
        <v>1334</v>
      </c>
      <c r="M101" s="56" t="n">
        <v>2</v>
      </c>
      <c r="N101" s="56" t="n">
        <v>1</v>
      </c>
      <c r="Q101" s="57" t="inlineStr">
        <is>
          <t>Occ</t>
        </is>
      </c>
      <c r="U101" s="58" t="n">
        <v>1325</v>
      </c>
      <c r="V101" s="58" t="n">
        <v>1325</v>
      </c>
      <c r="W101" s="58" t="n">
        <v>0</v>
      </c>
      <c r="X101" s="58" t="n">
        <v>0</v>
      </c>
      <c r="Y101" s="58" t="n">
        <v>0</v>
      </c>
      <c r="Z101" s="59" t="n">
        <v>45702</v>
      </c>
      <c r="AA101" s="59" t="n">
        <v>45702</v>
      </c>
      <c r="AB101" s="59" t="n">
        <v>46446</v>
      </c>
    </row>
    <row r="102">
      <c r="D102" s="36" t="inlineStr">
        <is>
          <t>Hertel Homes</t>
        </is>
      </c>
      <c r="E102" s="54" t="inlineStr">
        <is>
          <t>95</t>
        </is>
      </c>
      <c r="F102" s="54" t="inlineStr">
        <is>
          <t>2 Bed 1 Bath</t>
        </is>
      </c>
      <c r="G102" s="54" t="inlineStr">
        <is>
          <t>2 Bed 1 Bath</t>
        </is>
      </c>
      <c r="K102" s="36" t="inlineStr">
        <is>
          <t>Vacant</t>
        </is>
      </c>
      <c r="L102" s="55" t="n">
        <v>1334</v>
      </c>
      <c r="M102" s="56" t="n">
        <v>2</v>
      </c>
      <c r="N102" s="56" t="n">
        <v>1</v>
      </c>
      <c r="Q102" s="57" t="inlineStr">
        <is>
          <t>Vac</t>
        </is>
      </c>
      <c r="U102" s="58" t="n">
        <v>1200</v>
      </c>
      <c r="V102" s="58" t="n">
        <v>0</v>
      </c>
      <c r="W102" s="58" t="n">
        <v>0</v>
      </c>
      <c r="X102" s="58" t="n">
        <v>0</v>
      </c>
      <c r="Y102" s="58" t="n">
        <v>0</v>
      </c>
    </row>
    <row r="103">
      <c r="D103" s="36" t="inlineStr">
        <is>
          <t>Hertel Homes</t>
        </is>
      </c>
      <c r="E103" s="54" t="inlineStr">
        <is>
          <t>96</t>
        </is>
      </c>
      <c r="F103" s="54" t="inlineStr">
        <is>
          <t>2 Bed 1 Bath</t>
        </is>
      </c>
      <c r="G103" s="54" t="inlineStr">
        <is>
          <t>2 Bed 1 Bath</t>
        </is>
      </c>
      <c r="K103" s="36" t="inlineStr">
        <is>
          <t>Smith (BMHA), Jacqualyn</t>
        </is>
      </c>
      <c r="L103" s="55" t="n">
        <v>1334</v>
      </c>
      <c r="M103" s="56" t="n">
        <v>2</v>
      </c>
      <c r="N103" s="56" t="n">
        <v>1</v>
      </c>
      <c r="Q103" s="57" t="inlineStr">
        <is>
          <t>Occ</t>
        </is>
      </c>
      <c r="U103" s="58" t="n">
        <v>1325</v>
      </c>
      <c r="V103" s="58" t="n">
        <v>1000</v>
      </c>
      <c r="W103" s="58" t="n">
        <v>0</v>
      </c>
      <c r="X103" s="58" t="n">
        <v>0</v>
      </c>
      <c r="Y103" s="58" t="n">
        <v>0</v>
      </c>
      <c r="Z103" s="59" t="n">
        <v>42783</v>
      </c>
      <c r="AA103" s="59" t="n">
        <v>42783</v>
      </c>
      <c r="AB103" s="59" t="n">
        <v>46173</v>
      </c>
    </row>
    <row r="104">
      <c r="D104" s="36" t="inlineStr">
        <is>
          <t>Hertel Homes</t>
        </is>
      </c>
      <c r="E104" s="54" t="inlineStr">
        <is>
          <t>97</t>
        </is>
      </c>
      <c r="F104" s="54" t="inlineStr">
        <is>
          <t>2 Bed 1 Bath</t>
        </is>
      </c>
      <c r="G104" s="54" t="inlineStr">
        <is>
          <t>2 Bed 1 Bath</t>
        </is>
      </c>
      <c r="K104" s="36" t="inlineStr">
        <is>
          <t>Coleman, Joseph</t>
        </is>
      </c>
      <c r="L104" s="55" t="n">
        <v>1334</v>
      </c>
      <c r="M104" s="56" t="n">
        <v>2</v>
      </c>
      <c r="N104" s="56" t="n">
        <v>1</v>
      </c>
      <c r="Q104" s="57" t="inlineStr">
        <is>
          <t>Occ</t>
        </is>
      </c>
      <c r="U104" s="58" t="n">
        <v>1325</v>
      </c>
      <c r="V104" s="58" t="n">
        <v>825</v>
      </c>
      <c r="W104" s="58" t="n">
        <v>0</v>
      </c>
      <c r="X104" s="58" t="n">
        <v>0</v>
      </c>
      <c r="Y104" s="58" t="n">
        <v>0</v>
      </c>
      <c r="Z104" s="59" t="n">
        <v>43433</v>
      </c>
      <c r="AA104" s="59" t="n">
        <v>43433</v>
      </c>
      <c r="AB104" s="59" t="n">
        <v>46022</v>
      </c>
    </row>
    <row r="105">
      <c r="D105" s="36" t="inlineStr">
        <is>
          <t>Hertel Homes</t>
        </is>
      </c>
      <c r="E105" s="54" t="inlineStr">
        <is>
          <t>98</t>
        </is>
      </c>
      <c r="F105" s="54" t="inlineStr">
        <is>
          <t>2 Bed 1 Bath</t>
        </is>
      </c>
      <c r="G105" s="54" t="inlineStr">
        <is>
          <t>2 Bed 1 Bath</t>
        </is>
      </c>
      <c r="K105" s="36" t="inlineStr">
        <is>
          <t>Bennett, Dezarai</t>
        </is>
      </c>
      <c r="L105" s="55" t="n">
        <v>1334</v>
      </c>
      <c r="M105" s="56" t="n">
        <v>2</v>
      </c>
      <c r="N105" s="56" t="n">
        <v>1</v>
      </c>
      <c r="Q105" s="57" t="inlineStr">
        <is>
          <t>Occ</t>
        </is>
      </c>
      <c r="U105" s="58" t="n">
        <v>1325</v>
      </c>
      <c r="V105" s="58" t="n">
        <v>1325</v>
      </c>
      <c r="W105" s="58" t="n">
        <v>0</v>
      </c>
      <c r="X105" s="58" t="n">
        <v>0</v>
      </c>
      <c r="Y105" s="58" t="n">
        <v>0</v>
      </c>
      <c r="Z105" s="59" t="n">
        <v>45593</v>
      </c>
      <c r="AA105" s="59" t="n">
        <v>45593</v>
      </c>
      <c r="AB105" s="59" t="n">
        <v>46326</v>
      </c>
    </row>
    <row r="106">
      <c r="D106" s="36" t="inlineStr">
        <is>
          <t>Hertel Homes</t>
        </is>
      </c>
      <c r="E106" s="54" t="inlineStr">
        <is>
          <t>99</t>
        </is>
      </c>
      <c r="F106" s="54" t="inlineStr">
        <is>
          <t>2 Bed 1 Bath</t>
        </is>
      </c>
      <c r="G106" s="54" t="inlineStr">
        <is>
          <t>2 Bed 1 Bath</t>
        </is>
      </c>
      <c r="K106" s="36" t="inlineStr">
        <is>
          <t>Harper, Robert</t>
        </is>
      </c>
      <c r="L106" s="55" t="n">
        <v>1334</v>
      </c>
      <c r="M106" s="56" t="n">
        <v>2</v>
      </c>
      <c r="N106" s="56" t="n">
        <v>1</v>
      </c>
      <c r="Q106" s="57" t="inlineStr">
        <is>
          <t>Occ</t>
        </is>
      </c>
      <c r="U106" s="58" t="n">
        <v>1325</v>
      </c>
      <c r="V106" s="58" t="n">
        <v>1075</v>
      </c>
      <c r="W106" s="58" t="n">
        <v>0</v>
      </c>
      <c r="X106" s="58" t="n">
        <v>0</v>
      </c>
      <c r="Y106" s="58" t="n">
        <v>0</v>
      </c>
      <c r="Z106" s="59" t="n">
        <v>41974</v>
      </c>
      <c r="AA106" s="59" t="n">
        <v>41974</v>
      </c>
      <c r="AB106" s="59" t="n">
        <v>46326</v>
      </c>
    </row>
    <row r="107">
      <c r="D107" s="36" t="inlineStr">
        <is>
          <t>Hertel Homes</t>
        </is>
      </c>
      <c r="E107" s="54" t="inlineStr">
        <is>
          <t>100</t>
        </is>
      </c>
      <c r="F107" s="54" t="inlineStr">
        <is>
          <t>2 Bed 1 Bath</t>
        </is>
      </c>
      <c r="G107" s="54" t="inlineStr">
        <is>
          <t>2 Bed 1 Bath</t>
        </is>
      </c>
      <c r="K107" s="36" t="inlineStr">
        <is>
          <t>Spencer, Gerry</t>
        </is>
      </c>
      <c r="L107" s="55" t="n">
        <v>1334</v>
      </c>
      <c r="M107" s="56" t="n">
        <v>2</v>
      </c>
      <c r="N107" s="56" t="n">
        <v>1</v>
      </c>
      <c r="Q107" s="57" t="inlineStr">
        <is>
          <t>Occ</t>
        </is>
      </c>
      <c r="U107" s="58" t="n">
        <v>1325</v>
      </c>
      <c r="V107" s="58" t="n">
        <v>1475</v>
      </c>
      <c r="W107" s="58" t="n">
        <v>0</v>
      </c>
      <c r="X107" s="58" t="n">
        <v>0</v>
      </c>
      <c r="Y107" s="58" t="n">
        <v>0</v>
      </c>
      <c r="Z107" s="59" t="n">
        <v>44769</v>
      </c>
      <c r="AA107" s="59" t="n">
        <v>44769</v>
      </c>
      <c r="AB107" s="59" t="n">
        <v>46599</v>
      </c>
    </row>
    <row r="108">
      <c r="D108" s="36" t="inlineStr">
        <is>
          <t>Hertel Homes</t>
        </is>
      </c>
      <c r="E108" s="54" t="inlineStr">
        <is>
          <t>101</t>
        </is>
      </c>
      <c r="F108" s="54" t="inlineStr">
        <is>
          <t>2 Bed 1 Bath</t>
        </is>
      </c>
      <c r="G108" s="54" t="inlineStr">
        <is>
          <t>2 Bed 1 Bath</t>
        </is>
      </c>
      <c r="K108" s="36" t="inlineStr">
        <is>
          <t>Vacant</t>
        </is>
      </c>
      <c r="L108" s="55" t="n">
        <v>1334</v>
      </c>
      <c r="M108" s="56" t="n">
        <v>2</v>
      </c>
      <c r="N108" s="56" t="n">
        <v>1</v>
      </c>
      <c r="Q108" s="57" t="inlineStr">
        <is>
          <t>Vac</t>
        </is>
      </c>
      <c r="U108" s="58" t="n">
        <v>1200</v>
      </c>
      <c r="V108" s="58" t="n">
        <v>0</v>
      </c>
      <c r="W108" s="58" t="n">
        <v>0</v>
      </c>
      <c r="X108" s="58" t="n">
        <v>0</v>
      </c>
      <c r="Y108" s="58" t="n">
        <v>0</v>
      </c>
    </row>
    <row r="109">
      <c r="D109" s="36" t="inlineStr">
        <is>
          <t>Hertel Homes</t>
        </is>
      </c>
      <c r="E109" s="54" t="inlineStr">
        <is>
          <t>102</t>
        </is>
      </c>
      <c r="F109" s="54" t="inlineStr">
        <is>
          <t>2 Bed 1 Bath</t>
        </is>
      </c>
      <c r="G109" s="54" t="inlineStr">
        <is>
          <t>2 Bed 1 Bath</t>
        </is>
      </c>
      <c r="K109" s="36" t="inlineStr">
        <is>
          <t>Perez (RACB), Estralita</t>
        </is>
      </c>
      <c r="L109" s="55" t="n">
        <v>1334</v>
      </c>
      <c r="M109" s="56" t="n">
        <v>2</v>
      </c>
      <c r="N109" s="56" t="n">
        <v>1</v>
      </c>
      <c r="Q109" s="57" t="inlineStr">
        <is>
          <t>Occ</t>
        </is>
      </c>
      <c r="U109" s="58" t="n">
        <v>1325</v>
      </c>
      <c r="V109" s="58" t="n">
        <v>1225</v>
      </c>
      <c r="W109" s="58" t="n">
        <v>0</v>
      </c>
      <c r="X109" s="58" t="n">
        <v>0</v>
      </c>
      <c r="Y109" s="58" t="n">
        <v>0</v>
      </c>
      <c r="Z109" s="59" t="n">
        <v>36831</v>
      </c>
      <c r="AA109" s="59" t="n">
        <v>36831</v>
      </c>
      <c r="AB109" s="59" t="n">
        <v>46538</v>
      </c>
    </row>
    <row r="110">
      <c r="D110" s="36" t="inlineStr">
        <is>
          <t>Hertel Homes</t>
        </is>
      </c>
      <c r="E110" s="54" t="inlineStr">
        <is>
          <t>103</t>
        </is>
      </c>
      <c r="F110" s="54" t="inlineStr">
        <is>
          <t>2 Bed 1 Bath</t>
        </is>
      </c>
      <c r="G110" s="54" t="inlineStr">
        <is>
          <t>2 Bed 1 Bath</t>
        </is>
      </c>
      <c r="K110" s="36" t="inlineStr">
        <is>
          <t>Santiago (RACB), Grace</t>
        </is>
      </c>
      <c r="L110" s="55" t="n">
        <v>1334</v>
      </c>
      <c r="M110" s="56" t="n">
        <v>2</v>
      </c>
      <c r="N110" s="56" t="n">
        <v>1</v>
      </c>
      <c r="Q110" s="57" t="inlineStr">
        <is>
          <t>Occ</t>
        </is>
      </c>
      <c r="U110" s="58" t="n">
        <v>1325</v>
      </c>
      <c r="V110" s="58" t="n">
        <v>1050</v>
      </c>
      <c r="W110" s="58" t="n">
        <v>0</v>
      </c>
      <c r="X110" s="58" t="n">
        <v>0</v>
      </c>
      <c r="Y110" s="58" t="n">
        <v>0</v>
      </c>
      <c r="Z110" s="59" t="n">
        <v>43192</v>
      </c>
      <c r="AA110" s="59" t="n">
        <v>43192</v>
      </c>
      <c r="AB110" s="59" t="n">
        <v>46507</v>
      </c>
    </row>
    <row r="111">
      <c r="D111" s="36" t="inlineStr">
        <is>
          <t>Hertel Homes</t>
        </is>
      </c>
      <c r="E111" s="54" t="inlineStr">
        <is>
          <t>104</t>
        </is>
      </c>
      <c r="F111" s="54" t="inlineStr">
        <is>
          <t>2 Bed 1 Bath</t>
        </is>
      </c>
      <c r="G111" s="54" t="inlineStr">
        <is>
          <t>2 Bed 1 Bath</t>
        </is>
      </c>
      <c r="K111" s="36" t="inlineStr">
        <is>
          <t>Sanchez, Melissa</t>
        </is>
      </c>
      <c r="L111" s="55" t="n">
        <v>1334</v>
      </c>
      <c r="M111" s="56" t="n">
        <v>2</v>
      </c>
      <c r="N111" s="56" t="n">
        <v>1</v>
      </c>
      <c r="Q111" s="57" t="inlineStr">
        <is>
          <t>Occ</t>
        </is>
      </c>
      <c r="U111" s="58" t="n">
        <v>1325</v>
      </c>
      <c r="V111" s="58" t="n">
        <v>1300</v>
      </c>
      <c r="W111" s="58" t="n">
        <v>0</v>
      </c>
      <c r="X111" s="58" t="n">
        <v>0</v>
      </c>
      <c r="Y111" s="58" t="n">
        <v>0</v>
      </c>
      <c r="Z111" s="59" t="n">
        <v>44216</v>
      </c>
      <c r="AA111" s="59" t="n">
        <v>44216</v>
      </c>
      <c r="AB111" s="59" t="n">
        <v>46418</v>
      </c>
    </row>
    <row r="112">
      <c r="D112" s="36" t="inlineStr">
        <is>
          <t>Hertel Homes</t>
        </is>
      </c>
      <c r="E112" s="54" t="inlineStr">
        <is>
          <t>105</t>
        </is>
      </c>
      <c r="F112" s="54" t="inlineStr">
        <is>
          <t>2 Bed 1 Bath</t>
        </is>
      </c>
      <c r="G112" s="54" t="inlineStr">
        <is>
          <t>2 Bed 1 Bath</t>
        </is>
      </c>
      <c r="K112" s="36" t="inlineStr">
        <is>
          <t>Fair, Babette</t>
        </is>
      </c>
      <c r="L112" s="55" t="n">
        <v>1334</v>
      </c>
      <c r="M112" s="56" t="n">
        <v>2</v>
      </c>
      <c r="N112" s="56" t="n">
        <v>1</v>
      </c>
      <c r="Q112" s="57" t="inlineStr">
        <is>
          <t>Occ</t>
        </is>
      </c>
      <c r="U112" s="58" t="n">
        <v>1325</v>
      </c>
      <c r="V112" s="58" t="n">
        <v>1095</v>
      </c>
      <c r="W112" s="58" t="n">
        <v>0</v>
      </c>
      <c r="X112" s="58" t="n">
        <v>0</v>
      </c>
      <c r="Y112" s="58" t="n">
        <v>0</v>
      </c>
      <c r="Z112" s="59" t="n">
        <v>40756</v>
      </c>
      <c r="AA112" s="59" t="n">
        <v>40756</v>
      </c>
      <c r="AB112" s="59" t="n">
        <v>46599</v>
      </c>
    </row>
    <row r="113">
      <c r="D113" s="36" t="inlineStr">
        <is>
          <t>Hertel Homes</t>
        </is>
      </c>
      <c r="E113" s="54" t="inlineStr">
        <is>
          <t>106</t>
        </is>
      </c>
      <c r="F113" s="54" t="inlineStr">
        <is>
          <t>2 Bed 1 Bath</t>
        </is>
      </c>
      <c r="G113" s="54" t="inlineStr">
        <is>
          <t>2 Bed 1 Bath</t>
        </is>
      </c>
      <c r="K113" s="36" t="inlineStr">
        <is>
          <t>Harris (BEL), Willette</t>
        </is>
      </c>
      <c r="L113" s="55" t="n">
        <v>1334</v>
      </c>
      <c r="M113" s="56" t="n">
        <v>2</v>
      </c>
      <c r="N113" s="56" t="n">
        <v>1</v>
      </c>
      <c r="Q113" s="57" t="inlineStr">
        <is>
          <t>Occ</t>
        </is>
      </c>
      <c r="U113" s="58" t="n">
        <v>1275</v>
      </c>
      <c r="V113" s="58" t="n">
        <v>1209</v>
      </c>
      <c r="W113" s="58" t="n">
        <v>0</v>
      </c>
      <c r="X113" s="58" t="n">
        <v>0</v>
      </c>
      <c r="Y113" s="58" t="n">
        <v>0</v>
      </c>
      <c r="Z113" s="59" t="n">
        <v>45962</v>
      </c>
      <c r="AA113" s="59" t="n">
        <v>45962</v>
      </c>
      <c r="AB113" s="59" t="n">
        <v>46326</v>
      </c>
    </row>
    <row r="114">
      <c r="D114" s="36" t="inlineStr">
        <is>
          <t>Hertel Homes</t>
        </is>
      </c>
      <c r="E114" s="54" t="inlineStr">
        <is>
          <t>107</t>
        </is>
      </c>
      <c r="F114" s="54" t="inlineStr">
        <is>
          <t>2 Bed 1 Bath</t>
        </is>
      </c>
      <c r="G114" s="54" t="inlineStr">
        <is>
          <t>2 Bed 1 Bath</t>
        </is>
      </c>
      <c r="K114" s="36" t="inlineStr">
        <is>
          <t>Colon (BEL), Linet</t>
        </is>
      </c>
      <c r="L114" s="55" t="n">
        <v>1334</v>
      </c>
      <c r="M114" s="56" t="n">
        <v>2</v>
      </c>
      <c r="N114" s="56" t="n">
        <v>1</v>
      </c>
      <c r="Q114" s="57" t="inlineStr">
        <is>
          <t>Occ</t>
        </is>
      </c>
      <c r="U114" s="58" t="n">
        <v>1325</v>
      </c>
      <c r="V114" s="58" t="n">
        <v>1209</v>
      </c>
      <c r="W114" s="58" t="n">
        <v>0</v>
      </c>
      <c r="X114" s="58" t="n">
        <v>0</v>
      </c>
      <c r="Y114" s="58" t="n">
        <v>0</v>
      </c>
      <c r="Z114" s="59" t="n">
        <v>45839</v>
      </c>
      <c r="AA114" s="59" t="n">
        <v>45839</v>
      </c>
      <c r="AB114" s="59" t="n">
        <v>46203</v>
      </c>
    </row>
    <row r="115">
      <c r="D115" s="36" t="inlineStr">
        <is>
          <t>Hertel Homes</t>
        </is>
      </c>
      <c r="E115" s="54" t="inlineStr">
        <is>
          <t>108</t>
        </is>
      </c>
      <c r="F115" s="54" t="inlineStr">
        <is>
          <t>2 Bed 1 Bath</t>
        </is>
      </c>
      <c r="G115" s="54" t="inlineStr">
        <is>
          <t>2 Bed 1 Bath</t>
        </is>
      </c>
      <c r="K115" s="36" t="inlineStr">
        <is>
          <t>Bernard (RACB), Ana</t>
        </is>
      </c>
      <c r="L115" s="55" t="n">
        <v>1334</v>
      </c>
      <c r="M115" s="56" t="n">
        <v>2</v>
      </c>
      <c r="N115" s="56" t="n">
        <v>1</v>
      </c>
      <c r="Q115" s="57" t="inlineStr">
        <is>
          <t>Occ</t>
        </is>
      </c>
      <c r="U115" s="58" t="n">
        <v>1325</v>
      </c>
      <c r="V115" s="58" t="n">
        <v>1200</v>
      </c>
      <c r="W115" s="58" t="n">
        <v>0</v>
      </c>
      <c r="X115" s="58" t="n">
        <v>0</v>
      </c>
      <c r="Y115" s="58" t="n">
        <v>0</v>
      </c>
      <c r="Z115" s="59" t="n">
        <v>42594</v>
      </c>
      <c r="AA115" s="59" t="n">
        <v>42594</v>
      </c>
      <c r="AB115" s="59" t="n">
        <v>46112</v>
      </c>
    </row>
    <row r="116">
      <c r="D116" s="36" t="inlineStr">
        <is>
          <t>Hertel Homes</t>
        </is>
      </c>
      <c r="E116" s="54" t="inlineStr">
        <is>
          <t>109</t>
        </is>
      </c>
      <c r="F116" s="54" t="inlineStr">
        <is>
          <t>3 Bed 1.5 Bath</t>
        </is>
      </c>
      <c r="G116" s="54" t="inlineStr">
        <is>
          <t>3 Bed 1.5 Bath</t>
        </is>
      </c>
      <c r="K116" s="36" t="inlineStr">
        <is>
          <t>Cardona, Tavializ</t>
        </is>
      </c>
      <c r="L116" s="55" t="n">
        <v>1521</v>
      </c>
      <c r="M116" s="56" t="n">
        <v>3</v>
      </c>
      <c r="N116" s="56" t="n">
        <v>1.5</v>
      </c>
      <c r="Q116" s="57" t="inlineStr">
        <is>
          <t>Occ</t>
        </is>
      </c>
      <c r="U116" s="58" t="n">
        <v>1475</v>
      </c>
      <c r="V116" s="58" t="n">
        <v>1175</v>
      </c>
      <c r="W116" s="58" t="n">
        <v>0</v>
      </c>
      <c r="X116" s="58" t="n">
        <v>0</v>
      </c>
      <c r="Y116" s="58" t="n">
        <v>0</v>
      </c>
      <c r="Z116" s="59" t="n">
        <v>42795</v>
      </c>
      <c r="AA116" s="59" t="n">
        <v>42795</v>
      </c>
      <c r="AB116" s="59" t="n">
        <v>46446</v>
      </c>
    </row>
    <row r="117">
      <c r="D117" s="36" t="inlineStr">
        <is>
          <t>Hertel Homes</t>
        </is>
      </c>
      <c r="E117" s="54" t="inlineStr">
        <is>
          <t>110</t>
        </is>
      </c>
      <c r="F117" s="54" t="inlineStr">
        <is>
          <t>3 Bed 1.5 Bath</t>
        </is>
      </c>
      <c r="G117" s="54" t="inlineStr">
        <is>
          <t>3 Bed 1.5 Bath</t>
        </is>
      </c>
      <c r="K117" s="36" t="inlineStr">
        <is>
          <t>Carrion (EC), Rosemarie</t>
        </is>
      </c>
      <c r="L117" s="55" t="n">
        <v>1521</v>
      </c>
      <c r="M117" s="56" t="n">
        <v>3</v>
      </c>
      <c r="N117" s="56" t="n">
        <v>1.5</v>
      </c>
      <c r="Q117" s="57" t="inlineStr">
        <is>
          <t>Occ</t>
        </is>
      </c>
      <c r="U117" s="58" t="n">
        <v>1325</v>
      </c>
      <c r="V117" s="58" t="n">
        <v>1125</v>
      </c>
      <c r="W117" s="58" t="n">
        <v>0</v>
      </c>
      <c r="X117" s="58" t="n">
        <v>0</v>
      </c>
      <c r="Y117" s="58" t="n">
        <v>50</v>
      </c>
      <c r="Z117" s="59" t="n">
        <v>43070</v>
      </c>
      <c r="AA117" s="59" t="n">
        <v>43070</v>
      </c>
      <c r="AB117" s="59" t="n">
        <v>46356</v>
      </c>
    </row>
    <row r="118">
      <c r="D118" s="36" t="inlineStr">
        <is>
          <t>Hertel Homes</t>
        </is>
      </c>
      <c r="E118" s="54" t="inlineStr">
        <is>
          <t>111</t>
        </is>
      </c>
      <c r="F118" s="54" t="inlineStr">
        <is>
          <t>2 Bed 1 Bath</t>
        </is>
      </c>
      <c r="G118" s="54" t="inlineStr">
        <is>
          <t>2 Bed 1 Bath</t>
        </is>
      </c>
      <c r="K118" s="36" t="inlineStr">
        <is>
          <t>Rembert, Kamren</t>
        </is>
      </c>
      <c r="L118" s="55" t="n">
        <v>1334</v>
      </c>
      <c r="M118" s="56" t="n">
        <v>2</v>
      </c>
      <c r="N118" s="56" t="n">
        <v>1</v>
      </c>
      <c r="Q118" s="57" t="inlineStr">
        <is>
          <t>Occ</t>
        </is>
      </c>
      <c r="U118" s="58" t="n">
        <v>1325</v>
      </c>
      <c r="V118" s="58" t="n">
        <v>1325</v>
      </c>
      <c r="W118" s="58" t="n">
        <v>0</v>
      </c>
      <c r="X118" s="58" t="n">
        <v>0</v>
      </c>
      <c r="Y118" s="58" t="n">
        <v>0</v>
      </c>
      <c r="Z118" s="59" t="n">
        <v>46023</v>
      </c>
      <c r="AA118" s="59" t="n">
        <v>46023</v>
      </c>
      <c r="AB118" s="59" t="n">
        <v>46418</v>
      </c>
    </row>
    <row r="119">
      <c r="D119" s="36" t="inlineStr">
        <is>
          <t>Hertel Homes</t>
        </is>
      </c>
      <c r="E119" s="54" t="inlineStr">
        <is>
          <t>112</t>
        </is>
      </c>
      <c r="F119" s="54" t="inlineStr">
        <is>
          <t>2 Bed 1 Bath</t>
        </is>
      </c>
      <c r="G119" s="54" t="inlineStr">
        <is>
          <t>2 Bed 1 Bath</t>
        </is>
      </c>
      <c r="K119" s="36" t="inlineStr">
        <is>
          <t>Arroyo, Alexander</t>
        </is>
      </c>
      <c r="L119" s="55" t="n">
        <v>1334</v>
      </c>
      <c r="M119" s="56" t="n">
        <v>2</v>
      </c>
      <c r="N119" s="56" t="n">
        <v>1</v>
      </c>
      <c r="Q119" s="57" t="inlineStr">
        <is>
          <t>Occ</t>
        </is>
      </c>
      <c r="U119" s="58" t="n">
        <v>1325</v>
      </c>
      <c r="V119" s="58" t="n">
        <v>1100</v>
      </c>
      <c r="W119" s="58" t="n">
        <v>0</v>
      </c>
      <c r="X119" s="58" t="n">
        <v>0</v>
      </c>
      <c r="Y119" s="58" t="n">
        <v>50</v>
      </c>
      <c r="Z119" s="59" t="n">
        <v>43011</v>
      </c>
      <c r="AA119" s="59" t="n">
        <v>43011</v>
      </c>
      <c r="AB119" s="59" t="n">
        <v>46295</v>
      </c>
    </row>
    <row r="120">
      <c r="D120" s="36" t="inlineStr">
        <is>
          <t>Hertel Homes</t>
        </is>
      </c>
      <c r="E120" s="54" t="inlineStr">
        <is>
          <t>113</t>
        </is>
      </c>
      <c r="F120" s="54" t="inlineStr">
        <is>
          <t>2 Bed 1 Bath</t>
        </is>
      </c>
      <c r="G120" s="54" t="inlineStr">
        <is>
          <t>2 Bed 1 Bath</t>
        </is>
      </c>
      <c r="K120" s="36" t="inlineStr">
        <is>
          <t>Vacant</t>
        </is>
      </c>
      <c r="L120" s="55" t="n">
        <v>1334</v>
      </c>
      <c r="M120" s="56" t="n">
        <v>2</v>
      </c>
      <c r="N120" s="56" t="n">
        <v>1</v>
      </c>
      <c r="Q120" s="57" t="inlineStr">
        <is>
          <t>Vac</t>
        </is>
      </c>
      <c r="U120" s="58" t="n">
        <v>1200</v>
      </c>
      <c r="V120" s="58" t="n">
        <v>0</v>
      </c>
      <c r="W120" s="58" t="n">
        <v>0</v>
      </c>
      <c r="X120" s="58" t="n">
        <v>0</v>
      </c>
      <c r="Y120" s="58" t="n">
        <v>0</v>
      </c>
    </row>
    <row r="121">
      <c r="D121" s="36" t="inlineStr">
        <is>
          <t>Hertel Homes</t>
        </is>
      </c>
      <c r="E121" s="54" t="inlineStr">
        <is>
          <t>114</t>
        </is>
      </c>
      <c r="F121" s="54" t="inlineStr">
        <is>
          <t>3 Bed/ 1Bath</t>
        </is>
      </c>
      <c r="G121" s="54" t="inlineStr">
        <is>
          <t>3 Bed/ 1Bath</t>
        </is>
      </c>
      <c r="K121" s="36" t="inlineStr">
        <is>
          <t>Bishop (BMHA), Candice</t>
        </is>
      </c>
      <c r="L121" s="55" t="n">
        <v>1521</v>
      </c>
      <c r="M121" s="56" t="n">
        <v>3</v>
      </c>
      <c r="N121" s="56" t="n">
        <v>1</v>
      </c>
      <c r="Q121" s="57" t="inlineStr">
        <is>
          <t>Occ</t>
        </is>
      </c>
      <c r="U121" s="58" t="n">
        <v>1475</v>
      </c>
      <c r="V121" s="58" t="n">
        <v>1400</v>
      </c>
      <c r="W121" s="58" t="n">
        <v>0</v>
      </c>
      <c r="X121" s="58" t="n">
        <v>0</v>
      </c>
      <c r="Y121" s="58" t="n">
        <v>0</v>
      </c>
      <c r="Z121" s="59" t="n">
        <v>46082</v>
      </c>
      <c r="AA121" s="59" t="n">
        <v>46082</v>
      </c>
      <c r="AB121" s="59" t="n">
        <v>46446</v>
      </c>
    </row>
    <row r="122">
      <c r="D122" s="36" t="inlineStr">
        <is>
          <t>Hertel Homes</t>
        </is>
      </c>
      <c r="E122" s="54" t="inlineStr">
        <is>
          <t>115</t>
        </is>
      </c>
      <c r="F122" s="54" t="inlineStr">
        <is>
          <t>1 Bed 1 Bath</t>
        </is>
      </c>
      <c r="G122" s="54" t="inlineStr">
        <is>
          <t>1 Bed 1 Bath</t>
        </is>
      </c>
      <c r="K122" s="36" t="inlineStr">
        <is>
          <t>Vacant</t>
        </is>
      </c>
      <c r="L122" s="55" t="n">
        <v>1141</v>
      </c>
      <c r="M122" s="56" t="n">
        <v>1</v>
      </c>
      <c r="N122" s="56" t="n">
        <v>1</v>
      </c>
      <c r="Q122" s="57" t="inlineStr">
        <is>
          <t>Vac</t>
        </is>
      </c>
      <c r="U122" s="58" t="n">
        <v>1150</v>
      </c>
      <c r="V122" s="58" t="n">
        <v>0</v>
      </c>
      <c r="W122" s="58" t="n">
        <v>0</v>
      </c>
      <c r="X122" s="58" t="n">
        <v>0</v>
      </c>
      <c r="Y122" s="58" t="n">
        <v>0</v>
      </c>
    </row>
    <row r="123">
      <c r="D123" s="36" t="inlineStr">
        <is>
          <t>Hertel Homes</t>
        </is>
      </c>
      <c r="E123" s="54" t="inlineStr">
        <is>
          <t>116</t>
        </is>
      </c>
      <c r="F123" s="54" t="inlineStr">
        <is>
          <t>2 Bed 1 Bath</t>
        </is>
      </c>
      <c r="G123" s="54" t="inlineStr">
        <is>
          <t>2 Bed 1 Bath</t>
        </is>
      </c>
      <c r="K123" s="36" t="inlineStr">
        <is>
          <t>Wilmet (BEL), Joann</t>
        </is>
      </c>
      <c r="L123" s="55" t="n">
        <v>1334</v>
      </c>
      <c r="M123" s="56" t="n">
        <v>2</v>
      </c>
      <c r="N123" s="56" t="n">
        <v>1</v>
      </c>
      <c r="Q123" s="57" t="inlineStr">
        <is>
          <t>Occ</t>
        </is>
      </c>
      <c r="U123" s="58" t="n">
        <v>1325</v>
      </c>
      <c r="V123" s="58" t="n">
        <v>1150</v>
      </c>
      <c r="W123" s="58" t="n">
        <v>0</v>
      </c>
      <c r="X123" s="58" t="n">
        <v>0</v>
      </c>
      <c r="Y123" s="58" t="n">
        <v>0</v>
      </c>
      <c r="Z123" s="59" t="n">
        <v>41153</v>
      </c>
      <c r="AA123" s="59" t="n">
        <v>41153</v>
      </c>
      <c r="AB123" s="59" t="n">
        <v>46203</v>
      </c>
    </row>
    <row r="124">
      <c r="D124" s="36" t="inlineStr">
        <is>
          <t>Hertel Homes</t>
        </is>
      </c>
      <c r="E124" s="54" t="inlineStr">
        <is>
          <t>117</t>
        </is>
      </c>
      <c r="F124" s="54" t="inlineStr">
        <is>
          <t>2 Bed 1 Bath</t>
        </is>
      </c>
      <c r="G124" s="54" t="inlineStr">
        <is>
          <t>2 Bed 1 Bath</t>
        </is>
      </c>
      <c r="K124" s="36" t="inlineStr">
        <is>
          <t>Reed, Siann</t>
        </is>
      </c>
      <c r="L124" s="55" t="n">
        <v>1334</v>
      </c>
      <c r="M124" s="56" t="n">
        <v>2</v>
      </c>
      <c r="N124" s="56" t="n">
        <v>1</v>
      </c>
      <c r="Q124" s="57" t="inlineStr">
        <is>
          <t>Occ</t>
        </is>
      </c>
      <c r="U124" s="58" t="n">
        <v>1325</v>
      </c>
      <c r="V124" s="58" t="n">
        <v>1325</v>
      </c>
      <c r="W124" s="58" t="n">
        <v>0</v>
      </c>
      <c r="X124" s="58" t="n">
        <v>0</v>
      </c>
      <c r="Y124" s="58" t="n">
        <v>0</v>
      </c>
      <c r="Z124" s="59" t="n">
        <v>45853</v>
      </c>
      <c r="AA124" s="59" t="n">
        <v>45853</v>
      </c>
      <c r="AB124" s="59" t="n">
        <v>46234</v>
      </c>
    </row>
    <row r="125">
      <c r="D125" s="36" t="inlineStr">
        <is>
          <t>Hertel Homes</t>
        </is>
      </c>
      <c r="E125" s="54" t="inlineStr">
        <is>
          <t>118</t>
        </is>
      </c>
      <c r="F125" s="54" t="inlineStr">
        <is>
          <t>1 Bed 1 Bath</t>
        </is>
      </c>
      <c r="G125" s="54" t="inlineStr">
        <is>
          <t>1 Bed 1 Bath</t>
        </is>
      </c>
      <c r="K125" s="36" t="inlineStr">
        <is>
          <t>Henderson (BFNC), Marilyn</t>
        </is>
      </c>
      <c r="L125" s="55" t="n">
        <v>1149</v>
      </c>
      <c r="M125" s="56" t="n">
        <v>1</v>
      </c>
      <c r="N125" s="56" t="n">
        <v>1</v>
      </c>
      <c r="Q125" s="57" t="inlineStr">
        <is>
          <t>Occ</t>
        </is>
      </c>
      <c r="U125" s="58" t="n">
        <v>1195</v>
      </c>
      <c r="V125" s="58" t="n">
        <v>1195</v>
      </c>
      <c r="W125" s="58" t="n">
        <v>0</v>
      </c>
      <c r="X125" s="58" t="n">
        <v>0</v>
      </c>
      <c r="Y125" s="58" t="n">
        <v>0</v>
      </c>
      <c r="Z125" s="59" t="n">
        <v>45923</v>
      </c>
      <c r="AA125" s="59" t="n">
        <v>45923</v>
      </c>
      <c r="AB125" s="59" t="n">
        <v>46295</v>
      </c>
    </row>
    <row r="126">
      <c r="D126" s="36" t="inlineStr">
        <is>
          <t>Hertel Homes</t>
        </is>
      </c>
      <c r="E126" s="54" t="inlineStr">
        <is>
          <t>119</t>
        </is>
      </c>
      <c r="F126" s="54" t="inlineStr">
        <is>
          <t>3 Bed/ 1Bath</t>
        </is>
      </c>
      <c r="G126" s="54" t="inlineStr">
        <is>
          <t>3 Bed/ 1Bath</t>
        </is>
      </c>
      <c r="K126" s="36" t="inlineStr">
        <is>
          <t>Vacant</t>
        </is>
      </c>
      <c r="L126" s="55" t="n">
        <v>1521</v>
      </c>
      <c r="M126" s="56" t="n">
        <v>3</v>
      </c>
      <c r="N126" s="56" t="n">
        <v>1</v>
      </c>
      <c r="Q126" s="57" t="inlineStr">
        <is>
          <t>Vac</t>
        </is>
      </c>
      <c r="U126" s="58" t="n">
        <v>1400</v>
      </c>
      <c r="V126" s="58" t="n">
        <v>0</v>
      </c>
      <c r="W126" s="58" t="n">
        <v>0</v>
      </c>
      <c r="X126" s="58" t="n">
        <v>0</v>
      </c>
      <c r="Y126" s="58" t="n">
        <v>0</v>
      </c>
    </row>
    <row r="127">
      <c r="D127" s="36" t="inlineStr">
        <is>
          <t>Hertel Homes</t>
        </is>
      </c>
      <c r="E127" s="54" t="inlineStr">
        <is>
          <t>120</t>
        </is>
      </c>
      <c r="F127" s="54" t="inlineStr">
        <is>
          <t>1 Bed 1 Bath</t>
        </is>
      </c>
      <c r="G127" s="54" t="inlineStr">
        <is>
          <t>1 Bed 1 Bath</t>
        </is>
      </c>
      <c r="K127" s="36" t="inlineStr">
        <is>
          <t>Smith, Aaron</t>
        </is>
      </c>
      <c r="L127" s="55" t="n">
        <v>1149</v>
      </c>
      <c r="M127" s="56" t="n">
        <v>1</v>
      </c>
      <c r="N127" s="56" t="n">
        <v>1</v>
      </c>
      <c r="Q127" s="57" t="inlineStr">
        <is>
          <t>Occ</t>
        </is>
      </c>
      <c r="U127" s="58" t="n">
        <v>1195</v>
      </c>
      <c r="V127" s="58" t="n">
        <v>1150</v>
      </c>
      <c r="W127" s="58" t="n">
        <v>0</v>
      </c>
      <c r="X127" s="58" t="n">
        <v>0</v>
      </c>
      <c r="Y127" s="58" t="n">
        <v>0</v>
      </c>
      <c r="Z127" s="59" t="n">
        <v>46206</v>
      </c>
      <c r="AA127" s="59" t="n">
        <v>46206</v>
      </c>
      <c r="AB127" s="59" t="n">
        <v>46599</v>
      </c>
    </row>
    <row r="128">
      <c r="D128" s="36" t="inlineStr">
        <is>
          <t>Hertel Homes</t>
        </is>
      </c>
      <c r="E128" s="54" t="inlineStr">
        <is>
          <t>121</t>
        </is>
      </c>
      <c r="F128" s="54" t="inlineStr">
        <is>
          <t>3 Bed 1.5 Bath</t>
        </is>
      </c>
      <c r="G128" s="54" t="inlineStr">
        <is>
          <t>3 Bed 1.5 Bath</t>
        </is>
      </c>
      <c r="K128" s="36" t="inlineStr">
        <is>
          <t>Harden, Andrea</t>
        </is>
      </c>
      <c r="L128" s="55" t="n">
        <v>1521</v>
      </c>
      <c r="M128" s="56" t="n">
        <v>3</v>
      </c>
      <c r="N128" s="56" t="n">
        <v>1.5</v>
      </c>
      <c r="Q128" s="57" t="inlineStr">
        <is>
          <t>Occ</t>
        </is>
      </c>
      <c r="U128" s="58" t="n">
        <v>1475</v>
      </c>
      <c r="V128" s="58" t="n">
        <v>1450</v>
      </c>
      <c r="W128" s="58" t="n">
        <v>0</v>
      </c>
      <c r="X128" s="58" t="n">
        <v>0</v>
      </c>
      <c r="Y128" s="58" t="n">
        <v>50</v>
      </c>
      <c r="Z128" s="59" t="n">
        <v>45031</v>
      </c>
      <c r="AA128" s="59" t="n">
        <v>45031</v>
      </c>
      <c r="AB128" s="59" t="n">
        <v>46507</v>
      </c>
    </row>
    <row r="129">
      <c r="D129" s="36" t="inlineStr">
        <is>
          <t>Hertel Homes</t>
        </is>
      </c>
      <c r="E129" s="54" t="inlineStr">
        <is>
          <t>122</t>
        </is>
      </c>
      <c r="F129" s="54" t="inlineStr">
        <is>
          <t>1 Bed 1 Bath</t>
        </is>
      </c>
      <c r="G129" s="54" t="inlineStr">
        <is>
          <t>1 Bed 1 Bath</t>
        </is>
      </c>
      <c r="K129" s="36" t="inlineStr">
        <is>
          <t>TSI, Transitional Services</t>
        </is>
      </c>
      <c r="L129" s="55" t="n">
        <v>1141</v>
      </c>
      <c r="M129" s="56" t="n">
        <v>1</v>
      </c>
      <c r="N129" s="56" t="n">
        <v>1</v>
      </c>
      <c r="Q129" s="57" t="inlineStr">
        <is>
          <t>Occ</t>
        </is>
      </c>
      <c r="U129" s="58" t="n">
        <v>1195</v>
      </c>
      <c r="V129" s="58" t="n">
        <v>1195</v>
      </c>
      <c r="W129" s="58" t="n">
        <v>0</v>
      </c>
      <c r="X129" s="58" t="n">
        <v>0</v>
      </c>
      <c r="Y129" s="58" t="n">
        <v>0</v>
      </c>
      <c r="Z129" s="59" t="n">
        <v>45383</v>
      </c>
      <c r="AA129" s="59" t="n">
        <v>45383</v>
      </c>
      <c r="AB129" s="59" t="n">
        <v>46477</v>
      </c>
    </row>
    <row r="130">
      <c r="D130" s="36" t="inlineStr">
        <is>
          <t>Hertel Homes</t>
        </is>
      </c>
      <c r="E130" s="54" t="inlineStr">
        <is>
          <t>123</t>
        </is>
      </c>
      <c r="F130" s="54" t="inlineStr">
        <is>
          <t>3 Bed/1Bath FP</t>
        </is>
      </c>
      <c r="G130" s="54" t="inlineStr">
        <is>
          <t>3 Bed/1Bath FP</t>
        </is>
      </c>
      <c r="K130" s="36" t="inlineStr">
        <is>
          <t>Ubinas, Mariah</t>
        </is>
      </c>
      <c r="L130" s="55" t="n">
        <v>1521</v>
      </c>
      <c r="M130" s="56" t="n">
        <v>3</v>
      </c>
      <c r="N130" s="56" t="n">
        <v>1</v>
      </c>
      <c r="Q130" s="57" t="inlineStr">
        <is>
          <t>Occ</t>
        </is>
      </c>
      <c r="U130" s="58" t="n">
        <v>1350</v>
      </c>
      <c r="V130" s="58" t="n">
        <v>1375</v>
      </c>
      <c r="W130" s="58" t="n">
        <v>0</v>
      </c>
      <c r="X130" s="58" t="n">
        <v>0</v>
      </c>
      <c r="Y130" s="58" t="n">
        <v>0</v>
      </c>
      <c r="Z130" s="59" t="n">
        <v>44062</v>
      </c>
      <c r="AA130" s="59" t="n">
        <v>44062</v>
      </c>
      <c r="AB130" s="59" t="n">
        <v>46630</v>
      </c>
    </row>
    <row r="131">
      <c r="D131" s="36" t="inlineStr">
        <is>
          <t>Hertel Homes</t>
        </is>
      </c>
      <c r="E131" s="54" t="inlineStr">
        <is>
          <t>124</t>
        </is>
      </c>
      <c r="F131" s="54" t="inlineStr">
        <is>
          <t>1 Bed 1 Bath</t>
        </is>
      </c>
      <c r="G131" s="54" t="inlineStr">
        <is>
          <t>1 Bed 1 Bath</t>
        </is>
      </c>
      <c r="K131" s="36" t="inlineStr">
        <is>
          <t>Brown (BFNC), Derron</t>
        </is>
      </c>
      <c r="L131" s="55" t="n">
        <v>1149</v>
      </c>
      <c r="M131" s="56" t="n">
        <v>1</v>
      </c>
      <c r="N131" s="56" t="n">
        <v>1</v>
      </c>
      <c r="Q131" s="57" t="inlineStr">
        <is>
          <t>Occ</t>
        </is>
      </c>
      <c r="U131" s="58" t="n">
        <v>1195</v>
      </c>
      <c r="V131" s="58" t="n">
        <v>1195</v>
      </c>
      <c r="W131" s="58" t="n">
        <v>0</v>
      </c>
      <c r="X131" s="58" t="n">
        <v>0</v>
      </c>
      <c r="Y131" s="58" t="n">
        <v>0</v>
      </c>
      <c r="Z131" s="59" t="n">
        <v>45961</v>
      </c>
      <c r="AA131" s="59" t="n">
        <v>45961</v>
      </c>
      <c r="AB131" s="59" t="n">
        <v>46326</v>
      </c>
    </row>
    <row r="132">
      <c r="D132" s="36" t="inlineStr">
        <is>
          <t>Hertel Homes</t>
        </is>
      </c>
      <c r="E132" s="54" t="inlineStr">
        <is>
          <t>125</t>
        </is>
      </c>
      <c r="F132" s="54" t="inlineStr">
        <is>
          <t>3 Bed/ 1Bath</t>
        </is>
      </c>
      <c r="G132" s="54" t="inlineStr">
        <is>
          <t>3 Bed/ 1Bath</t>
        </is>
      </c>
      <c r="K132" s="36" t="inlineStr">
        <is>
          <t>Chance (Bel), Jordynne</t>
        </is>
      </c>
      <c r="L132" s="55" t="n">
        <v>1521</v>
      </c>
      <c r="M132" s="56" t="n">
        <v>3</v>
      </c>
      <c r="N132" s="56" t="n">
        <v>1</v>
      </c>
      <c r="Q132" s="57" t="inlineStr">
        <is>
          <t>Occ</t>
        </is>
      </c>
      <c r="U132" s="58" t="n">
        <v>1400</v>
      </c>
      <c r="V132" s="58" t="n">
        <v>1375</v>
      </c>
      <c r="W132" s="58" t="n">
        <v>0</v>
      </c>
      <c r="X132" s="58" t="n">
        <v>0</v>
      </c>
      <c r="Y132" s="58" t="n">
        <v>0</v>
      </c>
      <c r="Z132" s="59" t="n">
        <v>45839</v>
      </c>
      <c r="AA132" s="59" t="n">
        <v>45839</v>
      </c>
      <c r="AB132" s="59" t="n">
        <v>46568</v>
      </c>
    </row>
    <row r="133">
      <c r="D133" s="36" t="inlineStr">
        <is>
          <t>Hertel Homes</t>
        </is>
      </c>
      <c r="E133" s="54" t="inlineStr">
        <is>
          <t>126</t>
        </is>
      </c>
      <c r="F133" s="54" t="inlineStr">
        <is>
          <t>1 Bed 1 Bath</t>
        </is>
      </c>
      <c r="G133" s="54" t="inlineStr">
        <is>
          <t>1 Bed 1 Bath</t>
        </is>
      </c>
      <c r="K133" s="36" t="inlineStr">
        <is>
          <t>Alomar Colon (BMHA), Javier</t>
        </is>
      </c>
      <c r="L133" s="55" t="n">
        <v>1149</v>
      </c>
      <c r="M133" s="56" t="n">
        <v>1</v>
      </c>
      <c r="N133" s="56" t="n">
        <v>1</v>
      </c>
      <c r="Q133" s="57" t="inlineStr">
        <is>
          <t>Occ</t>
        </is>
      </c>
      <c r="U133" s="58" t="n">
        <v>1195</v>
      </c>
      <c r="V133" s="58" t="n">
        <v>1075</v>
      </c>
      <c r="W133" s="58" t="n">
        <v>0</v>
      </c>
      <c r="X133" s="58" t="n">
        <v>0</v>
      </c>
      <c r="Y133" s="58" t="n">
        <v>0</v>
      </c>
      <c r="Z133" s="59" t="n">
        <v>42754</v>
      </c>
      <c r="AA133" s="59" t="n">
        <v>42754</v>
      </c>
      <c r="AB133" s="59" t="n">
        <v>46418</v>
      </c>
    </row>
    <row r="134">
      <c r="D134" s="36" t="inlineStr">
        <is>
          <t>Hertel Homes</t>
        </is>
      </c>
      <c r="E134" s="54" t="inlineStr">
        <is>
          <t>127</t>
        </is>
      </c>
      <c r="F134" s="54" t="inlineStr">
        <is>
          <t>3 Bed/1Bath FP</t>
        </is>
      </c>
      <c r="G134" s="54" t="inlineStr">
        <is>
          <t>3 Bed/1Bath FP</t>
        </is>
      </c>
      <c r="K134" s="36" t="inlineStr">
        <is>
          <t>Golden (RACB), India</t>
        </is>
      </c>
      <c r="L134" s="55" t="n">
        <v>1521</v>
      </c>
      <c r="M134" s="56" t="n">
        <v>3</v>
      </c>
      <c r="N134" s="56" t="n">
        <v>1</v>
      </c>
      <c r="Q134" s="57" t="inlineStr">
        <is>
          <t>Occ</t>
        </is>
      </c>
      <c r="U134" s="58" t="n">
        <v>1350</v>
      </c>
      <c r="V134" s="58" t="n">
        <v>1175</v>
      </c>
      <c r="W134" s="58" t="n">
        <v>0</v>
      </c>
      <c r="X134" s="58" t="n">
        <v>0</v>
      </c>
      <c r="Y134" s="58" t="n">
        <v>0</v>
      </c>
      <c r="Z134" s="59" t="n">
        <v>41730</v>
      </c>
      <c r="AA134" s="59" t="n">
        <v>41730</v>
      </c>
      <c r="AB134" s="59" t="n">
        <v>46477</v>
      </c>
    </row>
    <row r="135">
      <c r="D135" s="36" t="inlineStr">
        <is>
          <t>Hertel Homes</t>
        </is>
      </c>
      <c r="E135" s="54" t="inlineStr">
        <is>
          <t>128</t>
        </is>
      </c>
      <c r="F135" s="54" t="inlineStr">
        <is>
          <t>2 Bed 1 Bath</t>
        </is>
      </c>
      <c r="G135" s="54" t="inlineStr">
        <is>
          <t>2 Bed 1 Bath</t>
        </is>
      </c>
      <c r="K135" s="36" t="inlineStr">
        <is>
          <t>Daza, Brenda</t>
        </is>
      </c>
      <c r="L135" s="55" t="n">
        <v>1334</v>
      </c>
      <c r="M135" s="56" t="n">
        <v>2</v>
      </c>
      <c r="N135" s="56" t="n">
        <v>1</v>
      </c>
      <c r="Q135" s="57" t="inlineStr">
        <is>
          <t>Occ</t>
        </is>
      </c>
      <c r="U135" s="58" t="n">
        <v>1350</v>
      </c>
      <c r="V135" s="58" t="n">
        <v>1295</v>
      </c>
      <c r="W135" s="58" t="n">
        <v>0</v>
      </c>
      <c r="X135" s="58" t="n">
        <v>0</v>
      </c>
      <c r="Y135" s="58" t="n">
        <v>0</v>
      </c>
      <c r="Z135" s="59" t="n">
        <v>44028</v>
      </c>
      <c r="AA135" s="59" t="n">
        <v>44028</v>
      </c>
      <c r="AB135" s="59" t="n">
        <v>46507</v>
      </c>
    </row>
    <row r="136">
      <c r="D136" s="36" t="inlineStr">
        <is>
          <t>Hertel Homes</t>
        </is>
      </c>
      <c r="E136" s="54" t="inlineStr">
        <is>
          <t>129</t>
        </is>
      </c>
      <c r="F136" s="54" t="inlineStr">
        <is>
          <t>3 Bed 1.5 Bath</t>
        </is>
      </c>
      <c r="G136" s="54" t="inlineStr">
        <is>
          <t>3 Bed 1.5 Bath</t>
        </is>
      </c>
      <c r="K136" s="36" t="inlineStr">
        <is>
          <t>Diggs, Daeaira</t>
        </is>
      </c>
      <c r="L136" s="55" t="n">
        <v>1521</v>
      </c>
      <c r="M136" s="56" t="n">
        <v>3</v>
      </c>
      <c r="N136" s="56" t="n">
        <v>1.5</v>
      </c>
      <c r="Q136" s="57" t="inlineStr">
        <is>
          <t>Occ</t>
        </is>
      </c>
      <c r="U136" s="58" t="n">
        <v>1495</v>
      </c>
      <c r="V136" s="58" t="n">
        <v>1495</v>
      </c>
      <c r="W136" s="58" t="n">
        <v>0</v>
      </c>
      <c r="X136" s="58" t="n">
        <v>0</v>
      </c>
      <c r="Y136" s="58" t="n">
        <v>0</v>
      </c>
      <c r="Z136" s="59" t="n">
        <v>45915</v>
      </c>
      <c r="AA136" s="59" t="n">
        <v>45915</v>
      </c>
      <c r="AB136" s="59" t="n">
        <v>46660</v>
      </c>
    </row>
    <row r="137">
      <c r="D137" s="36" t="inlineStr">
        <is>
          <t>Hertel Homes</t>
        </is>
      </c>
      <c r="E137" s="54" t="inlineStr">
        <is>
          <t>130</t>
        </is>
      </c>
      <c r="F137" s="54" t="inlineStr">
        <is>
          <t>3 Bed 1.5 Bath</t>
        </is>
      </c>
      <c r="G137" s="54" t="inlineStr">
        <is>
          <t>3 Bed 1.5 Bath</t>
        </is>
      </c>
      <c r="K137" s="36" t="inlineStr">
        <is>
          <t>Reyes, Lenyn</t>
        </is>
      </c>
      <c r="L137" s="55" t="n">
        <v>1521</v>
      </c>
      <c r="M137" s="56" t="n">
        <v>3</v>
      </c>
      <c r="N137" s="56" t="n">
        <v>1.5</v>
      </c>
      <c r="Q137" s="57" t="inlineStr">
        <is>
          <t>Occ</t>
        </is>
      </c>
      <c r="U137" s="58" t="n">
        <v>1495</v>
      </c>
      <c r="V137" s="58" t="n">
        <v>1450</v>
      </c>
      <c r="W137" s="58" t="n">
        <v>0</v>
      </c>
      <c r="X137" s="58" t="n">
        <v>0</v>
      </c>
      <c r="Y137" s="58" t="n">
        <v>35</v>
      </c>
      <c r="Z137" s="59" t="n">
        <v>45715</v>
      </c>
      <c r="AA137" s="59" t="n">
        <v>45715</v>
      </c>
      <c r="AB137" s="59" t="n">
        <v>46446</v>
      </c>
    </row>
    <row r="138">
      <c r="D138" s="36" t="inlineStr">
        <is>
          <t>Hertel Homes</t>
        </is>
      </c>
      <c r="E138" s="54" t="inlineStr">
        <is>
          <t>131</t>
        </is>
      </c>
      <c r="F138" s="54" t="inlineStr">
        <is>
          <t>2 Bed 1 Bath</t>
        </is>
      </c>
      <c r="G138" s="54" t="inlineStr">
        <is>
          <t>2 Bed 1 Bath</t>
        </is>
      </c>
      <c r="K138" s="36" t="inlineStr">
        <is>
          <t>Nance (RACB), Moesha</t>
        </is>
      </c>
      <c r="L138" s="55" t="n">
        <v>1334</v>
      </c>
      <c r="M138" s="56" t="n">
        <v>2</v>
      </c>
      <c r="N138" s="56" t="n">
        <v>1</v>
      </c>
      <c r="Q138" s="57" t="inlineStr">
        <is>
          <t>Occ</t>
        </is>
      </c>
      <c r="U138" s="58" t="n">
        <v>1350</v>
      </c>
      <c r="V138" s="58" t="n">
        <v>1350</v>
      </c>
      <c r="W138" s="58" t="n">
        <v>0</v>
      </c>
      <c r="X138" s="58" t="n">
        <v>0</v>
      </c>
      <c r="Y138" s="58" t="n">
        <v>0</v>
      </c>
      <c r="Z138" s="59" t="n">
        <v>45593</v>
      </c>
      <c r="AA138" s="59" t="n">
        <v>45593</v>
      </c>
      <c r="AB138" s="59" t="n">
        <v>46326</v>
      </c>
    </row>
    <row r="139">
      <c r="D139" s="36" t="inlineStr">
        <is>
          <t>Hertel Homes</t>
        </is>
      </c>
      <c r="E139" s="54" t="inlineStr">
        <is>
          <t>132</t>
        </is>
      </c>
      <c r="F139" s="54" t="inlineStr">
        <is>
          <t>1 Bed 1 Bath</t>
        </is>
      </c>
      <c r="G139" s="54" t="inlineStr">
        <is>
          <t>1 Bed 1 Bath</t>
        </is>
      </c>
      <c r="K139" s="36" t="inlineStr">
        <is>
          <t>Velez, Juan</t>
        </is>
      </c>
      <c r="L139" s="55" t="n">
        <v>1149</v>
      </c>
      <c r="M139" s="56" t="n">
        <v>1</v>
      </c>
      <c r="N139" s="56" t="n">
        <v>1</v>
      </c>
      <c r="Q139" s="57" t="inlineStr">
        <is>
          <t>Occ</t>
        </is>
      </c>
      <c r="U139" s="58" t="n">
        <v>1195</v>
      </c>
      <c r="V139" s="58" t="n">
        <v>950</v>
      </c>
      <c r="W139" s="58" t="n">
        <v>0</v>
      </c>
      <c r="X139" s="58" t="n">
        <v>0</v>
      </c>
      <c r="Y139" s="58" t="n">
        <v>0</v>
      </c>
      <c r="Z139" s="59" t="n">
        <v>42522</v>
      </c>
      <c r="AA139" s="59" t="n">
        <v>42522</v>
      </c>
      <c r="AB139" s="59" t="n">
        <v>46173</v>
      </c>
    </row>
    <row r="140">
      <c r="D140" s="36" t="inlineStr">
        <is>
          <t>Hertel Homes</t>
        </is>
      </c>
      <c r="E140" s="54" t="inlineStr">
        <is>
          <t>133</t>
        </is>
      </c>
      <c r="F140" s="54" t="inlineStr">
        <is>
          <t>3 Bed/ 1Bath</t>
        </is>
      </c>
      <c r="G140" s="54" t="inlineStr">
        <is>
          <t>3 Bed/ 1Bath</t>
        </is>
      </c>
      <c r="K140" s="36" t="inlineStr">
        <is>
          <t>Ivy (BEL), Tiera</t>
        </is>
      </c>
      <c r="L140" s="55" t="n">
        <v>1521</v>
      </c>
      <c r="M140" s="56" t="n">
        <v>3</v>
      </c>
      <c r="N140" s="56" t="n">
        <v>1</v>
      </c>
      <c r="Q140" s="57" t="inlineStr">
        <is>
          <t>Occ</t>
        </is>
      </c>
      <c r="U140" s="58" t="n">
        <v>1350</v>
      </c>
      <c r="V140" s="58" t="n">
        <v>1375</v>
      </c>
      <c r="W140" s="58" t="n">
        <v>0</v>
      </c>
      <c r="X140" s="58" t="n">
        <v>0</v>
      </c>
      <c r="Y140" s="58" t="n">
        <v>0</v>
      </c>
      <c r="Z140" s="59" t="n">
        <v>45757</v>
      </c>
      <c r="AA140" s="59" t="n">
        <v>45757</v>
      </c>
      <c r="AB140" s="59" t="n">
        <v>46477</v>
      </c>
    </row>
    <row r="141">
      <c r="D141" s="36" t="inlineStr">
        <is>
          <t>Hertel Homes</t>
        </is>
      </c>
      <c r="E141" s="54" t="inlineStr">
        <is>
          <t>134</t>
        </is>
      </c>
      <c r="F141" s="54" t="inlineStr">
        <is>
          <t>1 Bed 1 Bath</t>
        </is>
      </c>
      <c r="G141" s="54" t="inlineStr">
        <is>
          <t>1 Bed 1 Bath</t>
        </is>
      </c>
      <c r="K141" s="36" t="inlineStr">
        <is>
          <t>Miller, Victoria</t>
        </is>
      </c>
      <c r="L141" s="55" t="n">
        <v>1149</v>
      </c>
      <c r="M141" s="56" t="n">
        <v>1</v>
      </c>
      <c r="N141" s="56" t="n">
        <v>1</v>
      </c>
      <c r="Q141" s="57" t="inlineStr">
        <is>
          <t>Occ</t>
        </is>
      </c>
      <c r="U141" s="58" t="n">
        <v>1195</v>
      </c>
      <c r="V141" s="58" t="n">
        <v>1075</v>
      </c>
      <c r="W141" s="58" t="n">
        <v>0</v>
      </c>
      <c r="X141" s="58" t="n">
        <v>0</v>
      </c>
      <c r="Y141" s="58" t="n">
        <v>0</v>
      </c>
      <c r="Z141" s="59" t="n">
        <v>45289</v>
      </c>
      <c r="AA141" s="59" t="n">
        <v>45289</v>
      </c>
      <c r="AB141" s="59" t="n">
        <v>46387</v>
      </c>
    </row>
    <row r="142">
      <c r="D142" s="36" t="inlineStr">
        <is>
          <t>Hertel Homes</t>
        </is>
      </c>
      <c r="E142" s="54" t="inlineStr">
        <is>
          <t>135</t>
        </is>
      </c>
      <c r="F142" s="54" t="inlineStr">
        <is>
          <t>3 Bed/ 1Bath</t>
        </is>
      </c>
      <c r="G142" s="54" t="inlineStr">
        <is>
          <t>3 Bed/ 1Bath</t>
        </is>
      </c>
      <c r="K142" s="36" t="inlineStr">
        <is>
          <t>Thomas, Alisa</t>
        </is>
      </c>
      <c r="L142" s="55" t="n">
        <v>1521</v>
      </c>
      <c r="M142" s="56" t="n">
        <v>3</v>
      </c>
      <c r="N142" s="56" t="n">
        <v>1</v>
      </c>
      <c r="Q142" s="57" t="inlineStr">
        <is>
          <t>Occ</t>
        </is>
      </c>
      <c r="U142" s="58" t="n">
        <v>1495</v>
      </c>
      <c r="V142" s="58" t="n">
        <v>1500</v>
      </c>
      <c r="W142" s="58" t="n">
        <v>0</v>
      </c>
      <c r="X142" s="58" t="n">
        <v>0</v>
      </c>
      <c r="Y142" s="58" t="n">
        <v>0</v>
      </c>
      <c r="Z142" s="59" t="n">
        <v>45474</v>
      </c>
      <c r="AA142" s="59" t="n">
        <v>45474</v>
      </c>
      <c r="AB142" s="59" t="n">
        <v>46203</v>
      </c>
    </row>
    <row r="143">
      <c r="D143" s="36" t="inlineStr">
        <is>
          <t>Hertel Homes</t>
        </is>
      </c>
      <c r="E143" s="54" t="inlineStr">
        <is>
          <t>136</t>
        </is>
      </c>
      <c r="F143" s="54" t="inlineStr">
        <is>
          <t>1 Bed 1 Bath</t>
        </is>
      </c>
      <c r="G143" s="54" t="inlineStr">
        <is>
          <t>1 Bed 1 Bath</t>
        </is>
      </c>
      <c r="K143" s="36" t="inlineStr">
        <is>
          <t>Lopez, Carlos</t>
        </is>
      </c>
      <c r="L143" s="55" t="n">
        <v>1149</v>
      </c>
      <c r="M143" s="56" t="n">
        <v>1</v>
      </c>
      <c r="N143" s="56" t="n">
        <v>1</v>
      </c>
      <c r="Q143" s="57" t="inlineStr">
        <is>
          <t>Occ</t>
        </is>
      </c>
      <c r="U143" s="58" t="n">
        <v>1195</v>
      </c>
      <c r="V143" s="58" t="n">
        <v>1150</v>
      </c>
      <c r="W143" s="58" t="n">
        <v>0</v>
      </c>
      <c r="X143" s="58" t="n">
        <v>0</v>
      </c>
      <c r="Y143" s="58" t="n">
        <v>0</v>
      </c>
      <c r="Z143" s="59" t="n">
        <v>43987</v>
      </c>
      <c r="AA143" s="59" t="n">
        <v>43987</v>
      </c>
      <c r="AB143" s="59" t="n">
        <v>46507</v>
      </c>
    </row>
    <row r="144">
      <c r="D144" s="36" t="inlineStr">
        <is>
          <t>Hertel Homes</t>
        </is>
      </c>
      <c r="E144" s="54" t="inlineStr">
        <is>
          <t>137</t>
        </is>
      </c>
      <c r="F144" s="54" t="inlineStr">
        <is>
          <t>3 Bed/ 1Bath</t>
        </is>
      </c>
      <c r="G144" s="54" t="inlineStr">
        <is>
          <t>3 Bed/ 1Bath</t>
        </is>
      </c>
      <c r="K144" s="36" t="inlineStr">
        <is>
          <t>Peete Sr, Tyshone</t>
        </is>
      </c>
      <c r="L144" s="55" t="n">
        <v>1521</v>
      </c>
      <c r="M144" s="56" t="n">
        <v>3</v>
      </c>
      <c r="N144" s="56" t="n">
        <v>1</v>
      </c>
      <c r="Q144" s="57" t="inlineStr">
        <is>
          <t>Occ</t>
        </is>
      </c>
      <c r="U144" s="58" t="n">
        <v>1475</v>
      </c>
      <c r="V144" s="58" t="n">
        <v>1400</v>
      </c>
      <c r="W144" s="58" t="n">
        <v>0</v>
      </c>
      <c r="X144" s="58" t="n">
        <v>0</v>
      </c>
      <c r="Y144" s="58" t="n">
        <v>35</v>
      </c>
      <c r="Z144" s="59" t="n">
        <v>45744</v>
      </c>
      <c r="AA144" s="59" t="n">
        <v>45744</v>
      </c>
      <c r="AB144" s="59" t="n">
        <v>46477</v>
      </c>
    </row>
    <row r="145">
      <c r="D145" s="36" t="inlineStr">
        <is>
          <t>Hertel Homes</t>
        </is>
      </c>
      <c r="E145" s="54" t="inlineStr">
        <is>
          <t>138</t>
        </is>
      </c>
      <c r="F145" s="54" t="inlineStr">
        <is>
          <t>1 Bed 1 Bath</t>
        </is>
      </c>
      <c r="G145" s="54" t="inlineStr">
        <is>
          <t>1 Bed 1 Bath</t>
        </is>
      </c>
      <c r="K145" s="36" t="inlineStr">
        <is>
          <t>Vacant</t>
        </is>
      </c>
      <c r="L145" s="55" t="n">
        <v>1149</v>
      </c>
      <c r="M145" s="56" t="n">
        <v>1</v>
      </c>
      <c r="N145" s="56" t="n">
        <v>1</v>
      </c>
      <c r="Q145" s="57" t="inlineStr">
        <is>
          <t>Vac</t>
        </is>
      </c>
      <c r="U145" s="58" t="n">
        <v>1150</v>
      </c>
      <c r="V145" s="58" t="n">
        <v>0</v>
      </c>
      <c r="W145" s="58" t="n">
        <v>0</v>
      </c>
      <c r="X145" s="58" t="n">
        <v>0</v>
      </c>
      <c r="Y145" s="58" t="n">
        <v>0</v>
      </c>
    </row>
    <row r="146">
      <c r="D146" s="36" t="inlineStr">
        <is>
          <t>Hertel Homes</t>
        </is>
      </c>
      <c r="E146" s="54" t="inlineStr">
        <is>
          <t>139</t>
        </is>
      </c>
      <c r="F146" s="54" t="inlineStr">
        <is>
          <t>3 Bed/1Bath FP</t>
        </is>
      </c>
      <c r="G146" s="54" t="inlineStr">
        <is>
          <t>3 Bed/1Bath FP</t>
        </is>
      </c>
      <c r="K146" s="36" t="inlineStr">
        <is>
          <t>Caceres (RACB), Carmen</t>
        </is>
      </c>
      <c r="L146" s="55" t="n">
        <v>1521</v>
      </c>
      <c r="M146" s="56" t="n">
        <v>3</v>
      </c>
      <c r="N146" s="56" t="n">
        <v>1</v>
      </c>
      <c r="Q146" s="57" t="inlineStr">
        <is>
          <t>Occ</t>
        </is>
      </c>
      <c r="U146" s="58" t="n">
        <v>1350</v>
      </c>
      <c r="V146" s="58" t="n">
        <v>1100</v>
      </c>
      <c r="W146" s="58" t="n">
        <v>0</v>
      </c>
      <c r="X146" s="58" t="n">
        <v>0</v>
      </c>
      <c r="Y146" s="58" t="n">
        <v>0</v>
      </c>
      <c r="Z146" s="59" t="n">
        <v>41670</v>
      </c>
      <c r="AA146" s="59" t="n">
        <v>41670</v>
      </c>
      <c r="AB146" s="59" t="n">
        <v>46418</v>
      </c>
    </row>
    <row r="147">
      <c r="D147" s="36" t="inlineStr">
        <is>
          <t>Hertel Homes</t>
        </is>
      </c>
      <c r="E147" s="54" t="inlineStr">
        <is>
          <t>140</t>
        </is>
      </c>
      <c r="F147" s="54" t="inlineStr">
        <is>
          <t>1 Bed 1 Bath</t>
        </is>
      </c>
      <c r="G147" s="54" t="inlineStr">
        <is>
          <t>1 Bed 1 Bath</t>
        </is>
      </c>
      <c r="K147" s="36" t="inlineStr">
        <is>
          <t>Vacant</t>
        </is>
      </c>
      <c r="L147" s="55" t="n">
        <v>1149</v>
      </c>
      <c r="M147" s="56" t="n">
        <v>1</v>
      </c>
      <c r="N147" s="56" t="n">
        <v>1</v>
      </c>
      <c r="Q147" s="57" t="inlineStr">
        <is>
          <t>Vac</t>
        </is>
      </c>
      <c r="U147" s="58" t="n">
        <v>1150</v>
      </c>
      <c r="V147" s="58" t="n">
        <v>0</v>
      </c>
      <c r="W147" s="58" t="n">
        <v>0</v>
      </c>
      <c r="X147" s="58" t="n">
        <v>0</v>
      </c>
      <c r="Y147" s="58" t="n">
        <v>0</v>
      </c>
    </row>
    <row r="148">
      <c r="D148" s="36" t="inlineStr">
        <is>
          <t>Hertel Homes</t>
        </is>
      </c>
      <c r="E148" s="54" t="inlineStr">
        <is>
          <t>141</t>
        </is>
      </c>
      <c r="F148" s="54" t="inlineStr">
        <is>
          <t>3 Bed/ 1Bath</t>
        </is>
      </c>
      <c r="G148" s="54" t="inlineStr">
        <is>
          <t>3 Bed/ 1Bath</t>
        </is>
      </c>
      <c r="K148" s="36" t="inlineStr">
        <is>
          <t>Miranda, Yamilex</t>
        </is>
      </c>
      <c r="L148" s="55" t="n">
        <v>1521</v>
      </c>
      <c r="M148" s="56" t="n">
        <v>3</v>
      </c>
      <c r="N148" s="56" t="n">
        <v>1</v>
      </c>
      <c r="Q148" s="57" t="inlineStr">
        <is>
          <t>Occ</t>
        </is>
      </c>
      <c r="U148" s="58" t="n">
        <v>1475</v>
      </c>
      <c r="V148" s="58" t="n">
        <v>1475</v>
      </c>
      <c r="W148" s="58" t="n">
        <v>0</v>
      </c>
      <c r="X148" s="58" t="n">
        <v>0</v>
      </c>
      <c r="Y148" s="58" t="n">
        <v>0</v>
      </c>
      <c r="Z148" s="59" t="n">
        <v>46023</v>
      </c>
      <c r="AA148" s="59" t="n">
        <v>46023</v>
      </c>
      <c r="AB148" s="59" t="n">
        <v>46418</v>
      </c>
    </row>
    <row r="149">
      <c r="D149" s="36" t="inlineStr">
        <is>
          <t>Hertel Homes</t>
        </is>
      </c>
      <c r="E149" s="54" t="inlineStr">
        <is>
          <t>142</t>
        </is>
      </c>
      <c r="F149" s="54" t="inlineStr">
        <is>
          <t>1 Bed 1 Bath</t>
        </is>
      </c>
      <c r="G149" s="54" t="inlineStr">
        <is>
          <t>1 Bed 1 Bath</t>
        </is>
      </c>
      <c r="K149" s="36" t="inlineStr">
        <is>
          <t>Robbins, Dewan</t>
        </is>
      </c>
      <c r="L149" s="55" t="n">
        <v>1149</v>
      </c>
      <c r="M149" s="56" t="n">
        <v>1</v>
      </c>
      <c r="N149" s="56" t="n">
        <v>1</v>
      </c>
      <c r="Q149" s="57" t="inlineStr">
        <is>
          <t>Occ</t>
        </is>
      </c>
      <c r="U149" s="58" t="n">
        <v>1195</v>
      </c>
      <c r="V149" s="58" t="n">
        <v>1145</v>
      </c>
      <c r="W149" s="58" t="n">
        <v>0</v>
      </c>
      <c r="X149" s="58" t="n">
        <v>0</v>
      </c>
      <c r="Y149" s="58" t="n">
        <v>0</v>
      </c>
      <c r="Z149" s="59" t="n">
        <v>45719</v>
      </c>
      <c r="AA149" s="59" t="n">
        <v>45719</v>
      </c>
      <c r="AB149" s="59" t="n">
        <v>46446</v>
      </c>
    </row>
    <row r="150">
      <c r="D150" s="36" t="inlineStr">
        <is>
          <t>Hertel Homes</t>
        </is>
      </c>
      <c r="E150" s="54" t="inlineStr">
        <is>
          <t>143</t>
        </is>
      </c>
      <c r="F150" s="54" t="inlineStr">
        <is>
          <t>3 Bed/ 1Bath</t>
        </is>
      </c>
      <c r="G150" s="54" t="inlineStr">
        <is>
          <t>3 Bed/ 1Bath</t>
        </is>
      </c>
      <c r="K150" s="36" t="inlineStr">
        <is>
          <t>Hernandez (RACB), Vanessa</t>
        </is>
      </c>
      <c r="L150" s="55" t="n">
        <v>1521</v>
      </c>
      <c r="M150" s="56" t="n">
        <v>3</v>
      </c>
      <c r="N150" s="56" t="n">
        <v>1</v>
      </c>
      <c r="Q150" s="57" t="inlineStr">
        <is>
          <t>Occ</t>
        </is>
      </c>
      <c r="U150" s="58" t="n">
        <v>1475</v>
      </c>
      <c r="V150" s="58" t="n">
        <v>1475</v>
      </c>
      <c r="W150" s="58" t="n">
        <v>0</v>
      </c>
      <c r="X150" s="58" t="n">
        <v>0</v>
      </c>
      <c r="Y150" s="58" t="n">
        <v>0</v>
      </c>
      <c r="Z150" s="59" t="n">
        <v>45344</v>
      </c>
      <c r="AA150" s="59" t="n">
        <v>45344</v>
      </c>
      <c r="AB150" s="59" t="n">
        <v>46446</v>
      </c>
    </row>
    <row r="151">
      <c r="D151" s="36" t="inlineStr">
        <is>
          <t>Hertel Homes</t>
        </is>
      </c>
      <c r="E151" s="54" t="inlineStr">
        <is>
          <t>144</t>
        </is>
      </c>
      <c r="F151" s="54" t="inlineStr">
        <is>
          <t>1 Bed 1 Bath</t>
        </is>
      </c>
      <c r="G151" s="54" t="inlineStr">
        <is>
          <t>1 Bed 1 Bath</t>
        </is>
      </c>
      <c r="K151" s="36" t="inlineStr">
        <is>
          <t>Edwards (BEL), Maureen</t>
        </is>
      </c>
      <c r="L151" s="55" t="n">
        <v>1149</v>
      </c>
      <c r="M151" s="56" t="n">
        <v>1</v>
      </c>
      <c r="N151" s="56" t="n">
        <v>1</v>
      </c>
      <c r="Q151" s="57" t="inlineStr">
        <is>
          <t>Occ</t>
        </is>
      </c>
      <c r="U151" s="58" t="n">
        <v>1195</v>
      </c>
      <c r="V151" s="58" t="n">
        <v>1100</v>
      </c>
      <c r="W151" s="58" t="n">
        <v>0</v>
      </c>
      <c r="X151" s="58" t="n">
        <v>0</v>
      </c>
      <c r="Y151" s="58" t="n">
        <v>0</v>
      </c>
      <c r="Z151" s="59" t="n">
        <v>45314</v>
      </c>
      <c r="AA151" s="59" t="n">
        <v>45314</v>
      </c>
      <c r="AB151" s="59" t="n">
        <v>46418</v>
      </c>
    </row>
    <row r="152">
      <c r="D152" s="36" t="inlineStr">
        <is>
          <t>Hertel Homes</t>
        </is>
      </c>
      <c r="E152" s="54" t="inlineStr">
        <is>
          <t>145</t>
        </is>
      </c>
      <c r="F152" s="54" t="inlineStr">
        <is>
          <t>3 Bed/1Bath FP</t>
        </is>
      </c>
      <c r="G152" s="54" t="inlineStr">
        <is>
          <t>3 Bed/1Bath FP</t>
        </is>
      </c>
      <c r="K152" s="36" t="inlineStr">
        <is>
          <t>Williams, Jamelle</t>
        </is>
      </c>
      <c r="L152" s="55" t="n">
        <v>1521</v>
      </c>
      <c r="M152" s="56" t="n">
        <v>3</v>
      </c>
      <c r="N152" s="56" t="n">
        <v>1</v>
      </c>
      <c r="Q152" s="57" t="inlineStr">
        <is>
          <t>Occ</t>
        </is>
      </c>
      <c r="U152" s="58" t="n">
        <v>1475</v>
      </c>
      <c r="V152" s="58" t="n">
        <v>1400</v>
      </c>
      <c r="W152" s="58" t="n">
        <v>0</v>
      </c>
      <c r="X152" s="58" t="n">
        <v>0</v>
      </c>
      <c r="Y152" s="58" t="n">
        <v>0</v>
      </c>
      <c r="Z152" s="59" t="n">
        <v>46023</v>
      </c>
      <c r="AA152" s="59" t="n">
        <v>46023</v>
      </c>
      <c r="AB152" s="59" t="n">
        <v>46387</v>
      </c>
    </row>
    <row r="153">
      <c r="D153" s="36" t="inlineStr">
        <is>
          <t>Hertel Homes</t>
        </is>
      </c>
      <c r="E153" s="54" t="inlineStr">
        <is>
          <t>146</t>
        </is>
      </c>
      <c r="F153" s="54" t="inlineStr">
        <is>
          <t>1 Bed 1 Bath</t>
        </is>
      </c>
      <c r="G153" s="54" t="inlineStr">
        <is>
          <t>1 Bed 1 Bath</t>
        </is>
      </c>
      <c r="K153" s="36" t="inlineStr">
        <is>
          <t>Patterson, Christalee</t>
        </is>
      </c>
      <c r="L153" s="55" t="n">
        <v>1149</v>
      </c>
      <c r="M153" s="56" t="n">
        <v>1</v>
      </c>
      <c r="N153" s="56" t="n">
        <v>1</v>
      </c>
      <c r="Q153" s="57" t="inlineStr">
        <is>
          <t>Occ</t>
        </is>
      </c>
      <c r="U153" s="58" t="n">
        <v>1195</v>
      </c>
      <c r="V153" s="58" t="n">
        <v>1150</v>
      </c>
      <c r="W153" s="58" t="n">
        <v>0</v>
      </c>
      <c r="X153" s="58" t="n">
        <v>0</v>
      </c>
      <c r="Y153" s="58" t="n">
        <v>0</v>
      </c>
      <c r="Z153" s="59" t="n">
        <v>46204</v>
      </c>
      <c r="AA153" s="59" t="n">
        <v>46204</v>
      </c>
      <c r="AB153" s="59" t="n">
        <v>46568</v>
      </c>
    </row>
    <row r="154">
      <c r="D154" s="36" t="inlineStr">
        <is>
          <t>Hertel Homes</t>
        </is>
      </c>
      <c r="E154" s="54" t="inlineStr">
        <is>
          <t>147</t>
        </is>
      </c>
      <c r="F154" s="54" t="inlineStr">
        <is>
          <t>3 Bed 1.5 Bath</t>
        </is>
      </c>
      <c r="G154" s="54" t="inlineStr">
        <is>
          <t>3 Bed 1.5 Bath</t>
        </is>
      </c>
      <c r="K154" s="36" t="inlineStr">
        <is>
          <t>Tchassi Fotsing (JER), Gabriel</t>
        </is>
      </c>
      <c r="L154" s="55" t="n">
        <v>1521</v>
      </c>
      <c r="M154" s="56" t="n">
        <v>3</v>
      </c>
      <c r="N154" s="56" t="n">
        <v>1.5</v>
      </c>
      <c r="Q154" s="57" t="inlineStr">
        <is>
          <t>Occ</t>
        </is>
      </c>
      <c r="U154" s="58" t="n">
        <v>1495</v>
      </c>
      <c r="V154" s="58" t="n">
        <v>1475</v>
      </c>
      <c r="W154" s="58" t="n">
        <v>0</v>
      </c>
      <c r="X154" s="58" t="n">
        <v>0</v>
      </c>
      <c r="Y154" s="58" t="n">
        <v>0</v>
      </c>
      <c r="Z154" s="59" t="n">
        <v>45331</v>
      </c>
      <c r="AA154" s="59" t="n">
        <v>45331</v>
      </c>
      <c r="AB154" s="59" t="n">
        <v>46446</v>
      </c>
    </row>
    <row r="155">
      <c r="D155" s="36" t="inlineStr">
        <is>
          <t>Hertel Homes</t>
        </is>
      </c>
      <c r="E155" s="54" t="inlineStr">
        <is>
          <t>148</t>
        </is>
      </c>
      <c r="F155" s="54" t="inlineStr">
        <is>
          <t>2 Bed 1 Bath</t>
        </is>
      </c>
      <c r="G155" s="54" t="inlineStr">
        <is>
          <t>2 Bed 1 Bath</t>
        </is>
      </c>
      <c r="K155" s="36" t="inlineStr">
        <is>
          <t>Vacant</t>
        </is>
      </c>
      <c r="L155" s="55" t="n">
        <v>1334</v>
      </c>
      <c r="M155" s="56" t="n">
        <v>2</v>
      </c>
      <c r="N155" s="56" t="n">
        <v>1</v>
      </c>
      <c r="Q155" s="57" t="inlineStr">
        <is>
          <t>Vac</t>
        </is>
      </c>
      <c r="U155" s="58" t="n">
        <v>1200</v>
      </c>
      <c r="V155" s="58" t="n">
        <v>0</v>
      </c>
      <c r="W155" s="58" t="n">
        <v>0</v>
      </c>
      <c r="X155" s="58" t="n">
        <v>0</v>
      </c>
      <c r="Y155" s="58" t="n">
        <v>0</v>
      </c>
    </row>
    <row r="156">
      <c r="D156" s="36" t="inlineStr">
        <is>
          <t>Hertel Homes</t>
        </is>
      </c>
      <c r="E156" s="54" t="inlineStr">
        <is>
          <t>149</t>
        </is>
      </c>
      <c r="F156" s="54" t="inlineStr">
        <is>
          <t>3 Bed 1.5 Bath</t>
        </is>
      </c>
      <c r="G156" s="54" t="inlineStr">
        <is>
          <t>3 Bed 1.5 Bath</t>
        </is>
      </c>
      <c r="K156" s="36" t="inlineStr">
        <is>
          <t>Villamil (RACB), Karen</t>
        </is>
      </c>
      <c r="L156" s="55" t="n">
        <v>1541</v>
      </c>
      <c r="M156" s="56" t="n">
        <v>3</v>
      </c>
      <c r="N156" s="56" t="n">
        <v>1.5</v>
      </c>
      <c r="Q156" s="57" t="inlineStr">
        <is>
          <t>Occ</t>
        </is>
      </c>
      <c r="U156" s="58" t="n">
        <v>1495</v>
      </c>
      <c r="V156" s="58" t="n">
        <v>1275</v>
      </c>
      <c r="W156" s="58" t="n">
        <v>0</v>
      </c>
      <c r="X156" s="58" t="n">
        <v>0</v>
      </c>
      <c r="Y156" s="58" t="n">
        <v>50</v>
      </c>
      <c r="Z156" s="59" t="n">
        <v>43435</v>
      </c>
      <c r="AA156" s="59" t="n">
        <v>43435</v>
      </c>
      <c r="AB156" s="59" t="n">
        <v>46507</v>
      </c>
    </row>
    <row r="157">
      <c r="D157" s="36" t="inlineStr">
        <is>
          <t>Hertel Homes</t>
        </is>
      </c>
      <c r="E157" s="54" t="inlineStr">
        <is>
          <t>150</t>
        </is>
      </c>
      <c r="F157" s="54" t="inlineStr">
        <is>
          <t>3 Bed 1.5 Bath</t>
        </is>
      </c>
      <c r="G157" s="54" t="inlineStr">
        <is>
          <t>3 Bed 1.5 Bath</t>
        </is>
      </c>
      <c r="K157" s="36" t="inlineStr">
        <is>
          <t>Kawaya, Cynthia</t>
        </is>
      </c>
      <c r="L157" s="55" t="n">
        <v>1541</v>
      </c>
      <c r="M157" s="56" t="n">
        <v>3</v>
      </c>
      <c r="N157" s="56" t="n">
        <v>1.5</v>
      </c>
      <c r="Q157" s="57" t="inlineStr">
        <is>
          <t>Occ</t>
        </is>
      </c>
      <c r="U157" s="58" t="n">
        <v>1495</v>
      </c>
      <c r="V157" s="58" t="n">
        <v>1525</v>
      </c>
      <c r="W157" s="58" t="n">
        <v>0</v>
      </c>
      <c r="X157" s="58" t="n">
        <v>0</v>
      </c>
      <c r="Y157" s="58" t="n">
        <v>0</v>
      </c>
      <c r="Z157" s="59" t="n">
        <v>44900</v>
      </c>
      <c r="AA157" s="59" t="n">
        <v>44900</v>
      </c>
      <c r="AB157" s="59" t="n">
        <v>46387</v>
      </c>
    </row>
    <row r="158">
      <c r="D158" s="36" t="inlineStr">
        <is>
          <t>Hertel Homes</t>
        </is>
      </c>
      <c r="E158" s="54" t="inlineStr">
        <is>
          <t>151</t>
        </is>
      </c>
      <c r="F158" s="54" t="inlineStr">
        <is>
          <t>2 Bed 1 Bath</t>
        </is>
      </c>
      <c r="G158" s="54" t="inlineStr">
        <is>
          <t>2 Bed 1 Bath</t>
        </is>
      </c>
      <c r="K158" s="36" t="inlineStr">
        <is>
          <t>Lopez (RACB), Erica</t>
        </is>
      </c>
      <c r="L158" s="55" t="n">
        <v>1334</v>
      </c>
      <c r="M158" s="56" t="n">
        <v>2</v>
      </c>
      <c r="N158" s="56" t="n">
        <v>1</v>
      </c>
      <c r="Q158" s="57" t="inlineStr">
        <is>
          <t>Occ</t>
        </is>
      </c>
      <c r="U158" s="58" t="n">
        <v>1350</v>
      </c>
      <c r="V158" s="58" t="n">
        <v>1100</v>
      </c>
      <c r="W158" s="58" t="n">
        <v>0</v>
      </c>
      <c r="X158" s="58" t="n">
        <v>0</v>
      </c>
      <c r="Y158" s="58" t="n">
        <v>50</v>
      </c>
      <c r="Z158" s="59" t="n">
        <v>43420</v>
      </c>
      <c r="AA158" s="59" t="n">
        <v>43420</v>
      </c>
      <c r="AB158" s="59" t="n">
        <v>46356</v>
      </c>
    </row>
    <row r="159">
      <c r="D159" s="36" t="inlineStr">
        <is>
          <t>Hertel Homes</t>
        </is>
      </c>
      <c r="E159" s="54" t="inlineStr">
        <is>
          <t>152</t>
        </is>
      </c>
      <c r="F159" s="54" t="inlineStr">
        <is>
          <t>1 Bed 1 Bath</t>
        </is>
      </c>
      <c r="G159" s="54" t="inlineStr">
        <is>
          <t>1 Bed 1 Bath</t>
        </is>
      </c>
      <c r="K159" s="36" t="inlineStr">
        <is>
          <t>Banks, Najah</t>
        </is>
      </c>
      <c r="L159" s="55" t="n">
        <v>1149</v>
      </c>
      <c r="M159" s="56" t="n">
        <v>1</v>
      </c>
      <c r="N159" s="56" t="n">
        <v>1</v>
      </c>
      <c r="Q159" s="57" t="inlineStr">
        <is>
          <t>Occ</t>
        </is>
      </c>
      <c r="U159" s="58" t="n">
        <v>1195</v>
      </c>
      <c r="V159" s="58" t="n">
        <v>1195</v>
      </c>
      <c r="W159" s="58" t="n">
        <v>0</v>
      </c>
      <c r="X159" s="58" t="n">
        <v>0</v>
      </c>
      <c r="Y159" s="58" t="n">
        <v>0</v>
      </c>
      <c r="Z159" s="59" t="n">
        <v>46054</v>
      </c>
      <c r="AA159" s="59" t="n">
        <v>46054</v>
      </c>
      <c r="AB159" s="59" t="n">
        <v>46446</v>
      </c>
    </row>
    <row r="160">
      <c r="D160" s="36" t="inlineStr">
        <is>
          <t>Hertel Homes</t>
        </is>
      </c>
      <c r="E160" s="54" t="inlineStr">
        <is>
          <t>153</t>
        </is>
      </c>
      <c r="F160" s="54" t="inlineStr">
        <is>
          <t>3 Bed/1Bath FP</t>
        </is>
      </c>
      <c r="G160" s="54" t="inlineStr">
        <is>
          <t>3 Bed/1Bath FP</t>
        </is>
      </c>
      <c r="K160" s="36" t="inlineStr">
        <is>
          <t>Pierantoni-Vazquez, Jennifer</t>
        </is>
      </c>
      <c r="L160" s="55" t="n">
        <v>1521</v>
      </c>
      <c r="M160" s="56" t="n">
        <v>3</v>
      </c>
      <c r="N160" s="56" t="n">
        <v>1</v>
      </c>
      <c r="Q160" s="57" t="inlineStr">
        <is>
          <t>Occ</t>
        </is>
      </c>
      <c r="U160" s="58" t="n">
        <v>1475</v>
      </c>
      <c r="V160" s="58" t="n">
        <v>1125</v>
      </c>
      <c r="W160" s="58" t="n">
        <v>0</v>
      </c>
      <c r="X160" s="58" t="n">
        <v>0</v>
      </c>
      <c r="Y160" s="58" t="n">
        <v>0</v>
      </c>
      <c r="Z160" s="59" t="n">
        <v>43160</v>
      </c>
      <c r="AA160" s="59" t="n">
        <v>43160</v>
      </c>
      <c r="AB160" s="59" t="n">
        <v>46446</v>
      </c>
    </row>
    <row r="161">
      <c r="D161" s="36" t="inlineStr">
        <is>
          <t>Hertel Homes</t>
        </is>
      </c>
      <c r="E161" s="54" t="inlineStr">
        <is>
          <t>154</t>
        </is>
      </c>
      <c r="F161" s="54" t="inlineStr">
        <is>
          <t>1 Bed 1 Bath</t>
        </is>
      </c>
      <c r="G161" s="54" t="inlineStr">
        <is>
          <t>1 Bed 1 Bath</t>
        </is>
      </c>
      <c r="K161" s="36" t="inlineStr">
        <is>
          <t>Phillips, Thomas</t>
        </is>
      </c>
      <c r="L161" s="55" t="n">
        <v>1149</v>
      </c>
      <c r="M161" s="56" t="n">
        <v>1</v>
      </c>
      <c r="N161" s="56" t="n">
        <v>1</v>
      </c>
      <c r="Q161" s="57" t="inlineStr">
        <is>
          <t>Occ</t>
        </is>
      </c>
      <c r="U161" s="58" t="n">
        <v>1195</v>
      </c>
      <c r="V161" s="58" t="n">
        <v>1100</v>
      </c>
      <c r="W161" s="58" t="n">
        <v>0</v>
      </c>
      <c r="X161" s="58" t="n">
        <v>0</v>
      </c>
      <c r="Y161" s="58" t="n">
        <v>0</v>
      </c>
      <c r="Z161" s="59" t="n">
        <v>46037</v>
      </c>
      <c r="AA161" s="59" t="n">
        <v>46037</v>
      </c>
      <c r="AB161" s="59" t="n">
        <v>46418</v>
      </c>
    </row>
    <row r="162">
      <c r="D162" s="36" t="inlineStr">
        <is>
          <t>Hertel Homes</t>
        </is>
      </c>
      <c r="E162" s="54" t="inlineStr">
        <is>
          <t>155</t>
        </is>
      </c>
      <c r="F162" s="54" t="inlineStr">
        <is>
          <t>3 Bed/1Bath FP</t>
        </is>
      </c>
      <c r="G162" s="54" t="inlineStr">
        <is>
          <t>3 Bed/1Bath FP</t>
        </is>
      </c>
      <c r="K162" s="36" t="inlineStr">
        <is>
          <t>Harmon, Ashley</t>
        </is>
      </c>
      <c r="L162" s="55" t="n">
        <v>1521</v>
      </c>
      <c r="M162" s="56" t="n">
        <v>3</v>
      </c>
      <c r="N162" s="56" t="n">
        <v>1</v>
      </c>
      <c r="Q162" s="57" t="inlineStr">
        <is>
          <t>Occ</t>
        </is>
      </c>
      <c r="U162" s="58" t="n">
        <v>1475</v>
      </c>
      <c r="V162" s="58" t="n">
        <v>1125</v>
      </c>
      <c r="W162" s="58" t="n">
        <v>0</v>
      </c>
      <c r="X162" s="58" t="n">
        <v>0</v>
      </c>
      <c r="Y162" s="58" t="n">
        <v>0</v>
      </c>
      <c r="Z162" s="59" t="n">
        <v>42074</v>
      </c>
      <c r="AA162" s="59" t="n">
        <v>42074</v>
      </c>
      <c r="AB162" s="59" t="n">
        <v>46446</v>
      </c>
    </row>
    <row r="163">
      <c r="D163" s="36" t="inlineStr">
        <is>
          <t>Hertel Homes</t>
        </is>
      </c>
      <c r="E163" s="54" t="inlineStr">
        <is>
          <t>156</t>
        </is>
      </c>
      <c r="F163" s="54" t="inlineStr">
        <is>
          <t>1 Bed 1 Bath</t>
        </is>
      </c>
      <c r="G163" s="54" t="inlineStr">
        <is>
          <t>1 Bed 1 Bath</t>
        </is>
      </c>
      <c r="K163" s="36" t="inlineStr">
        <is>
          <t>Services, TSI, Transitional</t>
        </is>
      </c>
      <c r="L163" s="55" t="n">
        <v>1149</v>
      </c>
      <c r="M163" s="56" t="n">
        <v>1</v>
      </c>
      <c r="N163" s="56" t="n">
        <v>1</v>
      </c>
      <c r="Q163" s="57" t="inlineStr">
        <is>
          <t>Occ</t>
        </is>
      </c>
      <c r="U163" s="58" t="n">
        <v>1195</v>
      </c>
      <c r="V163" s="58" t="n">
        <v>1195</v>
      </c>
      <c r="W163" s="58" t="n">
        <v>0</v>
      </c>
      <c r="X163" s="58" t="n">
        <v>0</v>
      </c>
      <c r="Y163" s="58" t="n">
        <v>0</v>
      </c>
      <c r="Z163" s="59" t="n">
        <v>45364</v>
      </c>
      <c r="AA163" s="59" t="n">
        <v>45364</v>
      </c>
      <c r="AB163" s="59" t="n">
        <v>46477</v>
      </c>
    </row>
    <row r="164">
      <c r="D164" s="36" t="inlineStr">
        <is>
          <t>Hertel Homes</t>
        </is>
      </c>
      <c r="E164" s="54" t="inlineStr">
        <is>
          <t>157</t>
        </is>
      </c>
      <c r="F164" s="54" t="inlineStr">
        <is>
          <t>3 Bed/1Bath FP</t>
        </is>
      </c>
      <c r="G164" s="54" t="inlineStr">
        <is>
          <t>3 Bed/1Bath FP</t>
        </is>
      </c>
      <c r="K164" s="36" t="inlineStr">
        <is>
          <t>Matos (RACB), Jade</t>
        </is>
      </c>
      <c r="L164" s="55" t="n">
        <v>1521</v>
      </c>
      <c r="M164" s="56" t="n">
        <v>3</v>
      </c>
      <c r="N164" s="56" t="n">
        <v>1</v>
      </c>
      <c r="Q164" s="57" t="inlineStr">
        <is>
          <t>Occ</t>
        </is>
      </c>
      <c r="U164" s="58" t="n">
        <v>1350</v>
      </c>
      <c r="V164" s="58" t="n">
        <v>1400</v>
      </c>
      <c r="W164" s="58" t="n">
        <v>0</v>
      </c>
      <c r="X164" s="58" t="n">
        <v>0</v>
      </c>
      <c r="Y164" s="58" t="n">
        <v>0</v>
      </c>
      <c r="Z164" s="59" t="n">
        <v>46143</v>
      </c>
      <c r="AA164" s="59" t="n">
        <v>46143</v>
      </c>
      <c r="AB164" s="59" t="n">
        <v>46507</v>
      </c>
    </row>
    <row r="165">
      <c r="D165" s="36" t="inlineStr">
        <is>
          <t>Hertel Homes</t>
        </is>
      </c>
      <c r="E165" s="54" t="inlineStr">
        <is>
          <t>158</t>
        </is>
      </c>
      <c r="F165" s="54" t="inlineStr">
        <is>
          <t>2 Bed 1 Bath</t>
        </is>
      </c>
      <c r="G165" s="54" t="inlineStr">
        <is>
          <t>2 Bed 1 Bath</t>
        </is>
      </c>
      <c r="K165" s="36" t="inlineStr">
        <is>
          <t>Brown, Angel</t>
        </is>
      </c>
      <c r="L165" s="55" t="n">
        <v>1334</v>
      </c>
      <c r="M165" s="56" t="n">
        <v>2</v>
      </c>
      <c r="N165" s="56" t="n">
        <v>1</v>
      </c>
      <c r="Q165" s="57" t="inlineStr">
        <is>
          <t>Occ</t>
        </is>
      </c>
      <c r="U165" s="58" t="n">
        <v>1350</v>
      </c>
      <c r="V165" s="58" t="n">
        <v>925</v>
      </c>
      <c r="W165" s="58" t="n">
        <v>0</v>
      </c>
      <c r="X165" s="58" t="n">
        <v>0</v>
      </c>
      <c r="Y165" s="58" t="n">
        <v>0</v>
      </c>
      <c r="Z165" s="59" t="n">
        <v>40848</v>
      </c>
      <c r="AA165" s="59" t="n">
        <v>40848</v>
      </c>
      <c r="AB165" s="59" t="n">
        <v>46691</v>
      </c>
    </row>
    <row r="166">
      <c r="C166" s="60" t="inlineStr">
        <is>
          <t>Total / Wtd. Average</t>
        </is>
      </c>
      <c r="D166" s="61" t="n"/>
      <c r="E166" s="61" t="n"/>
      <c r="F166" s="61" t="n"/>
      <c r="G166" s="62" t="n">
        <v>158</v>
      </c>
      <c r="H166" s="61" t="n"/>
      <c r="I166" s="61" t="n"/>
      <c r="J166" s="61" t="n"/>
      <c r="K166" s="61" t="n"/>
      <c r="L166" s="63" t="n">
        <v>213124</v>
      </c>
      <c r="M166" s="61" t="n"/>
      <c r="N166" s="61" t="n"/>
      <c r="O166" s="61" t="n"/>
      <c r="P166" s="61" t="n"/>
      <c r="Q166" s="61" t="n"/>
      <c r="R166" s="61" t="n"/>
      <c r="S166" s="61" t="n"/>
      <c r="T166" s="61" t="n"/>
      <c r="U166" s="64" t="n">
        <v>210425</v>
      </c>
      <c r="V166" s="64" t="n">
        <v>179386</v>
      </c>
      <c r="W166" s="64" t="n">
        <v>0</v>
      </c>
      <c r="X166" s="64" t="n">
        <v>0</v>
      </c>
      <c r="Y166" s="64" t="n">
        <v>1635</v>
      </c>
      <c r="Z166" s="61" t="n"/>
      <c r="AA166" s="61" t="n"/>
      <c r="AB166" s="61" t="n"/>
      <c r="AC166" s="61" t="n"/>
      <c r="AD166" s="61" t="n"/>
      <c r="AE166" s="65" t="n">
        <v>0</v>
      </c>
      <c r="AF166" s="65" t="n">
        <v>0</v>
      </c>
      <c r="AG166" s="6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B189"/>
  <sheetViews>
    <sheetView showGridLines="0"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4.1" customWidth="1" min="2" max="2"/>
    <col width="24" customWidth="1" min="3" max="3"/>
    <col width="12.6" customWidth="1" min="5" max="5"/>
    <col width="4.6" customWidth="1" min="6" max="6"/>
    <col width="9.4" customWidth="1" min="7" max="7"/>
    <col width="9.6" customWidth="1" min="8" max="8"/>
    <col width="11.6" customWidth="1" min="10" max="10"/>
    <col width="18.6" customWidth="1" min="11" max="11"/>
    <col width="17.6" customWidth="1" min="12" max="12"/>
    <col width="11.1" customWidth="1" min="13" max="13"/>
    <col width="11.6" customWidth="1" min="14" max="14"/>
    <col width="11.6" customWidth="1" min="15" max="15"/>
    <col width="11.4" customWidth="1" min="16" max="16"/>
    <col width="14.1" customWidth="1" min="17" max="17"/>
    <col width="11.4" customWidth="1" min="18" max="18"/>
    <col width="11.6" customWidth="1" min="19" max="19"/>
    <col width="12.1" customWidth="1" min="20" max="20"/>
    <col width="24" customWidth="1" min="22" max="22"/>
    <col width="12.1" customWidth="1" min="25" max="25"/>
    <col width="13" customWidth="1" min="28" max="28"/>
  </cols>
  <sheetData>
    <row r="3">
      <c r="C3" s="67" t="inlineStr">
        <is>
          <t>Checking:</t>
        </is>
      </c>
    </row>
    <row r="4">
      <c r="C4" s="68" t="inlineStr">
        <is>
          <t>Floor Plan</t>
        </is>
      </c>
      <c r="D4" s="68" t="inlineStr">
        <is>
          <t>Unit Type</t>
        </is>
      </c>
      <c r="E4" s="69" t="inlineStr">
        <is>
          <t>BD</t>
        </is>
      </c>
      <c r="F4" s="69" t="inlineStr">
        <is>
          <t>BA</t>
        </is>
      </c>
      <c r="G4" s="69" t="inlineStr">
        <is>
          <t>Renovated</t>
        </is>
      </c>
      <c r="H4" s="70" t="inlineStr">
        <is>
          <t>Units</t>
        </is>
      </c>
      <c r="I4" s="70" t="inlineStr">
        <is>
          <t># Occ</t>
        </is>
      </c>
      <c r="J4" s="70" t="inlineStr">
        <is>
          <t>#Vac</t>
        </is>
      </c>
      <c r="K4" s="70" t="inlineStr">
        <is>
          <t>Avg SF</t>
        </is>
      </c>
      <c r="L4" s="70" t="inlineStr">
        <is>
          <t>Total SF</t>
        </is>
      </c>
      <c r="M4" s="70" t="inlineStr">
        <is>
          <t>Occ SF</t>
        </is>
      </c>
      <c r="N4" s="70" t="inlineStr">
        <is>
          <t>Vac SF</t>
        </is>
      </c>
      <c r="O4" s="70" t="inlineStr">
        <is>
          <t xml:space="preserve">Market Rent </t>
        </is>
      </c>
      <c r="P4" s="70" t="inlineStr">
        <is>
          <t>Rent</t>
        </is>
      </c>
      <c r="Q4" s="70" t="inlineStr">
        <is>
          <t>Other Income</t>
        </is>
      </c>
      <c r="R4" s="70" t="inlineStr">
        <is>
          <t>Concessions</t>
        </is>
      </c>
      <c r="S4" s="70" t="inlineStr">
        <is>
          <t>Emp Discounts</t>
        </is>
      </c>
    </row>
    <row r="5">
      <c r="C5" s="71" t="inlineStr">
        <is>
          <t>1 Bed 1 Bath</t>
        </is>
      </c>
      <c r="D5" s="72" t="inlineStr">
        <is>
          <t>1 Bed 1 Bath</t>
        </is>
      </c>
      <c r="E5" s="73" t="n">
        <v>1</v>
      </c>
      <c r="F5" s="74" t="n">
        <v>1</v>
      </c>
      <c r="G5" s="73" t="inlineStr">
        <is>
          <t>No</t>
        </is>
      </c>
      <c r="H5" s="75">
        <f>COUNTIFS($D$32:$D$189,$C5)</f>
        <v/>
      </c>
      <c r="I5" s="75">
        <f>COUNTIFS($D$32:$D$189,$C5,$C$32:$C$189,"Occ")+COUNTIFS($D$32:$D$189,$C5,$C$32:$C$189,"Admin")+COUNTIFS($D$32:$D$189,$C5,$C$32:$C$189,"Down")+COUNTIFS($D$32:$D$189,$C5,$C$32:$C$189,"Super")+COUNTIFS($D$32:$D$189,$C5,$C$32:$C$189,"Model")</f>
        <v/>
      </c>
      <c r="J5" s="75">
        <f>COUNTIFS($D$32:$D$189,$C5,$C$32:$C$189,"Vac")</f>
        <v/>
      </c>
      <c r="K5" s="75">
        <f>IFERROR(AVERAGEIFS($J$32:$J$189,$D$32:$D$189,$C5),"n/a")</f>
        <v/>
      </c>
      <c r="L5" s="75">
        <f>SUMIFS($J$32:$J$189,$D$32:$D$189,$C5)</f>
        <v/>
      </c>
      <c r="M5" s="75">
        <f>SUMIFS($J$32:$J$189,$D$32:$D$189,$C5,$C$32:$C$189,"Occ")+SUMIFS($J$32:$J$189,$D$32:$D$189,$C5,$C$32:$C$189,"Admin")+SUMIFS($J$32:$J$189,$D$32:$D$189,$C5,$C$32:$C$189,"Down")+SUMIFS($J$32:$J$189,$D$32:$D$189,$C5,$C$32:$C$189,"Super")+SUMIFS($J$32:$J$189,$D$32:$D$189,$C5,$C$32:$C$189,"Model")</f>
        <v/>
      </c>
      <c r="N5" s="75">
        <f>SUMIFS($J$32:$J$189,$D$32:$D$189,$C5,$C$32:$C$189,"Vac")</f>
        <v/>
      </c>
      <c r="O5" s="75">
        <f>SUMIFS($L$32:$L$189,$D$32:$D$189,$C5)</f>
        <v/>
      </c>
      <c r="P5" s="75">
        <f>SUMIFS($M$32:$M$189,$D$32:$D$189,$C5)</f>
        <v/>
      </c>
      <c r="Q5" s="75">
        <f>SUMIFS($R$32:$R$189,$D$32:$D$189,$C5)</f>
        <v/>
      </c>
      <c r="R5" s="75">
        <f>SUMIFS($S$32:$S$189,$D$32:$D$189,$C5)</f>
        <v/>
      </c>
      <c r="S5" s="75">
        <f>SUMIFS($T$32:$T$189,$D$32:$D$189,$C5)</f>
        <v/>
      </c>
    </row>
    <row r="6">
      <c r="C6" s="71" t="inlineStr">
        <is>
          <t>2 Bed 1 Bath</t>
        </is>
      </c>
      <c r="D6" s="72" t="inlineStr">
        <is>
          <t>2 Bed 1 Bath</t>
        </is>
      </c>
      <c r="E6" s="73" t="n">
        <v>2</v>
      </c>
      <c r="F6" s="74" t="n">
        <v>1</v>
      </c>
      <c r="G6" s="73" t="inlineStr">
        <is>
          <t>No</t>
        </is>
      </c>
      <c r="H6" s="75">
        <f>COUNTIFS($D$32:$D$189,$C6)</f>
        <v/>
      </c>
      <c r="I6" s="75">
        <f>COUNTIFS($D$32:$D$189,$C6,$C$32:$C$189,"Occ")+COUNTIFS($D$32:$D$189,$C6,$C$32:$C$189,"Admin")+COUNTIFS($D$32:$D$189,$C6,$C$32:$C$189,"Down")+COUNTIFS($D$32:$D$189,$C6,$C$32:$C$189,"Super")+COUNTIFS($D$32:$D$189,$C6,$C$32:$C$189,"Model")</f>
        <v/>
      </c>
      <c r="J6" s="75">
        <f>COUNTIFS($D$32:$D$189,$C6,$C$32:$C$189,"Vac")</f>
        <v/>
      </c>
      <c r="K6" s="75">
        <f>IFERROR(AVERAGEIFS($J$32:$J$189,$D$32:$D$189,$C6),"n/a")</f>
        <v/>
      </c>
      <c r="L6" s="75">
        <f>SUMIFS($J$32:$J$189,$D$32:$D$189,$C6)</f>
        <v/>
      </c>
      <c r="M6" s="75">
        <f>SUMIFS($J$32:$J$189,$D$32:$D$189,$C6,$C$32:$C$189,"Occ")+SUMIFS($J$32:$J$189,$D$32:$D$189,$C6,$C$32:$C$189,"Admin")+SUMIFS($J$32:$J$189,$D$32:$D$189,$C6,$C$32:$C$189,"Down")+SUMIFS($J$32:$J$189,$D$32:$D$189,$C6,$C$32:$C$189,"Super")+SUMIFS($J$32:$J$189,$D$32:$D$189,$C6,$C$32:$C$189,"Model")</f>
        <v/>
      </c>
      <c r="N6" s="75">
        <f>SUMIFS($J$32:$J$189,$D$32:$D$189,$C6,$C$32:$C$189,"Vac")</f>
        <v/>
      </c>
      <c r="O6" s="75">
        <f>SUMIFS($L$32:$L$189,$D$32:$D$189,$C6)</f>
        <v/>
      </c>
      <c r="P6" s="75">
        <f>SUMIFS($M$32:$M$189,$D$32:$D$189,$C6)</f>
        <v/>
      </c>
      <c r="Q6" s="75">
        <f>SUMIFS($R$32:$R$189,$D$32:$D$189,$C6)</f>
        <v/>
      </c>
      <c r="R6" s="75">
        <f>SUMIFS($S$32:$S$189,$D$32:$D$189,$C6)</f>
        <v/>
      </c>
      <c r="S6" s="75">
        <f>SUMIFS($T$32:$T$189,$D$32:$D$189,$C6)</f>
        <v/>
      </c>
    </row>
    <row r="7">
      <c r="C7" s="71" t="inlineStr">
        <is>
          <t>3 Bed/1Bath FP</t>
        </is>
      </c>
      <c r="D7" s="72" t="inlineStr">
        <is>
          <t>3 Bed/1Bath FP</t>
        </is>
      </c>
      <c r="E7" s="73" t="n">
        <v>3</v>
      </c>
      <c r="F7" s="74" t="n">
        <v>1</v>
      </c>
      <c r="G7" s="73" t="inlineStr">
        <is>
          <t>No</t>
        </is>
      </c>
      <c r="H7" s="75">
        <f>COUNTIFS($D$32:$D$189,$C7)</f>
        <v/>
      </c>
      <c r="I7" s="75">
        <f>COUNTIFS($D$32:$D$189,$C7,$C$32:$C$189,"Occ")+COUNTIFS($D$32:$D$189,$C7,$C$32:$C$189,"Admin")+COUNTIFS($D$32:$D$189,$C7,$C$32:$C$189,"Down")+COUNTIFS($D$32:$D$189,$C7,$C$32:$C$189,"Super")+COUNTIFS($D$32:$D$189,$C7,$C$32:$C$189,"Model")</f>
        <v/>
      </c>
      <c r="J7" s="75">
        <f>COUNTIFS($D$32:$D$189,$C7,$C$32:$C$189,"Vac")</f>
        <v/>
      </c>
      <c r="K7" s="75">
        <f>IFERROR(AVERAGEIFS($J$32:$J$189,$D$32:$D$189,$C7),"n/a")</f>
        <v/>
      </c>
      <c r="L7" s="75">
        <f>SUMIFS($J$32:$J$189,$D$32:$D$189,$C7)</f>
        <v/>
      </c>
      <c r="M7" s="75">
        <f>SUMIFS($J$32:$J$189,$D$32:$D$189,$C7,$C$32:$C$189,"Occ")+SUMIFS($J$32:$J$189,$D$32:$D$189,$C7,$C$32:$C$189,"Admin")+SUMIFS($J$32:$J$189,$D$32:$D$189,$C7,$C$32:$C$189,"Down")+SUMIFS($J$32:$J$189,$D$32:$D$189,$C7,$C$32:$C$189,"Super")+SUMIFS($J$32:$J$189,$D$32:$D$189,$C7,$C$32:$C$189,"Model")</f>
        <v/>
      </c>
      <c r="N7" s="75">
        <f>SUMIFS($J$32:$J$189,$D$32:$D$189,$C7,$C$32:$C$189,"Vac")</f>
        <v/>
      </c>
      <c r="O7" s="75">
        <f>SUMIFS($L$32:$L$189,$D$32:$D$189,$C7)</f>
        <v/>
      </c>
      <c r="P7" s="75">
        <f>SUMIFS($M$32:$M$189,$D$32:$D$189,$C7)</f>
        <v/>
      </c>
      <c r="Q7" s="75">
        <f>SUMIFS($R$32:$R$189,$D$32:$D$189,$C7)</f>
        <v/>
      </c>
      <c r="R7" s="75">
        <f>SUMIFS($S$32:$S$189,$D$32:$D$189,$C7)</f>
        <v/>
      </c>
      <c r="S7" s="75">
        <f>SUMIFS($T$32:$T$189,$D$32:$D$189,$C7)</f>
        <v/>
      </c>
    </row>
    <row r="8">
      <c r="C8" s="71" t="inlineStr">
        <is>
          <t>3 Bed/ 1Bath</t>
        </is>
      </c>
      <c r="D8" s="72" t="inlineStr">
        <is>
          <t>3 Bed/ 1Bath</t>
        </is>
      </c>
      <c r="E8" s="73" t="n">
        <v>3</v>
      </c>
      <c r="F8" s="74" t="n">
        <v>1</v>
      </c>
      <c r="G8" s="73" t="inlineStr">
        <is>
          <t>No</t>
        </is>
      </c>
      <c r="H8" s="75">
        <f>COUNTIFS($D$32:$D$189,$C8)</f>
        <v/>
      </c>
      <c r="I8" s="75">
        <f>COUNTIFS($D$32:$D$189,$C8,$C$32:$C$189,"Occ")+COUNTIFS($D$32:$D$189,$C8,$C$32:$C$189,"Admin")+COUNTIFS($D$32:$D$189,$C8,$C$32:$C$189,"Down")+COUNTIFS($D$32:$D$189,$C8,$C$32:$C$189,"Super")+COUNTIFS($D$32:$D$189,$C8,$C$32:$C$189,"Model")</f>
        <v/>
      </c>
      <c r="J8" s="75">
        <f>COUNTIFS($D$32:$D$189,$C8,$C$32:$C$189,"Vac")</f>
        <v/>
      </c>
      <c r="K8" s="75">
        <f>IFERROR(AVERAGEIFS($J$32:$J$189,$D$32:$D$189,$C8),"n/a")</f>
        <v/>
      </c>
      <c r="L8" s="75">
        <f>SUMIFS($J$32:$J$189,$D$32:$D$189,$C8)</f>
        <v/>
      </c>
      <c r="M8" s="75">
        <f>SUMIFS($J$32:$J$189,$D$32:$D$189,$C8,$C$32:$C$189,"Occ")+SUMIFS($J$32:$J$189,$D$32:$D$189,$C8,$C$32:$C$189,"Admin")+SUMIFS($J$32:$J$189,$D$32:$D$189,$C8,$C$32:$C$189,"Down")+SUMIFS($J$32:$J$189,$D$32:$D$189,$C8,$C$32:$C$189,"Super")+SUMIFS($J$32:$J$189,$D$32:$D$189,$C8,$C$32:$C$189,"Model")</f>
        <v/>
      </c>
      <c r="N8" s="75">
        <f>SUMIFS($J$32:$J$189,$D$32:$D$189,$C8,$C$32:$C$189,"Vac")</f>
        <v/>
      </c>
      <c r="O8" s="75">
        <f>SUMIFS($L$32:$L$189,$D$32:$D$189,$C8)</f>
        <v/>
      </c>
      <c r="P8" s="75">
        <f>SUMIFS($M$32:$M$189,$D$32:$D$189,$C8)</f>
        <v/>
      </c>
      <c r="Q8" s="75">
        <f>SUMIFS($R$32:$R$189,$D$32:$D$189,$C8)</f>
        <v/>
      </c>
      <c r="R8" s="75">
        <f>SUMIFS($S$32:$S$189,$D$32:$D$189,$C8)</f>
        <v/>
      </c>
      <c r="S8" s="75">
        <f>SUMIFS($T$32:$T$189,$D$32:$D$189,$C8)</f>
        <v/>
      </c>
    </row>
    <row r="9">
      <c r="C9" s="71" t="inlineStr">
        <is>
          <t>3 Bed 1.5 Bath</t>
        </is>
      </c>
      <c r="D9" s="72" t="inlineStr">
        <is>
          <t>3 Bed 1.5 Bath</t>
        </is>
      </c>
      <c r="E9" s="73" t="n">
        <v>3</v>
      </c>
      <c r="F9" s="74" t="n">
        <v>1.5</v>
      </c>
      <c r="G9" s="73" t="inlineStr">
        <is>
          <t>No</t>
        </is>
      </c>
      <c r="H9" s="75">
        <f>COUNTIFS($D$32:$D$189,$C9)</f>
        <v/>
      </c>
      <c r="I9" s="75">
        <f>COUNTIFS($D$32:$D$189,$C9,$C$32:$C$189,"Occ")+COUNTIFS($D$32:$D$189,$C9,$C$32:$C$189,"Admin")+COUNTIFS($D$32:$D$189,$C9,$C$32:$C$189,"Down")+COUNTIFS($D$32:$D$189,$C9,$C$32:$C$189,"Super")+COUNTIFS($D$32:$D$189,$C9,$C$32:$C$189,"Model")</f>
        <v/>
      </c>
      <c r="J9" s="75">
        <f>COUNTIFS($D$32:$D$189,$C9,$C$32:$C$189,"Vac")</f>
        <v/>
      </c>
      <c r="K9" s="75">
        <f>IFERROR(AVERAGEIFS($J$32:$J$189,$D$32:$D$189,$C9),"n/a")</f>
        <v/>
      </c>
      <c r="L9" s="75">
        <f>SUMIFS($J$32:$J$189,$D$32:$D$189,$C9)</f>
        <v/>
      </c>
      <c r="M9" s="75">
        <f>SUMIFS($J$32:$J$189,$D$32:$D$189,$C9,$C$32:$C$189,"Occ")+SUMIFS($J$32:$J$189,$D$32:$D$189,$C9,$C$32:$C$189,"Admin")+SUMIFS($J$32:$J$189,$D$32:$D$189,$C9,$C$32:$C$189,"Down")+SUMIFS($J$32:$J$189,$D$32:$D$189,$C9,$C$32:$C$189,"Super")+SUMIFS($J$32:$J$189,$D$32:$D$189,$C9,$C$32:$C$189,"Model")</f>
        <v/>
      </c>
      <c r="N9" s="75">
        <f>SUMIFS($J$32:$J$189,$D$32:$D$189,$C9,$C$32:$C$189,"Vac")</f>
        <v/>
      </c>
      <c r="O9" s="75">
        <f>SUMIFS($L$32:$L$189,$D$32:$D$189,$C9)</f>
        <v/>
      </c>
      <c r="P9" s="75">
        <f>SUMIFS($M$32:$M$189,$D$32:$D$189,$C9)</f>
        <v/>
      </c>
      <c r="Q9" s="75">
        <f>SUMIFS($R$32:$R$189,$D$32:$D$189,$C9)</f>
        <v/>
      </c>
      <c r="R9" s="75">
        <f>SUMIFS($S$32:$S$189,$D$32:$D$189,$C9)</f>
        <v/>
      </c>
      <c r="S9" s="75">
        <f>SUMIFS($T$32:$T$189,$D$32:$D$189,$C9)</f>
        <v/>
      </c>
    </row>
    <row r="10">
      <c r="C10" s="68" t="inlineStr">
        <is>
          <t>Totals</t>
        </is>
      </c>
      <c r="H10" s="76">
        <f>SUM(H5:H9)</f>
        <v/>
      </c>
      <c r="I10" s="76">
        <f>SUM(I5:I9)</f>
        <v/>
      </c>
      <c r="J10" s="76">
        <f>SUM(J5:J9)</f>
        <v/>
      </c>
      <c r="L10" s="76">
        <f>SUM(L5:L9)</f>
        <v/>
      </c>
      <c r="M10" s="76">
        <f>SUM(M5:M9)</f>
        <v/>
      </c>
      <c r="N10" s="76">
        <f>SUM(N5:N9)</f>
        <v/>
      </c>
      <c r="O10" s="76">
        <f>SUM(O5:O9)</f>
        <v/>
      </c>
      <c r="P10" s="76">
        <f>SUM(P5:P9)</f>
        <v/>
      </c>
      <c r="Q10" s="76">
        <f>SUM(Q5:Q9)</f>
        <v/>
      </c>
      <c r="R10" s="76">
        <f>SUM(R5:R9)</f>
        <v/>
      </c>
      <c r="S10" s="76">
        <f>SUM(S5:S9)</f>
        <v/>
      </c>
    </row>
    <row r="11">
      <c r="C11" s="68" t="inlineStr">
        <is>
          <t>%</t>
        </is>
      </c>
      <c r="I11" s="77">
        <f>I10/$H$10</f>
        <v/>
      </c>
      <c r="J11" s="77">
        <f>J10/$H$10</f>
        <v/>
      </c>
      <c r="M11" s="77">
        <f>IFERROR(M10/$L$10,"n/a")</f>
        <v/>
      </c>
      <c r="N11" s="77">
        <f>IFERROR(N10/$L$10,"n/a")</f>
        <v/>
      </c>
    </row>
    <row r="15">
      <c r="C15" s="78" t="inlineStr">
        <is>
          <t>Notes:</t>
        </is>
      </c>
    </row>
    <row r="16">
      <c r="C16" s="78" t="inlineStr">
        <is>
          <t>1. Vacant units market rent is the per-unit market/asking rent from the source.</t>
        </is>
      </c>
    </row>
    <row r="17">
      <c r="C17" s="78" t="inlineStr">
        <is>
          <t>2. BD/BA count is from the Unit Type mapping above (edit the yellow cells to adjust).</t>
        </is>
      </c>
    </row>
    <row r="22">
      <c r="C22" s="78" t="inlineStr">
        <is>
          <t>Property Name</t>
        </is>
      </c>
      <c r="D22" s="78" t="inlineStr">
        <is>
          <t>Hertel Homes</t>
        </is>
      </c>
    </row>
    <row r="23">
      <c r="C23" s="78" t="inlineStr">
        <is>
          <t>Rent Roll Date</t>
        </is>
      </c>
      <c r="D23" s="79" t="n">
        <v>46265</v>
      </c>
    </row>
    <row r="30">
      <c r="Y30" s="67" t="inlineStr">
        <is>
          <t>Rent</t>
        </is>
      </c>
      <c r="AB30" s="67" t="inlineStr">
        <is>
          <t>Other Income</t>
        </is>
      </c>
    </row>
    <row r="31">
      <c r="A31" s="67" t="inlineStr">
        <is>
          <t>Property</t>
        </is>
      </c>
      <c r="B31" s="67" t="inlineStr">
        <is>
          <t>#</t>
        </is>
      </c>
      <c r="C31" s="67" t="inlineStr">
        <is>
          <t>Occupancy</t>
        </is>
      </c>
      <c r="D31" s="67" t="inlineStr">
        <is>
          <t>Floorplan</t>
        </is>
      </c>
      <c r="E31" s="67" t="inlineStr">
        <is>
          <t>Bd</t>
        </is>
      </c>
      <c r="F31" s="67" t="inlineStr">
        <is>
          <t>Ba</t>
        </is>
      </c>
      <c r="G31" s="67" t="inlineStr">
        <is>
          <t>Renovated</t>
        </is>
      </c>
      <c r="H31" s="67" t="inlineStr">
        <is>
          <t>Unit #</t>
        </is>
      </c>
      <c r="I31" s="67" t="inlineStr">
        <is>
          <t>Unit Type</t>
        </is>
      </c>
      <c r="J31" s="67" t="inlineStr">
        <is>
          <t>Unit Sq Ft</t>
        </is>
      </c>
      <c r="K31" s="67" t="inlineStr">
        <is>
          <t>Resident/Tenant Name</t>
        </is>
      </c>
      <c r="L31" s="67" t="inlineStr">
        <is>
          <t>Market Rent</t>
        </is>
      </c>
      <c r="M31" s="67" t="inlineStr">
        <is>
          <t>Rent</t>
        </is>
      </c>
      <c r="N31" s="67" t="inlineStr">
        <is>
          <t>Move in</t>
        </is>
      </c>
      <c r="O31" s="67" t="inlineStr">
        <is>
          <t>Lease Start</t>
        </is>
      </c>
      <c r="P31" s="67" t="inlineStr">
        <is>
          <t>Lease End</t>
        </is>
      </c>
      <c r="Q31" s="67" t="inlineStr">
        <is>
          <t>Move Out</t>
        </is>
      </c>
      <c r="R31" s="67" t="inlineStr">
        <is>
          <t>Other Income</t>
        </is>
      </c>
      <c r="S31" s="67" t="inlineStr">
        <is>
          <t>Concessions</t>
        </is>
      </c>
      <c r="T31" s="67" t="inlineStr">
        <is>
          <t>Employee Discounts</t>
        </is>
      </c>
      <c r="V31" s="67" t="inlineStr">
        <is>
          <t>Unit Type (Manual)</t>
        </is>
      </c>
      <c r="W31" s="67" t="inlineStr">
        <is>
          <t>Unit Type (Manual) - Updated</t>
        </is>
      </c>
      <c r="Y31" s="67" t="inlineStr">
        <is>
          <t>RENT</t>
        </is>
      </c>
      <c r="AB31" s="67" t="inlineStr">
        <is>
          <t>Misc Charges</t>
        </is>
      </c>
    </row>
    <row r="32">
      <c r="A32" s="72">
        <f>$D$22</f>
        <v/>
      </c>
      <c r="B32" s="72" t="n">
        <v>1</v>
      </c>
      <c r="C32" s="72">
        <f>IF(K32="Vacant","Vac",IF(K32="Model","Model",IF(K32="Admin","Admin",IF(K32="Down","Down",IF(K32="Super","Super","Occ")))))</f>
        <v/>
      </c>
      <c r="D32" s="72">
        <f>INDEX($C$5:$C$9,MATCH(I32,$D$5:$D$9,0))</f>
        <v/>
      </c>
      <c r="E32" s="72">
        <f>INDEX($E$5:$E$9,MATCH(D32,$C$5:$C$9,0))</f>
        <v/>
      </c>
      <c r="F32" s="72">
        <f>INDEX($F$5:$F$9,MATCH(D32,$C$5:$C$9,0))</f>
        <v/>
      </c>
      <c r="G32" s="72">
        <f>INDEX($G$5:$G$9,MATCH(D32,$C$5:$C$9,0))</f>
        <v/>
      </c>
      <c r="H32" s="72" t="inlineStr">
        <is>
          <t>1</t>
        </is>
      </c>
      <c r="I32" s="72" t="inlineStr">
        <is>
          <t>2 Bed 1 Bath</t>
        </is>
      </c>
      <c r="J32" s="80" t="n">
        <v>1340</v>
      </c>
      <c r="K32" s="72" t="inlineStr">
        <is>
          <t>Echevarria, Amayrani</t>
        </is>
      </c>
      <c r="L32" s="81" t="n">
        <v>1350</v>
      </c>
      <c r="M32" s="81">
        <f>Y32</f>
        <v/>
      </c>
      <c r="N32" s="82" t="n">
        <v>45219</v>
      </c>
      <c r="O32" s="82" t="n">
        <v>45219</v>
      </c>
      <c r="P32" s="82" t="n">
        <v>46691</v>
      </c>
      <c r="R32" s="81">
        <f>SUM(AB32:AB32)</f>
        <v/>
      </c>
      <c r="S32" s="81" t="n">
        <v>0</v>
      </c>
      <c r="T32" s="81" t="n">
        <v>0</v>
      </c>
      <c r="Y32" s="81" t="n">
        <v>1295</v>
      </c>
    </row>
    <row r="33">
      <c r="A33" s="72">
        <f>$D$22</f>
        <v/>
      </c>
      <c r="B33" s="72">
        <f>B32+1</f>
        <v/>
      </c>
      <c r="C33" s="72">
        <f>IF(K33="Vacant","Vac",IF(K33="Model","Model",IF(K33="Admin","Admin",IF(K33="Down","Down",IF(K33="Super","Super","Occ")))))</f>
        <v/>
      </c>
      <c r="D33" s="72">
        <f>INDEX($C$5:$C$9,MATCH(I33,$D$5:$D$9,0))</f>
        <v/>
      </c>
      <c r="E33" s="72">
        <f>INDEX($E$5:$E$9,MATCH(D33,$C$5:$C$9,0))</f>
        <v/>
      </c>
      <c r="F33" s="72">
        <f>INDEX($F$5:$F$9,MATCH(D33,$C$5:$C$9,0))</f>
        <v/>
      </c>
      <c r="G33" s="72">
        <f>INDEX($G$5:$G$9,MATCH(D33,$C$5:$C$9,0))</f>
        <v/>
      </c>
      <c r="H33" s="72" t="inlineStr">
        <is>
          <t>2</t>
        </is>
      </c>
      <c r="I33" s="72" t="inlineStr">
        <is>
          <t>2 Bed 1 Bath</t>
        </is>
      </c>
      <c r="J33" s="80" t="n">
        <v>1340</v>
      </c>
      <c r="K33" s="72" t="inlineStr">
        <is>
          <t>Sanders (BEL), Lasyon</t>
        </is>
      </c>
      <c r="L33" s="81" t="n">
        <v>1350</v>
      </c>
      <c r="M33" s="81">
        <f>Y33</f>
        <v/>
      </c>
      <c r="N33" s="82" t="n">
        <v>38443</v>
      </c>
      <c r="O33" s="82" t="n">
        <v>38443</v>
      </c>
      <c r="P33" s="82" t="n">
        <v>46265</v>
      </c>
      <c r="R33" s="81">
        <f>SUM(AB33:AB33)</f>
        <v/>
      </c>
      <c r="S33" s="81" t="n">
        <v>0</v>
      </c>
      <c r="T33" s="81" t="n">
        <v>0</v>
      </c>
      <c r="Y33" s="81" t="n">
        <v>1150</v>
      </c>
      <c r="AB33" s="81" t="n">
        <v>35</v>
      </c>
    </row>
    <row r="34">
      <c r="A34" s="72">
        <f>$D$22</f>
        <v/>
      </c>
      <c r="B34" s="72">
        <f>B33+1</f>
        <v/>
      </c>
      <c r="C34" s="72">
        <f>IF(K34="Vacant","Vac",IF(K34="Model","Model",IF(K34="Admin","Admin",IF(K34="Down","Down",IF(K34="Super","Super","Occ")))))</f>
        <v/>
      </c>
      <c r="D34" s="72">
        <f>INDEX($C$5:$C$9,MATCH(I34,$D$5:$D$9,0))</f>
        <v/>
      </c>
      <c r="E34" s="72">
        <f>INDEX($E$5:$E$9,MATCH(D34,$C$5:$C$9,0))</f>
        <v/>
      </c>
      <c r="F34" s="72">
        <f>INDEX($F$5:$F$9,MATCH(D34,$C$5:$C$9,0))</f>
        <v/>
      </c>
      <c r="G34" s="72">
        <f>INDEX($G$5:$G$9,MATCH(D34,$C$5:$C$9,0))</f>
        <v/>
      </c>
      <c r="H34" s="72" t="inlineStr">
        <is>
          <t>3</t>
        </is>
      </c>
      <c r="I34" s="72" t="inlineStr">
        <is>
          <t>2 Bed 1 Bath</t>
        </is>
      </c>
      <c r="J34" s="80" t="n">
        <v>1334</v>
      </c>
      <c r="K34" s="72" t="inlineStr">
        <is>
          <t>Terry, Daniele</t>
        </is>
      </c>
      <c r="L34" s="81" t="n">
        <v>1350</v>
      </c>
      <c r="M34" s="81">
        <f>Y34</f>
        <v/>
      </c>
      <c r="N34" s="82" t="n">
        <v>45971</v>
      </c>
      <c r="O34" s="82" t="n">
        <v>45971</v>
      </c>
      <c r="P34" s="82" t="n">
        <v>46721</v>
      </c>
      <c r="R34" s="81">
        <f>SUM(AB34:AB34)</f>
        <v/>
      </c>
      <c r="S34" s="81" t="n">
        <v>0</v>
      </c>
      <c r="T34" s="81" t="n">
        <v>0</v>
      </c>
      <c r="Y34" s="81" t="n">
        <v>1350</v>
      </c>
    </row>
    <row r="35">
      <c r="A35" s="72">
        <f>$D$22</f>
        <v/>
      </c>
      <c r="B35" s="72">
        <f>B34+1</f>
        <v/>
      </c>
      <c r="C35" s="72">
        <f>IF(K35="Vacant","Vac",IF(K35="Model","Model",IF(K35="Admin","Admin",IF(K35="Down","Down",IF(K35="Super","Super","Occ")))))</f>
        <v/>
      </c>
      <c r="D35" s="72">
        <f>INDEX($C$5:$C$9,MATCH(I35,$D$5:$D$9,0))</f>
        <v/>
      </c>
      <c r="E35" s="72">
        <f>INDEX($E$5:$E$9,MATCH(D35,$C$5:$C$9,0))</f>
        <v/>
      </c>
      <c r="F35" s="72">
        <f>INDEX($F$5:$F$9,MATCH(D35,$C$5:$C$9,0))</f>
        <v/>
      </c>
      <c r="G35" s="72">
        <f>INDEX($G$5:$G$9,MATCH(D35,$C$5:$C$9,0))</f>
        <v/>
      </c>
      <c r="H35" s="72" t="inlineStr">
        <is>
          <t>4</t>
        </is>
      </c>
      <c r="I35" s="72" t="inlineStr">
        <is>
          <t>2 Bed 1 Bath</t>
        </is>
      </c>
      <c r="J35" s="80" t="n">
        <v>1334</v>
      </c>
      <c r="K35" s="72" t="inlineStr">
        <is>
          <t>Medina, Dylan</t>
        </is>
      </c>
      <c r="L35" s="81" t="n">
        <v>1350</v>
      </c>
      <c r="M35" s="81">
        <f>Y35</f>
        <v/>
      </c>
      <c r="N35" s="82" t="n">
        <v>44713</v>
      </c>
      <c r="O35" s="82" t="n">
        <v>44713</v>
      </c>
      <c r="P35" s="82" t="n">
        <v>46538</v>
      </c>
      <c r="R35" s="81">
        <f>SUM(AB35:AB35)</f>
        <v/>
      </c>
      <c r="S35" s="81" t="n">
        <v>0</v>
      </c>
      <c r="T35" s="81" t="n">
        <v>0</v>
      </c>
      <c r="Y35" s="81" t="n">
        <v>1500</v>
      </c>
    </row>
    <row r="36">
      <c r="A36" s="72">
        <f>$D$22</f>
        <v/>
      </c>
      <c r="B36" s="72">
        <f>B35+1</f>
        <v/>
      </c>
      <c r="C36" s="72">
        <f>IF(K36="Vacant","Vac",IF(K36="Model","Model",IF(K36="Admin","Admin",IF(K36="Down","Down",IF(K36="Super","Super","Occ")))))</f>
        <v/>
      </c>
      <c r="D36" s="72">
        <f>INDEX($C$5:$C$9,MATCH(I36,$D$5:$D$9,0))</f>
        <v/>
      </c>
      <c r="E36" s="72">
        <f>INDEX($E$5:$E$9,MATCH(D36,$C$5:$C$9,0))</f>
        <v/>
      </c>
      <c r="F36" s="72">
        <f>INDEX($F$5:$F$9,MATCH(D36,$C$5:$C$9,0))</f>
        <v/>
      </c>
      <c r="G36" s="72">
        <f>INDEX($G$5:$G$9,MATCH(D36,$C$5:$C$9,0))</f>
        <v/>
      </c>
      <c r="H36" s="72" t="inlineStr">
        <is>
          <t>5</t>
        </is>
      </c>
      <c r="I36" s="72" t="inlineStr">
        <is>
          <t>2 Bed 1 Bath</t>
        </is>
      </c>
      <c r="J36" s="80" t="n">
        <v>1334</v>
      </c>
      <c r="K36" s="72" t="inlineStr">
        <is>
          <t>Duffy, Denise</t>
        </is>
      </c>
      <c r="L36" s="81" t="n">
        <v>1350</v>
      </c>
      <c r="M36" s="81">
        <f>Y36</f>
        <v/>
      </c>
      <c r="N36" s="82" t="n">
        <v>45017</v>
      </c>
      <c r="O36" s="82" t="n">
        <v>45017</v>
      </c>
      <c r="P36" s="82" t="n">
        <v>46477</v>
      </c>
      <c r="R36" s="81">
        <f>SUM(AB36:AB36)</f>
        <v/>
      </c>
      <c r="S36" s="81" t="n">
        <v>0</v>
      </c>
      <c r="T36" s="81" t="n">
        <v>0</v>
      </c>
      <c r="Y36" s="81" t="n">
        <v>1375</v>
      </c>
    </row>
    <row r="37">
      <c r="A37" s="72">
        <f>$D$22</f>
        <v/>
      </c>
      <c r="B37" s="72">
        <f>B36+1</f>
        <v/>
      </c>
      <c r="C37" s="72">
        <f>IF(K37="Vacant","Vac",IF(K37="Model","Model",IF(K37="Admin","Admin",IF(K37="Down","Down",IF(K37="Super","Super","Occ")))))</f>
        <v/>
      </c>
      <c r="D37" s="72">
        <f>INDEX($C$5:$C$9,MATCH(I37,$D$5:$D$9,0))</f>
        <v/>
      </c>
      <c r="E37" s="72">
        <f>INDEX($E$5:$E$9,MATCH(D37,$C$5:$C$9,0))</f>
        <v/>
      </c>
      <c r="F37" s="72">
        <f>INDEX($F$5:$F$9,MATCH(D37,$C$5:$C$9,0))</f>
        <v/>
      </c>
      <c r="G37" s="72">
        <f>INDEX($G$5:$G$9,MATCH(D37,$C$5:$C$9,0))</f>
        <v/>
      </c>
      <c r="H37" s="72" t="inlineStr">
        <is>
          <t>6</t>
        </is>
      </c>
      <c r="I37" s="72" t="inlineStr">
        <is>
          <t>2 Bed 1 Bath</t>
        </is>
      </c>
      <c r="J37" s="80" t="n">
        <v>1334</v>
      </c>
      <c r="K37" s="72" t="inlineStr">
        <is>
          <t>Bellamy, Sade</t>
        </is>
      </c>
      <c r="L37" s="81" t="n">
        <v>1350</v>
      </c>
      <c r="M37" s="81">
        <f>Y37</f>
        <v/>
      </c>
      <c r="N37" s="82" t="n">
        <v>43500</v>
      </c>
      <c r="O37" s="82" t="n">
        <v>43500</v>
      </c>
      <c r="P37" s="82" t="n">
        <v>46173</v>
      </c>
      <c r="R37" s="81">
        <f>SUM(AB37:AB37)</f>
        <v/>
      </c>
      <c r="S37" s="81" t="n">
        <v>0</v>
      </c>
      <c r="T37" s="81" t="n">
        <v>0</v>
      </c>
      <c r="Y37" s="81" t="n">
        <v>1100</v>
      </c>
    </row>
    <row r="38">
      <c r="A38" s="72">
        <f>$D$22</f>
        <v/>
      </c>
      <c r="B38" s="72">
        <f>B37+1</f>
        <v/>
      </c>
      <c r="C38" s="72">
        <f>IF(K38="Vacant","Vac",IF(K38="Model","Model",IF(K38="Admin","Admin",IF(K38="Down","Down",IF(K38="Super","Super","Occ")))))</f>
        <v/>
      </c>
      <c r="D38" s="72">
        <f>INDEX($C$5:$C$9,MATCH(I38,$D$5:$D$9,0))</f>
        <v/>
      </c>
      <c r="E38" s="72">
        <f>INDEX($E$5:$E$9,MATCH(D38,$C$5:$C$9,0))</f>
        <v/>
      </c>
      <c r="F38" s="72">
        <f>INDEX($F$5:$F$9,MATCH(D38,$C$5:$C$9,0))</f>
        <v/>
      </c>
      <c r="G38" s="72">
        <f>INDEX($G$5:$G$9,MATCH(D38,$C$5:$C$9,0))</f>
        <v/>
      </c>
      <c r="H38" s="72" t="inlineStr">
        <is>
          <t>7</t>
        </is>
      </c>
      <c r="I38" s="72" t="inlineStr">
        <is>
          <t>2 Bed 1 Bath</t>
        </is>
      </c>
      <c r="J38" s="80" t="n">
        <v>1334</v>
      </c>
      <c r="K38" s="72" t="inlineStr">
        <is>
          <t>Durham, Dawna</t>
        </is>
      </c>
      <c r="L38" s="81" t="n">
        <v>1350</v>
      </c>
      <c r="M38" s="81">
        <f>Y38</f>
        <v/>
      </c>
      <c r="N38" s="82" t="n">
        <v>45748</v>
      </c>
      <c r="O38" s="82" t="n">
        <v>45748</v>
      </c>
      <c r="P38" s="82" t="n">
        <v>46507</v>
      </c>
      <c r="R38" s="81">
        <f>SUM(AB38:AB38)</f>
        <v/>
      </c>
      <c r="S38" s="81" t="n">
        <v>0</v>
      </c>
      <c r="T38" s="81" t="n">
        <v>0</v>
      </c>
      <c r="Y38" s="81" t="n">
        <v>1300</v>
      </c>
    </row>
    <row r="39">
      <c r="A39" s="72">
        <f>$D$22</f>
        <v/>
      </c>
      <c r="B39" s="72">
        <f>B38+1</f>
        <v/>
      </c>
      <c r="C39" s="72">
        <f>IF(K39="Vacant","Vac",IF(K39="Model","Model",IF(K39="Admin","Admin",IF(K39="Down","Down",IF(K39="Super","Super","Occ")))))</f>
        <v/>
      </c>
      <c r="D39" s="72">
        <f>INDEX($C$5:$C$9,MATCH(I39,$D$5:$D$9,0))</f>
        <v/>
      </c>
      <c r="E39" s="72">
        <f>INDEX($E$5:$E$9,MATCH(D39,$C$5:$C$9,0))</f>
        <v/>
      </c>
      <c r="F39" s="72">
        <f>INDEX($F$5:$F$9,MATCH(D39,$C$5:$C$9,0))</f>
        <v/>
      </c>
      <c r="G39" s="72">
        <f>INDEX($G$5:$G$9,MATCH(D39,$C$5:$C$9,0))</f>
        <v/>
      </c>
      <c r="H39" s="72" t="inlineStr">
        <is>
          <t>8</t>
        </is>
      </c>
      <c r="I39" s="72" t="inlineStr">
        <is>
          <t>2 Bed 1 Bath</t>
        </is>
      </c>
      <c r="J39" s="80" t="n">
        <v>1334</v>
      </c>
      <c r="K39" s="72" t="inlineStr">
        <is>
          <t>Chaney, Tamea</t>
        </is>
      </c>
      <c r="L39" s="81" t="n">
        <v>1350</v>
      </c>
      <c r="M39" s="81">
        <f>Y39</f>
        <v/>
      </c>
      <c r="N39" s="82" t="n">
        <v>46174</v>
      </c>
      <c r="O39" s="82" t="n">
        <v>46174</v>
      </c>
      <c r="P39" s="82" t="n">
        <v>46538</v>
      </c>
      <c r="R39" s="81">
        <f>SUM(AB39:AB39)</f>
        <v/>
      </c>
      <c r="S39" s="81" t="n">
        <v>0</v>
      </c>
      <c r="T39" s="81" t="n">
        <v>0</v>
      </c>
      <c r="Y39" s="81" t="n">
        <v>1300</v>
      </c>
    </row>
    <row r="40">
      <c r="A40" s="72">
        <f>$D$22</f>
        <v/>
      </c>
      <c r="B40" s="72">
        <f>B39+1</f>
        <v/>
      </c>
      <c r="C40" s="72">
        <f>IF(K40="Vacant","Vac",IF(K40="Model","Model",IF(K40="Admin","Admin",IF(K40="Down","Down",IF(K40="Super","Super","Occ")))))</f>
        <v/>
      </c>
      <c r="D40" s="72">
        <f>INDEX($C$5:$C$9,MATCH(I40,$D$5:$D$9,0))</f>
        <v/>
      </c>
      <c r="E40" s="72">
        <f>INDEX($E$5:$E$9,MATCH(D40,$C$5:$C$9,0))</f>
        <v/>
      </c>
      <c r="F40" s="72">
        <f>INDEX($F$5:$F$9,MATCH(D40,$C$5:$C$9,0))</f>
        <v/>
      </c>
      <c r="G40" s="72">
        <f>INDEX($G$5:$G$9,MATCH(D40,$C$5:$C$9,0))</f>
        <v/>
      </c>
      <c r="H40" s="72" t="inlineStr">
        <is>
          <t>9</t>
        </is>
      </c>
      <c r="I40" s="72" t="inlineStr">
        <is>
          <t>2 Bed 1 Bath</t>
        </is>
      </c>
      <c r="J40" s="80" t="n">
        <v>1334</v>
      </c>
      <c r="K40" s="72" t="inlineStr">
        <is>
          <t>Lewis, Trendel</t>
        </is>
      </c>
      <c r="L40" s="81" t="n">
        <v>1350</v>
      </c>
      <c r="M40" s="81">
        <f>Y40</f>
        <v/>
      </c>
      <c r="N40" s="82" t="n">
        <v>41183</v>
      </c>
      <c r="O40" s="82" t="n">
        <v>41183</v>
      </c>
      <c r="P40" s="82" t="n">
        <v>46660</v>
      </c>
      <c r="R40" s="81">
        <f>SUM(AB40:AB40)</f>
        <v/>
      </c>
      <c r="S40" s="81" t="n">
        <v>0</v>
      </c>
      <c r="T40" s="81" t="n">
        <v>0</v>
      </c>
      <c r="Y40" s="81" t="n">
        <v>1225</v>
      </c>
      <c r="AB40" s="81" t="n">
        <v>200</v>
      </c>
    </row>
    <row r="41">
      <c r="A41" s="72">
        <f>$D$22</f>
        <v/>
      </c>
      <c r="B41" s="72">
        <f>B40+1</f>
        <v/>
      </c>
      <c r="C41" s="72">
        <f>IF(K41="Vacant","Vac",IF(K41="Model","Model",IF(K41="Admin","Admin",IF(K41="Down","Down",IF(K41="Super","Super","Occ")))))</f>
        <v/>
      </c>
      <c r="D41" s="72">
        <f>INDEX($C$5:$C$9,MATCH(I41,$D$5:$D$9,0))</f>
        <v/>
      </c>
      <c r="E41" s="72">
        <f>INDEX($E$5:$E$9,MATCH(D41,$C$5:$C$9,0))</f>
        <v/>
      </c>
      <c r="F41" s="72">
        <f>INDEX($F$5:$F$9,MATCH(D41,$C$5:$C$9,0))</f>
        <v/>
      </c>
      <c r="G41" s="72">
        <f>INDEX($G$5:$G$9,MATCH(D41,$C$5:$C$9,0))</f>
        <v/>
      </c>
      <c r="H41" s="72" t="inlineStr">
        <is>
          <t>10</t>
        </is>
      </c>
      <c r="I41" s="72" t="inlineStr">
        <is>
          <t>2 Bed 1 Bath</t>
        </is>
      </c>
      <c r="J41" s="80" t="n">
        <v>1334</v>
      </c>
      <c r="K41" s="72" t="inlineStr">
        <is>
          <t>Kuzub (RACB), Marlene</t>
        </is>
      </c>
      <c r="L41" s="81" t="n">
        <v>1350</v>
      </c>
      <c r="M41" s="81">
        <f>Y41</f>
        <v/>
      </c>
      <c r="N41" s="82" t="n">
        <v>40664</v>
      </c>
      <c r="O41" s="82" t="n">
        <v>40664</v>
      </c>
      <c r="P41" s="82" t="n">
        <v>46142</v>
      </c>
      <c r="R41" s="81">
        <f>SUM(AB41:AB41)</f>
        <v/>
      </c>
      <c r="S41" s="81" t="n">
        <v>0</v>
      </c>
      <c r="T41" s="81" t="n">
        <v>0</v>
      </c>
      <c r="Y41" s="81" t="n">
        <v>1225</v>
      </c>
    </row>
    <row r="42">
      <c r="A42" s="72">
        <f>$D$22</f>
        <v/>
      </c>
      <c r="B42" s="72">
        <f>B41+1</f>
        <v/>
      </c>
      <c r="C42" s="72">
        <f>IF(K42="Vacant","Vac",IF(K42="Model","Model",IF(K42="Admin","Admin",IF(K42="Down","Down",IF(K42="Super","Super","Occ")))))</f>
        <v/>
      </c>
      <c r="D42" s="72">
        <f>INDEX($C$5:$C$9,MATCH(I42,$D$5:$D$9,0))</f>
        <v/>
      </c>
      <c r="E42" s="72">
        <f>INDEX($E$5:$E$9,MATCH(D42,$C$5:$C$9,0))</f>
        <v/>
      </c>
      <c r="F42" s="72">
        <f>INDEX($F$5:$F$9,MATCH(D42,$C$5:$C$9,0))</f>
        <v/>
      </c>
      <c r="G42" s="72">
        <f>INDEX($G$5:$G$9,MATCH(D42,$C$5:$C$9,0))</f>
        <v/>
      </c>
      <c r="H42" s="72" t="inlineStr">
        <is>
          <t>11</t>
        </is>
      </c>
      <c r="I42" s="72" t="inlineStr">
        <is>
          <t>2 Bed 1 Bath</t>
        </is>
      </c>
      <c r="J42" s="80" t="n">
        <v>1334</v>
      </c>
      <c r="K42" s="72" t="inlineStr">
        <is>
          <t>Gamblin (BFNC), Kizzy</t>
        </is>
      </c>
      <c r="L42" s="81" t="n">
        <v>1350</v>
      </c>
      <c r="M42" s="81">
        <f>Y42</f>
        <v/>
      </c>
      <c r="N42" s="82" t="n">
        <v>42156</v>
      </c>
      <c r="O42" s="82" t="n">
        <v>42156</v>
      </c>
      <c r="P42" s="82" t="n">
        <v>46507</v>
      </c>
      <c r="R42" s="81">
        <f>SUM(AB42:AB42)</f>
        <v/>
      </c>
      <c r="S42" s="81" t="n">
        <v>0</v>
      </c>
      <c r="T42" s="81" t="n">
        <v>0</v>
      </c>
      <c r="Y42" s="81" t="n">
        <v>1000</v>
      </c>
      <c r="AB42" s="81" t="n">
        <v>25</v>
      </c>
    </row>
    <row r="43">
      <c r="A43" s="72">
        <f>$D$22</f>
        <v/>
      </c>
      <c r="B43" s="72">
        <f>B42+1</f>
        <v/>
      </c>
      <c r="C43" s="72">
        <f>IF(K43="Vacant","Vac",IF(K43="Model","Model",IF(K43="Admin","Admin",IF(K43="Down","Down",IF(K43="Super","Super","Occ")))))</f>
        <v/>
      </c>
      <c r="D43" s="72">
        <f>INDEX($C$5:$C$9,MATCH(I43,$D$5:$D$9,0))</f>
        <v/>
      </c>
      <c r="E43" s="72">
        <f>INDEX($E$5:$E$9,MATCH(D43,$C$5:$C$9,0))</f>
        <v/>
      </c>
      <c r="F43" s="72">
        <f>INDEX($F$5:$F$9,MATCH(D43,$C$5:$C$9,0))</f>
        <v/>
      </c>
      <c r="G43" s="72">
        <f>INDEX($G$5:$G$9,MATCH(D43,$C$5:$C$9,0))</f>
        <v/>
      </c>
      <c r="H43" s="72" t="inlineStr">
        <is>
          <t>12</t>
        </is>
      </c>
      <c r="I43" s="72" t="inlineStr">
        <is>
          <t>2 Bed 1 Bath</t>
        </is>
      </c>
      <c r="J43" s="80" t="n">
        <v>1334</v>
      </c>
      <c r="K43" s="72" t="inlineStr">
        <is>
          <t>Caseres, Yadrieliz</t>
        </is>
      </c>
      <c r="L43" s="81" t="n">
        <v>1350</v>
      </c>
      <c r="M43" s="81">
        <f>Y43</f>
        <v/>
      </c>
      <c r="N43" s="82" t="n">
        <v>44896</v>
      </c>
      <c r="O43" s="82" t="n">
        <v>44896</v>
      </c>
      <c r="P43" s="82" t="n">
        <v>46418</v>
      </c>
      <c r="R43" s="81">
        <f>SUM(AB43:AB43)</f>
        <v/>
      </c>
      <c r="S43" s="81" t="n">
        <v>0</v>
      </c>
      <c r="T43" s="81" t="n">
        <v>0</v>
      </c>
      <c r="Y43" s="81" t="n">
        <v>1450</v>
      </c>
    </row>
    <row r="44">
      <c r="A44" s="72">
        <f>$D$22</f>
        <v/>
      </c>
      <c r="B44" s="72">
        <f>B43+1</f>
        <v/>
      </c>
      <c r="C44" s="72">
        <f>IF(K44="Vacant","Vac",IF(K44="Model","Model",IF(K44="Admin","Admin",IF(K44="Down","Down",IF(K44="Super","Super","Occ")))))</f>
        <v/>
      </c>
      <c r="D44" s="72">
        <f>INDEX($C$5:$C$9,MATCH(I44,$D$5:$D$9,0))</f>
        <v/>
      </c>
      <c r="E44" s="72">
        <f>INDEX($E$5:$E$9,MATCH(D44,$C$5:$C$9,0))</f>
        <v/>
      </c>
      <c r="F44" s="72">
        <f>INDEX($F$5:$F$9,MATCH(D44,$C$5:$C$9,0))</f>
        <v/>
      </c>
      <c r="G44" s="72">
        <f>INDEX($G$5:$G$9,MATCH(D44,$C$5:$C$9,0))</f>
        <v/>
      </c>
      <c r="H44" s="72" t="inlineStr">
        <is>
          <t>13</t>
        </is>
      </c>
      <c r="I44" s="72" t="inlineStr">
        <is>
          <t>2 Bed 1 Bath</t>
        </is>
      </c>
      <c r="J44" s="80" t="n">
        <v>1334</v>
      </c>
      <c r="K44" s="72" t="inlineStr">
        <is>
          <t>Payne (BFNC), Ulysses</t>
        </is>
      </c>
      <c r="L44" s="81" t="n">
        <v>1350</v>
      </c>
      <c r="M44" s="81">
        <f>Y44</f>
        <v/>
      </c>
      <c r="N44" s="82" t="n">
        <v>45945</v>
      </c>
      <c r="O44" s="82" t="n">
        <v>45945</v>
      </c>
      <c r="P44" s="82" t="n">
        <v>46326</v>
      </c>
      <c r="R44" s="81">
        <f>SUM(AB44:AB44)</f>
        <v/>
      </c>
      <c r="S44" s="81" t="n">
        <v>0</v>
      </c>
      <c r="T44" s="81" t="n">
        <v>0</v>
      </c>
      <c r="Y44" s="81" t="n">
        <v>1350</v>
      </c>
    </row>
    <row r="45">
      <c r="A45" s="72">
        <f>$D$22</f>
        <v/>
      </c>
      <c r="B45" s="72">
        <f>B44+1</f>
        <v/>
      </c>
      <c r="C45" s="72">
        <f>IF(K45="Vacant","Vac",IF(K45="Model","Model",IF(K45="Admin","Admin",IF(K45="Down","Down",IF(K45="Super","Super","Occ")))))</f>
        <v/>
      </c>
      <c r="D45" s="72">
        <f>INDEX($C$5:$C$9,MATCH(I45,$D$5:$D$9,0))</f>
        <v/>
      </c>
      <c r="E45" s="72">
        <f>INDEX($E$5:$E$9,MATCH(D45,$C$5:$C$9,0))</f>
        <v/>
      </c>
      <c r="F45" s="72">
        <f>INDEX($F$5:$F$9,MATCH(D45,$C$5:$C$9,0))</f>
        <v/>
      </c>
      <c r="G45" s="72">
        <f>INDEX($G$5:$G$9,MATCH(D45,$C$5:$C$9,0))</f>
        <v/>
      </c>
      <c r="H45" s="72" t="inlineStr">
        <is>
          <t>14</t>
        </is>
      </c>
      <c r="I45" s="72" t="inlineStr">
        <is>
          <t>2 Bed 1 Bath</t>
        </is>
      </c>
      <c r="J45" s="80" t="n">
        <v>1334</v>
      </c>
      <c r="K45" s="72" t="inlineStr">
        <is>
          <t>Davis, Ebony</t>
        </is>
      </c>
      <c r="L45" s="81" t="n">
        <v>1350</v>
      </c>
      <c r="M45" s="81">
        <f>Y45</f>
        <v/>
      </c>
      <c r="N45" s="82" t="n">
        <v>46053</v>
      </c>
      <c r="O45" s="82" t="n">
        <v>46053</v>
      </c>
      <c r="P45" s="82" t="n">
        <v>46446</v>
      </c>
      <c r="R45" s="81">
        <f>SUM(AB45:AB45)</f>
        <v/>
      </c>
      <c r="S45" s="81" t="n">
        <v>0</v>
      </c>
      <c r="T45" s="81" t="n">
        <v>0</v>
      </c>
      <c r="Y45" s="81" t="n">
        <v>1325</v>
      </c>
    </row>
    <row r="46">
      <c r="A46" s="72">
        <f>$D$22</f>
        <v/>
      </c>
      <c r="B46" s="72">
        <f>B45+1</f>
        <v/>
      </c>
      <c r="C46" s="72">
        <f>IF(K46="Vacant","Vac",IF(K46="Model","Model",IF(K46="Admin","Admin",IF(K46="Down","Down",IF(K46="Super","Super","Occ")))))</f>
        <v/>
      </c>
      <c r="D46" s="72">
        <f>INDEX($C$5:$C$9,MATCH(I46,$D$5:$D$9,0))</f>
        <v/>
      </c>
      <c r="E46" s="72">
        <f>INDEX($E$5:$E$9,MATCH(D46,$C$5:$C$9,0))</f>
        <v/>
      </c>
      <c r="F46" s="72">
        <f>INDEX($F$5:$F$9,MATCH(D46,$C$5:$C$9,0))</f>
        <v/>
      </c>
      <c r="G46" s="72">
        <f>INDEX($G$5:$G$9,MATCH(D46,$C$5:$C$9,0))</f>
        <v/>
      </c>
      <c r="H46" s="72" t="inlineStr">
        <is>
          <t>15</t>
        </is>
      </c>
      <c r="I46" s="72" t="inlineStr">
        <is>
          <t>2 Bed 1 Bath</t>
        </is>
      </c>
      <c r="J46" s="80" t="n">
        <v>1334</v>
      </c>
      <c r="K46" s="72" t="inlineStr">
        <is>
          <t>Barner, Ne'Quan</t>
        </is>
      </c>
      <c r="L46" s="81" t="n">
        <v>1350</v>
      </c>
      <c r="M46" s="81">
        <f>Y46</f>
        <v/>
      </c>
      <c r="N46" s="82" t="n">
        <v>46023</v>
      </c>
      <c r="O46" s="82" t="n">
        <v>46023</v>
      </c>
      <c r="P46" s="82" t="n">
        <v>46418</v>
      </c>
      <c r="R46" s="81">
        <f>SUM(AB46:AB46)</f>
        <v/>
      </c>
      <c r="S46" s="81" t="n">
        <v>0</v>
      </c>
      <c r="T46" s="81" t="n">
        <v>0</v>
      </c>
      <c r="Y46" s="81" t="n">
        <v>1325</v>
      </c>
    </row>
    <row r="47">
      <c r="A47" s="72">
        <f>$D$22</f>
        <v/>
      </c>
      <c r="B47" s="72">
        <f>B46+1</f>
        <v/>
      </c>
      <c r="C47" s="72">
        <f>IF(K47="Vacant","Vac",IF(K47="Model","Model",IF(K47="Admin","Admin",IF(K47="Down","Down",IF(K47="Super","Super","Occ")))))</f>
        <v/>
      </c>
      <c r="D47" s="72">
        <f>INDEX($C$5:$C$9,MATCH(I47,$D$5:$D$9,0))</f>
        <v/>
      </c>
      <c r="E47" s="72">
        <f>INDEX($E$5:$E$9,MATCH(D47,$C$5:$C$9,0))</f>
        <v/>
      </c>
      <c r="F47" s="72">
        <f>INDEX($F$5:$F$9,MATCH(D47,$C$5:$C$9,0))</f>
        <v/>
      </c>
      <c r="G47" s="72">
        <f>INDEX($G$5:$G$9,MATCH(D47,$C$5:$C$9,0))</f>
        <v/>
      </c>
      <c r="H47" s="72" t="inlineStr">
        <is>
          <t>16</t>
        </is>
      </c>
      <c r="I47" s="72" t="inlineStr">
        <is>
          <t>2 Bed 1 Bath</t>
        </is>
      </c>
      <c r="J47" s="80" t="n">
        <v>1334</v>
      </c>
      <c r="K47" s="72" t="inlineStr">
        <is>
          <t>Showard, Brianna</t>
        </is>
      </c>
      <c r="L47" s="81" t="n">
        <v>1350</v>
      </c>
      <c r="M47" s="81">
        <f>Y47</f>
        <v/>
      </c>
      <c r="N47" s="82" t="n">
        <v>46037</v>
      </c>
      <c r="O47" s="82" t="n">
        <v>46037</v>
      </c>
      <c r="P47" s="82" t="n">
        <v>46418</v>
      </c>
      <c r="R47" s="81">
        <f>SUM(AB47:AB47)</f>
        <v/>
      </c>
      <c r="S47" s="81" t="n">
        <v>0</v>
      </c>
      <c r="T47" s="81" t="n">
        <v>0</v>
      </c>
      <c r="Y47" s="81" t="n">
        <v>1325</v>
      </c>
    </row>
    <row r="48">
      <c r="A48" s="83">
        <f>$D$22</f>
        <v/>
      </c>
      <c r="B48" s="83">
        <f>B47+1</f>
        <v/>
      </c>
      <c r="C48" s="83">
        <f>IF(K48="Vacant","Vac",IF(K48="Model","Model",IF(K48="Admin","Admin",IF(K48="Down","Down",IF(K48="Super","Super","Occ")))))</f>
        <v/>
      </c>
      <c r="D48" s="83">
        <f>INDEX($C$5:$C$9,MATCH(I48,$D$5:$D$9,0))</f>
        <v/>
      </c>
      <c r="E48" s="83">
        <f>INDEX($E$5:$E$9,MATCH(D48,$C$5:$C$9,0))</f>
        <v/>
      </c>
      <c r="F48" s="83">
        <f>INDEX($F$5:$F$9,MATCH(D48,$C$5:$C$9,0))</f>
        <v/>
      </c>
      <c r="G48" s="83">
        <f>INDEX($G$5:$G$9,MATCH(D48,$C$5:$C$9,0))</f>
        <v/>
      </c>
      <c r="H48" s="83" t="inlineStr">
        <is>
          <t>17</t>
        </is>
      </c>
      <c r="I48" s="83" t="inlineStr">
        <is>
          <t>2 Bed 1 Bath</t>
        </is>
      </c>
      <c r="J48" s="84" t="n">
        <v>1334</v>
      </c>
      <c r="K48" s="83" t="inlineStr">
        <is>
          <t>Vacant</t>
        </is>
      </c>
      <c r="L48" s="85" t="n">
        <v>1200</v>
      </c>
      <c r="M48" s="85">
        <f>Y48</f>
        <v/>
      </c>
      <c r="N48" s="86" t="n"/>
      <c r="O48" s="86" t="n"/>
      <c r="P48" s="86" t="n"/>
      <c r="Q48" s="86" t="n"/>
      <c r="R48" s="85">
        <f>SUM(AB48:AB48)</f>
        <v/>
      </c>
      <c r="S48" s="85" t="n">
        <v>0</v>
      </c>
      <c r="T48" s="85" t="n">
        <v>0</v>
      </c>
      <c r="U48" s="86" t="n"/>
      <c r="V48" s="86" t="n"/>
      <c r="W48" s="86" t="n"/>
      <c r="X48" s="86" t="n"/>
      <c r="Y48" s="85" t="n">
        <v>0</v>
      </c>
      <c r="Z48" s="86" t="n"/>
      <c r="AA48" s="86" t="n"/>
      <c r="AB48" s="86" t="n"/>
    </row>
    <row r="49">
      <c r="A49" s="72">
        <f>$D$22</f>
        <v/>
      </c>
      <c r="B49" s="72">
        <f>B48+1</f>
        <v/>
      </c>
      <c r="C49" s="72">
        <f>IF(K49="Vacant","Vac",IF(K49="Model","Model",IF(K49="Admin","Admin",IF(K49="Down","Down",IF(K49="Super","Super","Occ")))))</f>
        <v/>
      </c>
      <c r="D49" s="72">
        <f>INDEX($C$5:$C$9,MATCH(I49,$D$5:$D$9,0))</f>
        <v/>
      </c>
      <c r="E49" s="72">
        <f>INDEX($E$5:$E$9,MATCH(D49,$C$5:$C$9,0))</f>
        <v/>
      </c>
      <c r="F49" s="72">
        <f>INDEX($F$5:$F$9,MATCH(D49,$C$5:$C$9,0))</f>
        <v/>
      </c>
      <c r="G49" s="72">
        <f>INDEX($G$5:$G$9,MATCH(D49,$C$5:$C$9,0))</f>
        <v/>
      </c>
      <c r="H49" s="72" t="inlineStr">
        <is>
          <t>18</t>
        </is>
      </c>
      <c r="I49" s="72" t="inlineStr">
        <is>
          <t>2 Bed 1 Bath</t>
        </is>
      </c>
      <c r="J49" s="80" t="n">
        <v>1334</v>
      </c>
      <c r="K49" s="72" t="inlineStr">
        <is>
          <t>Cash, Najah</t>
        </is>
      </c>
      <c r="L49" s="81" t="n">
        <v>1350</v>
      </c>
      <c r="M49" s="81">
        <f>Y49</f>
        <v/>
      </c>
      <c r="N49" s="82" t="n">
        <v>45931</v>
      </c>
      <c r="O49" s="82" t="n">
        <v>45931</v>
      </c>
      <c r="P49" s="82" t="n">
        <v>46295</v>
      </c>
      <c r="R49" s="81">
        <f>SUM(AB49:AB49)</f>
        <v/>
      </c>
      <c r="S49" s="81" t="n">
        <v>0</v>
      </c>
      <c r="T49" s="81" t="n">
        <v>0</v>
      </c>
      <c r="Y49" s="81" t="n">
        <v>1350</v>
      </c>
    </row>
    <row r="50">
      <c r="A50" s="72">
        <f>$D$22</f>
        <v/>
      </c>
      <c r="B50" s="72">
        <f>B49+1</f>
        <v/>
      </c>
      <c r="C50" s="72">
        <f>IF(K50="Vacant","Vac",IF(K50="Model","Model",IF(K50="Admin","Admin",IF(K50="Down","Down",IF(K50="Super","Super","Occ")))))</f>
        <v/>
      </c>
      <c r="D50" s="72">
        <f>INDEX($C$5:$C$9,MATCH(I50,$D$5:$D$9,0))</f>
        <v/>
      </c>
      <c r="E50" s="72">
        <f>INDEX($E$5:$E$9,MATCH(D50,$C$5:$C$9,0))</f>
        <v/>
      </c>
      <c r="F50" s="72">
        <f>INDEX($F$5:$F$9,MATCH(D50,$C$5:$C$9,0))</f>
        <v/>
      </c>
      <c r="G50" s="72">
        <f>INDEX($G$5:$G$9,MATCH(D50,$C$5:$C$9,0))</f>
        <v/>
      </c>
      <c r="H50" s="72" t="inlineStr">
        <is>
          <t>19</t>
        </is>
      </c>
      <c r="I50" s="72" t="inlineStr">
        <is>
          <t>3 Bed 1.5 Bath</t>
        </is>
      </c>
      <c r="J50" s="80" t="n">
        <v>1334</v>
      </c>
      <c r="K50" s="72" t="inlineStr">
        <is>
          <t>Correa (BEL), Carlin</t>
        </is>
      </c>
      <c r="L50" s="81" t="n">
        <v>1495</v>
      </c>
      <c r="M50" s="81">
        <f>Y50</f>
        <v/>
      </c>
      <c r="N50" s="82" t="n">
        <v>43888</v>
      </c>
      <c r="O50" s="82" t="n">
        <v>43888</v>
      </c>
      <c r="P50" s="82" t="n">
        <v>46568</v>
      </c>
      <c r="R50" s="81">
        <f>SUM(AB50:AB50)</f>
        <v/>
      </c>
      <c r="S50" s="81" t="n">
        <v>0</v>
      </c>
      <c r="T50" s="81" t="n">
        <v>0</v>
      </c>
      <c r="Y50" s="81" t="n">
        <v>1150</v>
      </c>
    </row>
    <row r="51">
      <c r="A51" s="72">
        <f>$D$22</f>
        <v/>
      </c>
      <c r="B51" s="72">
        <f>B50+1</f>
        <v/>
      </c>
      <c r="C51" s="72">
        <f>IF(K51="Vacant","Vac",IF(K51="Model","Model",IF(K51="Admin","Admin",IF(K51="Down","Down",IF(K51="Super","Super","Occ")))))</f>
        <v/>
      </c>
      <c r="D51" s="72">
        <f>INDEX($C$5:$C$9,MATCH(I51,$D$5:$D$9,0))</f>
        <v/>
      </c>
      <c r="E51" s="72">
        <f>INDEX($E$5:$E$9,MATCH(D51,$C$5:$C$9,0))</f>
        <v/>
      </c>
      <c r="F51" s="72">
        <f>INDEX($F$5:$F$9,MATCH(D51,$C$5:$C$9,0))</f>
        <v/>
      </c>
      <c r="G51" s="72">
        <f>INDEX($G$5:$G$9,MATCH(D51,$C$5:$C$9,0))</f>
        <v/>
      </c>
      <c r="H51" s="72" t="inlineStr">
        <is>
          <t>20</t>
        </is>
      </c>
      <c r="I51" s="72" t="inlineStr">
        <is>
          <t>3 Bed 1.5 Bath</t>
        </is>
      </c>
      <c r="J51" s="80" t="n">
        <v>1521</v>
      </c>
      <c r="K51" s="72" t="inlineStr">
        <is>
          <t>Crawford, Lori</t>
        </is>
      </c>
      <c r="L51" s="81" t="n">
        <v>1495</v>
      </c>
      <c r="M51" s="81">
        <f>Y51</f>
        <v/>
      </c>
      <c r="N51" s="82" t="n">
        <v>45565</v>
      </c>
      <c r="O51" s="82" t="n">
        <v>45565</v>
      </c>
      <c r="P51" s="82" t="n">
        <v>46295</v>
      </c>
      <c r="R51" s="81">
        <f>SUM(AB51:AB51)</f>
        <v/>
      </c>
      <c r="S51" s="81" t="n">
        <v>0</v>
      </c>
      <c r="T51" s="81" t="n">
        <v>0</v>
      </c>
      <c r="Y51" s="81" t="n">
        <v>1450</v>
      </c>
      <c r="AB51" s="81" t="n">
        <v>105</v>
      </c>
    </row>
    <row r="52">
      <c r="A52" s="72">
        <f>$D$22</f>
        <v/>
      </c>
      <c r="B52" s="72">
        <f>B51+1</f>
        <v/>
      </c>
      <c r="C52" s="72">
        <f>IF(K52="Vacant","Vac",IF(K52="Model","Model",IF(K52="Admin","Admin",IF(K52="Down","Down",IF(K52="Super","Super","Occ")))))</f>
        <v/>
      </c>
      <c r="D52" s="72">
        <f>INDEX($C$5:$C$9,MATCH(I52,$D$5:$D$9,0))</f>
        <v/>
      </c>
      <c r="E52" s="72">
        <f>INDEX($E$5:$E$9,MATCH(D52,$C$5:$C$9,0))</f>
        <v/>
      </c>
      <c r="F52" s="72">
        <f>INDEX($F$5:$F$9,MATCH(D52,$C$5:$C$9,0))</f>
        <v/>
      </c>
      <c r="G52" s="72">
        <f>INDEX($G$5:$G$9,MATCH(D52,$C$5:$C$9,0))</f>
        <v/>
      </c>
      <c r="H52" s="72" t="inlineStr">
        <is>
          <t>21</t>
        </is>
      </c>
      <c r="I52" s="72" t="inlineStr">
        <is>
          <t>2 Bed 1 Bath</t>
        </is>
      </c>
      <c r="J52" s="80" t="n">
        <v>1334</v>
      </c>
      <c r="K52" s="72" t="inlineStr">
        <is>
          <t>Coffey, Duane</t>
        </is>
      </c>
      <c r="L52" s="81" t="n">
        <v>1325</v>
      </c>
      <c r="M52" s="81">
        <f>Y52</f>
        <v/>
      </c>
      <c r="N52" s="82" t="n">
        <v>40299</v>
      </c>
      <c r="O52" s="82" t="n">
        <v>40299</v>
      </c>
      <c r="P52" s="82" t="n">
        <v>46326</v>
      </c>
      <c r="R52" s="81">
        <f>SUM(AB52:AB52)</f>
        <v/>
      </c>
      <c r="S52" s="81" t="n">
        <v>0</v>
      </c>
      <c r="T52" s="81" t="n">
        <v>0</v>
      </c>
      <c r="Y52" s="81" t="n">
        <v>800</v>
      </c>
    </row>
    <row r="53">
      <c r="A53" s="72">
        <f>$D$22</f>
        <v/>
      </c>
      <c r="B53" s="72">
        <f>B52+1</f>
        <v/>
      </c>
      <c r="C53" s="72">
        <f>IF(K53="Vacant","Vac",IF(K53="Model","Model",IF(K53="Admin","Admin",IF(K53="Down","Down",IF(K53="Super","Super","Occ")))))</f>
        <v/>
      </c>
      <c r="D53" s="72">
        <f>INDEX($C$5:$C$9,MATCH(I53,$D$5:$D$9,0))</f>
        <v/>
      </c>
      <c r="E53" s="72">
        <f>INDEX($E$5:$E$9,MATCH(D53,$C$5:$C$9,0))</f>
        <v/>
      </c>
      <c r="F53" s="72">
        <f>INDEX($F$5:$F$9,MATCH(D53,$C$5:$C$9,0))</f>
        <v/>
      </c>
      <c r="G53" s="72">
        <f>INDEX($G$5:$G$9,MATCH(D53,$C$5:$C$9,0))</f>
        <v/>
      </c>
      <c r="H53" s="72" t="inlineStr">
        <is>
          <t>22</t>
        </is>
      </c>
      <c r="I53" s="72" t="inlineStr">
        <is>
          <t>1 Bed 1 Bath</t>
        </is>
      </c>
      <c r="J53" s="80" t="n">
        <v>1149</v>
      </c>
      <c r="K53" s="72" t="inlineStr">
        <is>
          <t>Miller, Richelle</t>
        </is>
      </c>
      <c r="L53" s="81" t="n">
        <v>1195</v>
      </c>
      <c r="M53" s="81">
        <f>Y53</f>
        <v/>
      </c>
      <c r="N53" s="82" t="n">
        <v>46106</v>
      </c>
      <c r="O53" s="82" t="n">
        <v>46106</v>
      </c>
      <c r="P53" s="82" t="n">
        <v>46477</v>
      </c>
      <c r="R53" s="81">
        <f>SUM(AB53:AB53)</f>
        <v/>
      </c>
      <c r="S53" s="81" t="n">
        <v>0</v>
      </c>
      <c r="T53" s="81" t="n">
        <v>0</v>
      </c>
      <c r="Y53" s="81" t="n">
        <v>1195</v>
      </c>
    </row>
    <row r="54">
      <c r="A54" s="72">
        <f>$D$22</f>
        <v/>
      </c>
      <c r="B54" s="72">
        <f>B53+1</f>
        <v/>
      </c>
      <c r="C54" s="72">
        <f>IF(K54="Vacant","Vac",IF(K54="Model","Model",IF(K54="Admin","Admin",IF(K54="Down","Down",IF(K54="Super","Super","Occ")))))</f>
        <v/>
      </c>
      <c r="D54" s="72">
        <f>INDEX($C$5:$C$9,MATCH(I54,$D$5:$D$9,0))</f>
        <v/>
      </c>
      <c r="E54" s="72">
        <f>INDEX($E$5:$E$9,MATCH(D54,$C$5:$C$9,0))</f>
        <v/>
      </c>
      <c r="F54" s="72">
        <f>INDEX($F$5:$F$9,MATCH(D54,$C$5:$C$9,0))</f>
        <v/>
      </c>
      <c r="G54" s="72">
        <f>INDEX($G$5:$G$9,MATCH(D54,$C$5:$C$9,0))</f>
        <v/>
      </c>
      <c r="H54" s="72" t="inlineStr">
        <is>
          <t>23</t>
        </is>
      </c>
      <c r="I54" s="72" t="inlineStr">
        <is>
          <t>3 Bed/ 1Bath</t>
        </is>
      </c>
      <c r="J54" s="80" t="n">
        <v>1521</v>
      </c>
      <c r="K54" s="72" t="inlineStr">
        <is>
          <t>McDuffie, Adaysha</t>
        </is>
      </c>
      <c r="L54" s="81" t="n">
        <v>1495</v>
      </c>
      <c r="M54" s="81">
        <f>Y54</f>
        <v/>
      </c>
      <c r="N54" s="82" t="n">
        <v>45078</v>
      </c>
      <c r="O54" s="82" t="n">
        <v>45078</v>
      </c>
      <c r="P54" s="82" t="n">
        <v>46173</v>
      </c>
      <c r="R54" s="81">
        <f>SUM(AB54:AB54)</f>
        <v/>
      </c>
      <c r="S54" s="81" t="n">
        <v>0</v>
      </c>
      <c r="T54" s="81" t="n">
        <v>0</v>
      </c>
      <c r="Y54" s="81" t="n">
        <v>1600</v>
      </c>
    </row>
    <row r="55">
      <c r="A55" s="72">
        <f>$D$22</f>
        <v/>
      </c>
      <c r="B55" s="72">
        <f>B54+1</f>
        <v/>
      </c>
      <c r="C55" s="72">
        <f>IF(K55="Vacant","Vac",IF(K55="Model","Model",IF(K55="Admin","Admin",IF(K55="Down","Down",IF(K55="Super","Super","Occ")))))</f>
        <v/>
      </c>
      <c r="D55" s="72">
        <f>INDEX($C$5:$C$9,MATCH(I55,$D$5:$D$9,0))</f>
        <v/>
      </c>
      <c r="E55" s="72">
        <f>INDEX($E$5:$E$9,MATCH(D55,$C$5:$C$9,0))</f>
        <v/>
      </c>
      <c r="F55" s="72">
        <f>INDEX($F$5:$F$9,MATCH(D55,$C$5:$C$9,0))</f>
        <v/>
      </c>
      <c r="G55" s="72">
        <f>INDEX($G$5:$G$9,MATCH(D55,$C$5:$C$9,0))</f>
        <v/>
      </c>
      <c r="H55" s="72" t="inlineStr">
        <is>
          <t>24</t>
        </is>
      </c>
      <c r="I55" s="72" t="inlineStr">
        <is>
          <t>2 Bed 1 Bath</t>
        </is>
      </c>
      <c r="J55" s="80" t="n">
        <v>1334</v>
      </c>
      <c r="K55" s="72" t="inlineStr">
        <is>
          <t>Dandridge, Maria</t>
        </is>
      </c>
      <c r="L55" s="81" t="n">
        <v>1325</v>
      </c>
      <c r="M55" s="81">
        <f>Y55</f>
        <v/>
      </c>
      <c r="N55" s="82" t="n">
        <v>46045</v>
      </c>
      <c r="O55" s="82" t="n">
        <v>46045</v>
      </c>
      <c r="P55" s="82" t="n">
        <v>46418</v>
      </c>
      <c r="R55" s="81">
        <f>SUM(AB55:AB55)</f>
        <v/>
      </c>
      <c r="S55" s="81" t="n">
        <v>0</v>
      </c>
      <c r="T55" s="81" t="n">
        <v>0</v>
      </c>
      <c r="Y55" s="81" t="n">
        <v>1325</v>
      </c>
    </row>
    <row r="56">
      <c r="A56" s="72">
        <f>$D$22</f>
        <v/>
      </c>
      <c r="B56" s="72">
        <f>B55+1</f>
        <v/>
      </c>
      <c r="C56" s="72">
        <f>IF(K56="Vacant","Vac",IF(K56="Model","Model",IF(K56="Admin","Admin",IF(K56="Down","Down",IF(K56="Super","Super","Occ")))))</f>
        <v/>
      </c>
      <c r="D56" s="72">
        <f>INDEX($C$5:$C$9,MATCH(I56,$D$5:$D$9,0))</f>
        <v/>
      </c>
      <c r="E56" s="72">
        <f>INDEX($E$5:$E$9,MATCH(D56,$C$5:$C$9,0))</f>
        <v/>
      </c>
      <c r="F56" s="72">
        <f>INDEX($F$5:$F$9,MATCH(D56,$C$5:$C$9,0))</f>
        <v/>
      </c>
      <c r="G56" s="72">
        <f>INDEX($G$5:$G$9,MATCH(D56,$C$5:$C$9,0))</f>
        <v/>
      </c>
      <c r="H56" s="72" t="inlineStr">
        <is>
          <t>25</t>
        </is>
      </c>
      <c r="I56" s="72" t="inlineStr">
        <is>
          <t>2 Bed 1 Bath</t>
        </is>
      </c>
      <c r="J56" s="80" t="n">
        <v>1334</v>
      </c>
      <c r="K56" s="72" t="inlineStr">
        <is>
          <t>Hudson, Tanya</t>
        </is>
      </c>
      <c r="L56" s="81" t="n">
        <v>1325</v>
      </c>
      <c r="M56" s="81">
        <f>Y56</f>
        <v/>
      </c>
      <c r="N56" s="82" t="n">
        <v>46174</v>
      </c>
      <c r="O56" s="82" t="n">
        <v>46174</v>
      </c>
      <c r="P56" s="82" t="n">
        <v>46538</v>
      </c>
      <c r="R56" s="81">
        <f>SUM(AB56:AB56)</f>
        <v/>
      </c>
      <c r="S56" s="81" t="n">
        <v>0</v>
      </c>
      <c r="T56" s="81" t="n">
        <v>0</v>
      </c>
      <c r="Y56" s="81" t="n">
        <v>1300</v>
      </c>
    </row>
    <row r="57">
      <c r="A57" s="72">
        <f>$D$22</f>
        <v/>
      </c>
      <c r="B57" s="72">
        <f>B56+1</f>
        <v/>
      </c>
      <c r="C57" s="72">
        <f>IF(K57="Vacant","Vac",IF(K57="Model","Model",IF(K57="Admin","Admin",IF(K57="Down","Down",IF(K57="Super","Super","Occ")))))</f>
        <v/>
      </c>
      <c r="D57" s="72">
        <f>INDEX($C$5:$C$9,MATCH(I57,$D$5:$D$9,0))</f>
        <v/>
      </c>
      <c r="E57" s="72">
        <f>INDEX($E$5:$E$9,MATCH(D57,$C$5:$C$9,0))</f>
        <v/>
      </c>
      <c r="F57" s="72">
        <f>INDEX($F$5:$F$9,MATCH(D57,$C$5:$C$9,0))</f>
        <v/>
      </c>
      <c r="G57" s="72">
        <f>INDEX($G$5:$G$9,MATCH(D57,$C$5:$C$9,0))</f>
        <v/>
      </c>
      <c r="H57" s="72" t="inlineStr">
        <is>
          <t>26</t>
        </is>
      </c>
      <c r="I57" s="72" t="inlineStr">
        <is>
          <t>3 Bed/1Bath FP</t>
        </is>
      </c>
      <c r="J57" s="80" t="n">
        <v>1521</v>
      </c>
      <c r="K57" s="72" t="inlineStr">
        <is>
          <t>Cramer, Mary</t>
        </is>
      </c>
      <c r="L57" s="81" t="n">
        <v>1325</v>
      </c>
      <c r="M57" s="81">
        <f>Y57</f>
        <v/>
      </c>
      <c r="N57" s="82" t="n">
        <v>46096</v>
      </c>
      <c r="O57" s="82" t="n">
        <v>46096</v>
      </c>
      <c r="P57" s="82" t="n">
        <v>46477</v>
      </c>
      <c r="R57" s="81">
        <f>SUM(AB57:AB57)</f>
        <v/>
      </c>
      <c r="S57" s="81" t="n">
        <v>0</v>
      </c>
      <c r="T57" s="81" t="n">
        <v>0</v>
      </c>
      <c r="Y57" s="81" t="n">
        <v>1400</v>
      </c>
    </row>
    <row r="58">
      <c r="A58" s="72">
        <f>$D$22</f>
        <v/>
      </c>
      <c r="B58" s="72">
        <f>B57+1</f>
        <v/>
      </c>
      <c r="C58" s="72">
        <f>IF(K58="Vacant","Vac",IF(K58="Model","Model",IF(K58="Admin","Admin",IF(K58="Down","Down",IF(K58="Super","Super","Occ")))))</f>
        <v/>
      </c>
      <c r="D58" s="72">
        <f>INDEX($C$5:$C$9,MATCH(I58,$D$5:$D$9,0))</f>
        <v/>
      </c>
      <c r="E58" s="72">
        <f>INDEX($E$5:$E$9,MATCH(D58,$C$5:$C$9,0))</f>
        <v/>
      </c>
      <c r="F58" s="72">
        <f>INDEX($F$5:$F$9,MATCH(D58,$C$5:$C$9,0))</f>
        <v/>
      </c>
      <c r="G58" s="72">
        <f>INDEX($G$5:$G$9,MATCH(D58,$C$5:$C$9,0))</f>
        <v/>
      </c>
      <c r="H58" s="72" t="inlineStr">
        <is>
          <t>27</t>
        </is>
      </c>
      <c r="I58" s="72" t="inlineStr">
        <is>
          <t>1 Bed 1 Bath</t>
        </is>
      </c>
      <c r="J58" s="80" t="n">
        <v>1149</v>
      </c>
      <c r="K58" s="72" t="inlineStr">
        <is>
          <t>Dittrich, Ashley</t>
        </is>
      </c>
      <c r="L58" s="81" t="n">
        <v>1195</v>
      </c>
      <c r="M58" s="81">
        <f>Y58</f>
        <v/>
      </c>
      <c r="N58" s="82" t="n">
        <v>45258</v>
      </c>
      <c r="O58" s="82" t="n">
        <v>45258</v>
      </c>
      <c r="P58" s="82" t="n">
        <v>46356</v>
      </c>
      <c r="R58" s="81">
        <f>SUM(AB58:AB58)</f>
        <v/>
      </c>
      <c r="S58" s="81" t="n">
        <v>0</v>
      </c>
      <c r="T58" s="81" t="n">
        <v>0</v>
      </c>
      <c r="Y58" s="81" t="n">
        <v>1195</v>
      </c>
    </row>
    <row r="59">
      <c r="A59" s="72">
        <f>$D$22</f>
        <v/>
      </c>
      <c r="B59" s="72">
        <f>B58+1</f>
        <v/>
      </c>
      <c r="C59" s="72">
        <f>IF(K59="Vacant","Vac",IF(K59="Model","Model",IF(K59="Admin","Admin",IF(K59="Down","Down",IF(K59="Super","Super","Occ")))))</f>
        <v/>
      </c>
      <c r="D59" s="72">
        <f>INDEX($C$5:$C$9,MATCH(I59,$D$5:$D$9,0))</f>
        <v/>
      </c>
      <c r="E59" s="72">
        <f>INDEX($E$5:$E$9,MATCH(D59,$C$5:$C$9,0))</f>
        <v/>
      </c>
      <c r="F59" s="72">
        <f>INDEX($F$5:$F$9,MATCH(D59,$C$5:$C$9,0))</f>
        <v/>
      </c>
      <c r="G59" s="72">
        <f>INDEX($G$5:$G$9,MATCH(D59,$C$5:$C$9,0))</f>
        <v/>
      </c>
      <c r="H59" s="72" t="inlineStr">
        <is>
          <t>28</t>
        </is>
      </c>
      <c r="I59" s="72" t="inlineStr">
        <is>
          <t>2 Bed 1 Bath</t>
        </is>
      </c>
      <c r="J59" s="80" t="n">
        <v>1334</v>
      </c>
      <c r="K59" s="72" t="inlineStr">
        <is>
          <t>Pena, Deja</t>
        </is>
      </c>
      <c r="L59" s="81" t="n">
        <v>1325</v>
      </c>
      <c r="M59" s="81">
        <f>Y59</f>
        <v/>
      </c>
      <c r="N59" s="82" t="n">
        <v>43763</v>
      </c>
      <c r="O59" s="82" t="n">
        <v>43763</v>
      </c>
      <c r="P59" s="82" t="n">
        <v>46173</v>
      </c>
      <c r="R59" s="81">
        <f>SUM(AB59:AB59)</f>
        <v/>
      </c>
      <c r="S59" s="81" t="n">
        <v>0</v>
      </c>
      <c r="T59" s="81" t="n">
        <v>0</v>
      </c>
      <c r="Y59" s="81" t="n">
        <v>1150</v>
      </c>
    </row>
    <row r="60">
      <c r="A60" s="72">
        <f>$D$22</f>
        <v/>
      </c>
      <c r="B60" s="72">
        <f>B59+1</f>
        <v/>
      </c>
      <c r="C60" s="72">
        <f>IF(K60="Vacant","Vac",IF(K60="Model","Model",IF(K60="Admin","Admin",IF(K60="Down","Down",IF(K60="Super","Super","Occ")))))</f>
        <v/>
      </c>
      <c r="D60" s="72">
        <f>INDEX($C$5:$C$9,MATCH(I60,$D$5:$D$9,0))</f>
        <v/>
      </c>
      <c r="E60" s="72">
        <f>INDEX($E$5:$E$9,MATCH(D60,$C$5:$C$9,0))</f>
        <v/>
      </c>
      <c r="F60" s="72">
        <f>INDEX($F$5:$F$9,MATCH(D60,$C$5:$C$9,0))</f>
        <v/>
      </c>
      <c r="G60" s="72">
        <f>INDEX($G$5:$G$9,MATCH(D60,$C$5:$C$9,0))</f>
        <v/>
      </c>
      <c r="H60" s="72" t="inlineStr">
        <is>
          <t>29</t>
        </is>
      </c>
      <c r="I60" s="72" t="inlineStr">
        <is>
          <t>2 Bed 1 Bath</t>
        </is>
      </c>
      <c r="J60" s="80" t="n">
        <v>1334</v>
      </c>
      <c r="K60" s="72" t="inlineStr">
        <is>
          <t>Berry (BEL), Delores</t>
        </is>
      </c>
      <c r="L60" s="81" t="n">
        <v>1325</v>
      </c>
      <c r="M60" s="81">
        <f>Y60</f>
        <v/>
      </c>
      <c r="N60" s="82" t="n">
        <v>43419</v>
      </c>
      <c r="O60" s="82" t="n">
        <v>43419</v>
      </c>
      <c r="P60" s="82" t="n">
        <v>46599</v>
      </c>
      <c r="R60" s="81">
        <f>SUM(AB60:AB60)</f>
        <v/>
      </c>
      <c r="S60" s="81" t="n">
        <v>0</v>
      </c>
      <c r="T60" s="81" t="n">
        <v>0</v>
      </c>
      <c r="Y60" s="81" t="n">
        <v>1175</v>
      </c>
      <c r="AB60" s="81" t="n">
        <v>200</v>
      </c>
    </row>
    <row r="61">
      <c r="A61" s="83">
        <f>$D$22</f>
        <v/>
      </c>
      <c r="B61" s="83">
        <f>B60+1</f>
        <v/>
      </c>
      <c r="C61" s="83">
        <f>IF(K61="Vacant","Vac",IF(K61="Model","Model",IF(K61="Admin","Admin",IF(K61="Down","Down",IF(K61="Super","Super","Occ")))))</f>
        <v/>
      </c>
      <c r="D61" s="83">
        <f>INDEX($C$5:$C$9,MATCH(I61,$D$5:$D$9,0))</f>
        <v/>
      </c>
      <c r="E61" s="83">
        <f>INDEX($E$5:$E$9,MATCH(D61,$C$5:$C$9,0))</f>
        <v/>
      </c>
      <c r="F61" s="83">
        <f>INDEX($F$5:$F$9,MATCH(D61,$C$5:$C$9,0))</f>
        <v/>
      </c>
      <c r="G61" s="83">
        <f>INDEX($G$5:$G$9,MATCH(D61,$C$5:$C$9,0))</f>
        <v/>
      </c>
      <c r="H61" s="83" t="inlineStr">
        <is>
          <t>30</t>
        </is>
      </c>
      <c r="I61" s="83" t="inlineStr">
        <is>
          <t>2 Bed 1 Bath</t>
        </is>
      </c>
      <c r="J61" s="84" t="n">
        <v>1334</v>
      </c>
      <c r="K61" s="83" t="inlineStr">
        <is>
          <t>Vacant</t>
        </is>
      </c>
      <c r="L61" s="85" t="n">
        <v>1200</v>
      </c>
      <c r="M61" s="85">
        <f>Y61</f>
        <v/>
      </c>
      <c r="N61" s="86" t="n"/>
      <c r="O61" s="86" t="n"/>
      <c r="P61" s="86" t="n"/>
      <c r="Q61" s="86" t="n"/>
      <c r="R61" s="85">
        <f>SUM(AB61:AB61)</f>
        <v/>
      </c>
      <c r="S61" s="85" t="n">
        <v>0</v>
      </c>
      <c r="T61" s="85" t="n">
        <v>0</v>
      </c>
      <c r="U61" s="86" t="n"/>
      <c r="V61" s="86" t="n"/>
      <c r="W61" s="86" t="n"/>
      <c r="X61" s="86" t="n"/>
      <c r="Y61" s="85" t="n">
        <v>0</v>
      </c>
      <c r="Z61" s="86" t="n"/>
      <c r="AA61" s="86" t="n"/>
      <c r="AB61" s="86" t="n"/>
    </row>
    <row r="62">
      <c r="A62" s="72">
        <f>$D$22</f>
        <v/>
      </c>
      <c r="B62" s="72">
        <f>B61+1</f>
        <v/>
      </c>
      <c r="C62" s="72">
        <f>IF(K62="Vacant","Vac",IF(K62="Model","Model",IF(K62="Admin","Admin",IF(K62="Down","Down",IF(K62="Super","Super","Occ")))))</f>
        <v/>
      </c>
      <c r="D62" s="72">
        <f>INDEX($C$5:$C$9,MATCH(I62,$D$5:$D$9,0))</f>
        <v/>
      </c>
      <c r="E62" s="72">
        <f>INDEX($E$5:$E$9,MATCH(D62,$C$5:$C$9,0))</f>
        <v/>
      </c>
      <c r="F62" s="72">
        <f>INDEX($F$5:$F$9,MATCH(D62,$C$5:$C$9,0))</f>
        <v/>
      </c>
      <c r="G62" s="72">
        <f>INDEX($G$5:$G$9,MATCH(D62,$C$5:$C$9,0))</f>
        <v/>
      </c>
      <c r="H62" s="72" t="inlineStr">
        <is>
          <t>31</t>
        </is>
      </c>
      <c r="I62" s="72" t="inlineStr">
        <is>
          <t>2 Bed 1 Bath</t>
        </is>
      </c>
      <c r="J62" s="80" t="n">
        <v>1334</v>
      </c>
      <c r="K62" s="72" t="inlineStr">
        <is>
          <t>Nemi-Mack (BFNC), Jaiana</t>
        </is>
      </c>
      <c r="L62" s="81" t="n">
        <v>1325</v>
      </c>
      <c r="M62" s="81">
        <f>Y62</f>
        <v/>
      </c>
      <c r="N62" s="82" t="n">
        <v>45945</v>
      </c>
      <c r="O62" s="82" t="n">
        <v>45945</v>
      </c>
      <c r="P62" s="82" t="n">
        <v>46326</v>
      </c>
      <c r="R62" s="81">
        <f>SUM(AB62:AB62)</f>
        <v/>
      </c>
      <c r="S62" s="81" t="n">
        <v>0</v>
      </c>
      <c r="T62" s="81" t="n">
        <v>0</v>
      </c>
      <c r="Y62" s="81" t="n">
        <v>1325</v>
      </c>
    </row>
    <row r="63">
      <c r="A63" s="72">
        <f>$D$22</f>
        <v/>
      </c>
      <c r="B63" s="72">
        <f>B62+1</f>
        <v/>
      </c>
      <c r="C63" s="72">
        <f>IF(K63="Vacant","Vac",IF(K63="Model","Model",IF(K63="Admin","Admin",IF(K63="Down","Down",IF(K63="Super","Super","Occ")))))</f>
        <v/>
      </c>
      <c r="D63" s="72">
        <f>INDEX($C$5:$C$9,MATCH(I63,$D$5:$D$9,0))</f>
        <v/>
      </c>
      <c r="E63" s="72">
        <f>INDEX($E$5:$E$9,MATCH(D63,$C$5:$C$9,0))</f>
        <v/>
      </c>
      <c r="F63" s="72">
        <f>INDEX($F$5:$F$9,MATCH(D63,$C$5:$C$9,0))</f>
        <v/>
      </c>
      <c r="G63" s="72">
        <f>INDEX($G$5:$G$9,MATCH(D63,$C$5:$C$9,0))</f>
        <v/>
      </c>
      <c r="H63" s="72" t="inlineStr">
        <is>
          <t>32</t>
        </is>
      </c>
      <c r="I63" s="72" t="inlineStr">
        <is>
          <t>2 Bed 1 Bath</t>
        </is>
      </c>
      <c r="J63" s="80" t="n">
        <v>1334</v>
      </c>
      <c r="K63" s="72" t="inlineStr">
        <is>
          <t>Parker-Hall, Alma</t>
        </is>
      </c>
      <c r="L63" s="81" t="n">
        <v>1325</v>
      </c>
      <c r="M63" s="81">
        <f>Y63</f>
        <v/>
      </c>
      <c r="N63" s="82" t="n">
        <v>43363</v>
      </c>
      <c r="O63" s="82" t="n">
        <v>43363</v>
      </c>
      <c r="P63" s="82" t="n">
        <v>46142</v>
      </c>
      <c r="R63" s="81">
        <f>SUM(AB63:AB63)</f>
        <v/>
      </c>
      <c r="S63" s="81" t="n">
        <v>0</v>
      </c>
      <c r="T63" s="81" t="n">
        <v>0</v>
      </c>
      <c r="Y63" s="81" t="n">
        <v>1000</v>
      </c>
    </row>
    <row r="64">
      <c r="A64" s="72">
        <f>$D$22</f>
        <v/>
      </c>
      <c r="B64" s="72">
        <f>B63+1</f>
        <v/>
      </c>
      <c r="C64" s="72">
        <f>IF(K64="Vacant","Vac",IF(K64="Model","Model",IF(K64="Admin","Admin",IF(K64="Down","Down",IF(K64="Super","Super","Occ")))))</f>
        <v/>
      </c>
      <c r="D64" s="72">
        <f>INDEX($C$5:$C$9,MATCH(I64,$D$5:$D$9,0))</f>
        <v/>
      </c>
      <c r="E64" s="72">
        <f>INDEX($E$5:$E$9,MATCH(D64,$C$5:$C$9,0))</f>
        <v/>
      </c>
      <c r="F64" s="72">
        <f>INDEX($F$5:$F$9,MATCH(D64,$C$5:$C$9,0))</f>
        <v/>
      </c>
      <c r="G64" s="72">
        <f>INDEX($G$5:$G$9,MATCH(D64,$C$5:$C$9,0))</f>
        <v/>
      </c>
      <c r="H64" s="72" t="inlineStr">
        <is>
          <t>33</t>
        </is>
      </c>
      <c r="I64" s="72" t="inlineStr">
        <is>
          <t>2 Bed 1 Bath</t>
        </is>
      </c>
      <c r="J64" s="80" t="n">
        <v>1334</v>
      </c>
      <c r="K64" s="72" t="inlineStr">
        <is>
          <t>Alexander, Jennell</t>
        </is>
      </c>
      <c r="L64" s="81" t="n">
        <v>1325</v>
      </c>
      <c r="M64" s="81">
        <f>Y64</f>
        <v/>
      </c>
      <c r="N64" s="82" t="n">
        <v>43195</v>
      </c>
      <c r="O64" s="82" t="n">
        <v>43195</v>
      </c>
      <c r="P64" s="82" t="n">
        <v>46507</v>
      </c>
      <c r="R64" s="81">
        <f>SUM(AB64:AB64)</f>
        <v/>
      </c>
      <c r="S64" s="81" t="n">
        <v>0</v>
      </c>
      <c r="T64" s="81" t="n">
        <v>0</v>
      </c>
      <c r="Y64" s="81" t="n">
        <v>1050</v>
      </c>
    </row>
    <row r="65">
      <c r="A65" s="72">
        <f>$D$22</f>
        <v/>
      </c>
      <c r="B65" s="72">
        <f>B64+1</f>
        <v/>
      </c>
      <c r="C65" s="72">
        <f>IF(K65="Vacant","Vac",IF(K65="Model","Model",IF(K65="Admin","Admin",IF(K65="Down","Down",IF(K65="Super","Super","Occ")))))</f>
        <v/>
      </c>
      <c r="D65" s="72">
        <f>INDEX($C$5:$C$9,MATCH(I65,$D$5:$D$9,0))</f>
        <v/>
      </c>
      <c r="E65" s="72">
        <f>INDEX($E$5:$E$9,MATCH(D65,$C$5:$C$9,0))</f>
        <v/>
      </c>
      <c r="F65" s="72">
        <f>INDEX($F$5:$F$9,MATCH(D65,$C$5:$C$9,0))</f>
        <v/>
      </c>
      <c r="G65" s="72">
        <f>INDEX($G$5:$G$9,MATCH(D65,$C$5:$C$9,0))</f>
        <v/>
      </c>
      <c r="H65" s="72" t="inlineStr">
        <is>
          <t>34</t>
        </is>
      </c>
      <c r="I65" s="72" t="inlineStr">
        <is>
          <t>2 Bed 1 Bath</t>
        </is>
      </c>
      <c r="J65" s="80" t="n">
        <v>1334</v>
      </c>
      <c r="K65" s="72" t="inlineStr">
        <is>
          <t>Colon (BMHA), Jami'lis</t>
        </is>
      </c>
      <c r="L65" s="81" t="n">
        <v>1325</v>
      </c>
      <c r="M65" s="81">
        <f>Y65</f>
        <v/>
      </c>
      <c r="N65" s="82" t="n">
        <v>42614</v>
      </c>
      <c r="O65" s="82" t="n">
        <v>42614</v>
      </c>
      <c r="P65" s="82" t="n">
        <v>45900</v>
      </c>
      <c r="R65" s="81">
        <f>SUM(AB65:AB65)</f>
        <v/>
      </c>
      <c r="S65" s="81" t="n">
        <v>0</v>
      </c>
      <c r="T65" s="81" t="n">
        <v>0</v>
      </c>
      <c r="Y65" s="81" t="n">
        <v>950</v>
      </c>
    </row>
    <row r="66">
      <c r="A66" s="72">
        <f>$D$22</f>
        <v/>
      </c>
      <c r="B66" s="72">
        <f>B65+1</f>
        <v/>
      </c>
      <c r="C66" s="72">
        <f>IF(K66="Vacant","Vac",IF(K66="Model","Model",IF(K66="Admin","Admin",IF(K66="Down","Down",IF(K66="Super","Super","Occ")))))</f>
        <v/>
      </c>
      <c r="D66" s="72">
        <f>INDEX($C$5:$C$9,MATCH(I66,$D$5:$D$9,0))</f>
        <v/>
      </c>
      <c r="E66" s="72">
        <f>INDEX($E$5:$E$9,MATCH(D66,$C$5:$C$9,0))</f>
        <v/>
      </c>
      <c r="F66" s="72">
        <f>INDEX($F$5:$F$9,MATCH(D66,$C$5:$C$9,0))</f>
        <v/>
      </c>
      <c r="G66" s="72">
        <f>INDEX($G$5:$G$9,MATCH(D66,$C$5:$C$9,0))</f>
        <v/>
      </c>
      <c r="H66" s="72" t="inlineStr">
        <is>
          <t>35</t>
        </is>
      </c>
      <c r="I66" s="72" t="inlineStr">
        <is>
          <t>2 Bed 1 Bath</t>
        </is>
      </c>
      <c r="J66" s="80" t="n">
        <v>1334</v>
      </c>
      <c r="K66" s="72" t="inlineStr">
        <is>
          <t>Santiago (RACB), Maria</t>
        </is>
      </c>
      <c r="L66" s="81" t="n">
        <v>1325</v>
      </c>
      <c r="M66" s="81">
        <f>Y66</f>
        <v/>
      </c>
      <c r="N66" s="82" t="n">
        <v>38777</v>
      </c>
      <c r="O66" s="82" t="n">
        <v>38777</v>
      </c>
      <c r="P66" s="82" t="n">
        <v>46446</v>
      </c>
      <c r="R66" s="81">
        <f>SUM(AB66:AB66)</f>
        <v/>
      </c>
      <c r="S66" s="81" t="n">
        <v>0</v>
      </c>
      <c r="T66" s="81" t="n">
        <v>0</v>
      </c>
      <c r="Y66" s="81" t="n">
        <v>1050</v>
      </c>
      <c r="AB66" s="81" t="n">
        <v>50</v>
      </c>
    </row>
    <row r="67">
      <c r="A67" s="72">
        <f>$D$22</f>
        <v/>
      </c>
      <c r="B67" s="72">
        <f>B66+1</f>
        <v/>
      </c>
      <c r="C67" s="72">
        <f>IF(K67="Vacant","Vac",IF(K67="Model","Model",IF(K67="Admin","Admin",IF(K67="Down","Down",IF(K67="Super","Super","Occ")))))</f>
        <v/>
      </c>
      <c r="D67" s="72">
        <f>INDEX($C$5:$C$9,MATCH(I67,$D$5:$D$9,0))</f>
        <v/>
      </c>
      <c r="E67" s="72">
        <f>INDEX($E$5:$E$9,MATCH(D67,$C$5:$C$9,0))</f>
        <v/>
      </c>
      <c r="F67" s="72">
        <f>INDEX($F$5:$F$9,MATCH(D67,$C$5:$C$9,0))</f>
        <v/>
      </c>
      <c r="G67" s="72">
        <f>INDEX($G$5:$G$9,MATCH(D67,$C$5:$C$9,0))</f>
        <v/>
      </c>
      <c r="H67" s="72" t="inlineStr">
        <is>
          <t>36</t>
        </is>
      </c>
      <c r="I67" s="72" t="inlineStr">
        <is>
          <t>3 Bed/ 1Bath</t>
        </is>
      </c>
      <c r="J67" s="80" t="n">
        <v>1521</v>
      </c>
      <c r="K67" s="72" t="inlineStr">
        <is>
          <t>Mangier Parra, Luis</t>
        </is>
      </c>
      <c r="L67" s="81" t="n">
        <v>1475</v>
      </c>
      <c r="M67" s="81">
        <f>Y67</f>
        <v/>
      </c>
      <c r="N67" s="82" t="n">
        <v>45328</v>
      </c>
      <c r="O67" s="82" t="n">
        <v>45328</v>
      </c>
      <c r="P67" s="82" t="n">
        <v>46446</v>
      </c>
      <c r="R67" s="81">
        <f>SUM(AB67:AB67)</f>
        <v/>
      </c>
      <c r="S67" s="81" t="n">
        <v>0</v>
      </c>
      <c r="T67" s="81" t="n">
        <v>0</v>
      </c>
      <c r="Y67" s="81" t="n">
        <v>1375</v>
      </c>
    </row>
    <row r="68">
      <c r="A68" s="72">
        <f>$D$22</f>
        <v/>
      </c>
      <c r="B68" s="72">
        <f>B67+1</f>
        <v/>
      </c>
      <c r="C68" s="72">
        <f>IF(K68="Vacant","Vac",IF(K68="Model","Model",IF(K68="Admin","Admin",IF(K68="Down","Down",IF(K68="Super","Super","Occ")))))</f>
        <v/>
      </c>
      <c r="D68" s="72">
        <f>INDEX($C$5:$C$9,MATCH(I68,$D$5:$D$9,0))</f>
        <v/>
      </c>
      <c r="E68" s="72">
        <f>INDEX($E$5:$E$9,MATCH(D68,$C$5:$C$9,0))</f>
        <v/>
      </c>
      <c r="F68" s="72">
        <f>INDEX($F$5:$F$9,MATCH(D68,$C$5:$C$9,0))</f>
        <v/>
      </c>
      <c r="G68" s="72">
        <f>INDEX($G$5:$G$9,MATCH(D68,$C$5:$C$9,0))</f>
        <v/>
      </c>
      <c r="H68" s="72" t="inlineStr">
        <is>
          <t>37</t>
        </is>
      </c>
      <c r="I68" s="72" t="inlineStr">
        <is>
          <t>1 Bed 1 Bath</t>
        </is>
      </c>
      <c r="J68" s="80" t="n">
        <v>1149</v>
      </c>
      <c r="K68" s="72" t="inlineStr">
        <is>
          <t>Kennelly, Brooke</t>
        </is>
      </c>
      <c r="L68" s="81" t="n">
        <v>1195</v>
      </c>
      <c r="M68" s="81">
        <f>Y68</f>
        <v/>
      </c>
      <c r="N68" s="82" t="n">
        <v>46193</v>
      </c>
      <c r="O68" s="82" t="n">
        <v>46193</v>
      </c>
      <c r="P68" s="82" t="n">
        <v>46568</v>
      </c>
      <c r="R68" s="81">
        <f>SUM(AB68:AB68)</f>
        <v/>
      </c>
      <c r="S68" s="81" t="n">
        <v>0</v>
      </c>
      <c r="T68" s="81" t="n">
        <v>0</v>
      </c>
      <c r="Y68" s="81" t="n">
        <v>1150</v>
      </c>
    </row>
    <row r="69">
      <c r="A69" s="72">
        <f>$D$22</f>
        <v/>
      </c>
      <c r="B69" s="72">
        <f>B68+1</f>
        <v/>
      </c>
      <c r="C69" s="72">
        <f>IF(K69="Vacant","Vac",IF(K69="Model","Model",IF(K69="Admin","Admin",IF(K69="Down","Down",IF(K69="Super","Super","Occ")))))</f>
        <v/>
      </c>
      <c r="D69" s="72">
        <f>INDEX($C$5:$C$9,MATCH(I69,$D$5:$D$9,0))</f>
        <v/>
      </c>
      <c r="E69" s="72">
        <f>INDEX($E$5:$E$9,MATCH(D69,$C$5:$C$9,0))</f>
        <v/>
      </c>
      <c r="F69" s="72">
        <f>INDEX($F$5:$F$9,MATCH(D69,$C$5:$C$9,0))</f>
        <v/>
      </c>
      <c r="G69" s="72">
        <f>INDEX($G$5:$G$9,MATCH(D69,$C$5:$C$9,0))</f>
        <v/>
      </c>
      <c r="H69" s="72" t="inlineStr">
        <is>
          <t>38</t>
        </is>
      </c>
      <c r="I69" s="72" t="inlineStr">
        <is>
          <t>2 Bed 1 Bath</t>
        </is>
      </c>
      <c r="J69" s="80" t="n">
        <v>1334</v>
      </c>
      <c r="K69" s="72" t="inlineStr">
        <is>
          <t>Brown, Katlyn</t>
        </is>
      </c>
      <c r="L69" s="81" t="n">
        <v>1325</v>
      </c>
      <c r="M69" s="81">
        <f>Y69</f>
        <v/>
      </c>
      <c r="N69" s="82" t="n">
        <v>46143</v>
      </c>
      <c r="O69" s="82" t="n">
        <v>46143</v>
      </c>
      <c r="P69" s="82" t="n">
        <v>46507</v>
      </c>
      <c r="R69" s="81">
        <f>SUM(AB69:AB69)</f>
        <v/>
      </c>
      <c r="S69" s="81" t="n">
        <v>0</v>
      </c>
      <c r="T69" s="81" t="n">
        <v>0</v>
      </c>
      <c r="Y69" s="81" t="n">
        <v>1275</v>
      </c>
    </row>
    <row r="70">
      <c r="A70" s="72">
        <f>$D$22</f>
        <v/>
      </c>
      <c r="B70" s="72">
        <f>B69+1</f>
        <v/>
      </c>
      <c r="C70" s="72">
        <f>IF(K70="Vacant","Vac",IF(K70="Model","Model",IF(K70="Admin","Admin",IF(K70="Down","Down",IF(K70="Super","Super","Occ")))))</f>
        <v/>
      </c>
      <c r="D70" s="72">
        <f>INDEX($C$5:$C$9,MATCH(I70,$D$5:$D$9,0))</f>
        <v/>
      </c>
      <c r="E70" s="72">
        <f>INDEX($E$5:$E$9,MATCH(D70,$C$5:$C$9,0))</f>
        <v/>
      </c>
      <c r="F70" s="72">
        <f>INDEX($F$5:$F$9,MATCH(D70,$C$5:$C$9,0))</f>
        <v/>
      </c>
      <c r="G70" s="72">
        <f>INDEX($G$5:$G$9,MATCH(D70,$C$5:$C$9,0))</f>
        <v/>
      </c>
      <c r="H70" s="72" t="inlineStr">
        <is>
          <t>39</t>
        </is>
      </c>
      <c r="I70" s="72" t="inlineStr">
        <is>
          <t>3 Bed 1.5 Bath</t>
        </is>
      </c>
      <c r="J70" s="80" t="n">
        <v>1521</v>
      </c>
      <c r="K70" s="72" t="inlineStr">
        <is>
          <t>Lopez (RACB), Chantel</t>
        </is>
      </c>
      <c r="L70" s="81" t="n">
        <v>1495</v>
      </c>
      <c r="M70" s="81">
        <f>Y70</f>
        <v/>
      </c>
      <c r="N70" s="82" t="n">
        <v>46113</v>
      </c>
      <c r="O70" s="82" t="n">
        <v>46113</v>
      </c>
      <c r="P70" s="82" t="n">
        <v>46507</v>
      </c>
      <c r="R70" s="81">
        <f>SUM(AB70:AB70)</f>
        <v/>
      </c>
      <c r="S70" s="81" t="n">
        <v>0</v>
      </c>
      <c r="T70" s="81" t="n">
        <v>0</v>
      </c>
      <c r="Y70" s="81" t="n">
        <v>1400</v>
      </c>
    </row>
    <row r="71">
      <c r="A71" s="72">
        <f>$D$22</f>
        <v/>
      </c>
      <c r="B71" s="72">
        <f>B70+1</f>
        <v/>
      </c>
      <c r="C71" s="72">
        <f>IF(K71="Vacant","Vac",IF(K71="Model","Model",IF(K71="Admin","Admin",IF(K71="Down","Down",IF(K71="Super","Super","Occ")))))</f>
        <v/>
      </c>
      <c r="D71" s="72">
        <f>INDEX($C$5:$C$9,MATCH(I71,$D$5:$D$9,0))</f>
        <v/>
      </c>
      <c r="E71" s="72">
        <f>INDEX($E$5:$E$9,MATCH(D71,$C$5:$C$9,0))</f>
        <v/>
      </c>
      <c r="F71" s="72">
        <f>INDEX($F$5:$F$9,MATCH(D71,$C$5:$C$9,0))</f>
        <v/>
      </c>
      <c r="G71" s="72">
        <f>INDEX($G$5:$G$9,MATCH(D71,$C$5:$C$9,0))</f>
        <v/>
      </c>
      <c r="H71" s="72" t="inlineStr">
        <is>
          <t>40</t>
        </is>
      </c>
      <c r="I71" s="72" t="inlineStr">
        <is>
          <t>3 Bed 1.5 Bath</t>
        </is>
      </c>
      <c r="J71" s="80" t="n">
        <v>1521</v>
      </c>
      <c r="K71" s="72" t="inlineStr">
        <is>
          <t>Falcon, Alejandra</t>
        </is>
      </c>
      <c r="L71" s="81" t="n">
        <v>1495</v>
      </c>
      <c r="M71" s="81">
        <f>Y71</f>
        <v/>
      </c>
      <c r="N71" s="82" t="n">
        <v>45443</v>
      </c>
      <c r="O71" s="82" t="n">
        <v>45443</v>
      </c>
      <c r="P71" s="82" t="n">
        <v>46203</v>
      </c>
      <c r="R71" s="81">
        <f>SUM(AB71:AB71)</f>
        <v/>
      </c>
      <c r="S71" s="81" t="n">
        <v>0</v>
      </c>
      <c r="T71" s="81" t="n">
        <v>0</v>
      </c>
      <c r="Y71" s="81" t="n">
        <v>1500</v>
      </c>
    </row>
    <row r="72">
      <c r="A72" s="72">
        <f>$D$22</f>
        <v/>
      </c>
      <c r="B72" s="72">
        <f>B71+1</f>
        <v/>
      </c>
      <c r="C72" s="72">
        <f>IF(K72="Vacant","Vac",IF(K72="Model","Model",IF(K72="Admin","Admin",IF(K72="Down","Down",IF(K72="Super","Super","Occ")))))</f>
        <v/>
      </c>
      <c r="D72" s="72">
        <f>INDEX($C$5:$C$9,MATCH(I72,$D$5:$D$9,0))</f>
        <v/>
      </c>
      <c r="E72" s="72">
        <f>INDEX($E$5:$E$9,MATCH(D72,$C$5:$C$9,0))</f>
        <v/>
      </c>
      <c r="F72" s="72">
        <f>INDEX($F$5:$F$9,MATCH(D72,$C$5:$C$9,0))</f>
        <v/>
      </c>
      <c r="G72" s="72">
        <f>INDEX($G$5:$G$9,MATCH(D72,$C$5:$C$9,0))</f>
        <v/>
      </c>
      <c r="H72" s="72" t="inlineStr">
        <is>
          <t>41</t>
        </is>
      </c>
      <c r="I72" s="72" t="inlineStr">
        <is>
          <t>2 Bed 1 Bath</t>
        </is>
      </c>
      <c r="J72" s="80" t="n">
        <v>1334</v>
      </c>
      <c r="K72" s="72" t="inlineStr">
        <is>
          <t>Beasley/Solomon, Christine/Dorothy</t>
        </is>
      </c>
      <c r="L72" s="81" t="n">
        <v>1325</v>
      </c>
      <c r="M72" s="81">
        <f>Y72</f>
        <v/>
      </c>
      <c r="N72" s="82" t="n">
        <v>37987</v>
      </c>
      <c r="O72" s="82" t="n">
        <v>37987</v>
      </c>
      <c r="P72" s="82" t="n">
        <v>46265</v>
      </c>
      <c r="R72" s="81">
        <f>SUM(AB72:AB72)</f>
        <v/>
      </c>
      <c r="S72" s="81" t="n">
        <v>0</v>
      </c>
      <c r="T72" s="81" t="n">
        <v>0</v>
      </c>
      <c r="Y72" s="81" t="n">
        <v>1200</v>
      </c>
      <c r="AB72" s="81" t="n">
        <v>200</v>
      </c>
    </row>
    <row r="73">
      <c r="A73" s="72">
        <f>$D$22</f>
        <v/>
      </c>
      <c r="B73" s="72">
        <f>B72+1</f>
        <v/>
      </c>
      <c r="C73" s="72">
        <f>IF(K73="Vacant","Vac",IF(K73="Model","Model",IF(K73="Admin","Admin",IF(K73="Down","Down",IF(K73="Super","Super","Occ")))))</f>
        <v/>
      </c>
      <c r="D73" s="72">
        <f>INDEX($C$5:$C$9,MATCH(I73,$D$5:$D$9,0))</f>
        <v/>
      </c>
      <c r="E73" s="72">
        <f>INDEX($E$5:$E$9,MATCH(D73,$C$5:$C$9,0))</f>
        <v/>
      </c>
      <c r="F73" s="72">
        <f>INDEX($F$5:$F$9,MATCH(D73,$C$5:$C$9,0))</f>
        <v/>
      </c>
      <c r="G73" s="72">
        <f>INDEX($G$5:$G$9,MATCH(D73,$C$5:$C$9,0))</f>
        <v/>
      </c>
      <c r="H73" s="72" t="inlineStr">
        <is>
          <t>42</t>
        </is>
      </c>
      <c r="I73" s="72" t="inlineStr">
        <is>
          <t>2 Bed 1 Bath</t>
        </is>
      </c>
      <c r="J73" s="80" t="n">
        <v>1334</v>
      </c>
      <c r="K73" s="72" t="inlineStr">
        <is>
          <t>Lozada, Jessica</t>
        </is>
      </c>
      <c r="L73" s="81" t="n">
        <v>1325</v>
      </c>
      <c r="M73" s="81">
        <f>Y73</f>
        <v/>
      </c>
      <c r="N73" s="82" t="n">
        <v>40770</v>
      </c>
      <c r="O73" s="82" t="n">
        <v>40770</v>
      </c>
      <c r="P73" s="82" t="n">
        <v>46630</v>
      </c>
      <c r="R73" s="81">
        <f>SUM(AB73:AB73)</f>
        <v/>
      </c>
      <c r="S73" s="81" t="n">
        <v>0</v>
      </c>
      <c r="T73" s="81" t="n">
        <v>0</v>
      </c>
      <c r="Y73" s="81" t="n">
        <v>1250</v>
      </c>
    </row>
    <row r="74">
      <c r="A74" s="72">
        <f>$D$22</f>
        <v/>
      </c>
      <c r="B74" s="72">
        <f>B73+1</f>
        <v/>
      </c>
      <c r="C74" s="72">
        <f>IF(K74="Vacant","Vac",IF(K74="Model","Model",IF(K74="Admin","Admin",IF(K74="Down","Down",IF(K74="Super","Super","Occ")))))</f>
        <v/>
      </c>
      <c r="D74" s="72">
        <f>INDEX($C$5:$C$9,MATCH(I74,$D$5:$D$9,0))</f>
        <v/>
      </c>
      <c r="E74" s="72">
        <f>INDEX($E$5:$E$9,MATCH(D74,$C$5:$C$9,0))</f>
        <v/>
      </c>
      <c r="F74" s="72">
        <f>INDEX($F$5:$F$9,MATCH(D74,$C$5:$C$9,0))</f>
        <v/>
      </c>
      <c r="G74" s="72">
        <f>INDEX($G$5:$G$9,MATCH(D74,$C$5:$C$9,0))</f>
        <v/>
      </c>
      <c r="H74" s="72" t="inlineStr">
        <is>
          <t>43</t>
        </is>
      </c>
      <c r="I74" s="72" t="inlineStr">
        <is>
          <t>2 Bed 1 Bath</t>
        </is>
      </c>
      <c r="J74" s="80" t="n">
        <v>1334</v>
      </c>
      <c r="K74" s="72" t="inlineStr">
        <is>
          <t>Ridgeway, Jayce</t>
        </is>
      </c>
      <c r="L74" s="81" t="n">
        <v>1325</v>
      </c>
      <c r="M74" s="81">
        <f>Y74</f>
        <v/>
      </c>
      <c r="N74" s="82" t="n">
        <v>46127</v>
      </c>
      <c r="O74" s="82" t="n">
        <v>46127</v>
      </c>
      <c r="P74" s="82" t="n">
        <v>46507</v>
      </c>
      <c r="R74" s="81">
        <f>SUM(AB74:AB74)</f>
        <v/>
      </c>
      <c r="S74" s="81" t="n">
        <v>0</v>
      </c>
      <c r="T74" s="81" t="n">
        <v>0</v>
      </c>
      <c r="Y74" s="81" t="n">
        <v>1300</v>
      </c>
    </row>
    <row r="75">
      <c r="A75" s="72">
        <f>$D$22</f>
        <v/>
      </c>
      <c r="B75" s="72">
        <f>B74+1</f>
        <v/>
      </c>
      <c r="C75" s="72">
        <f>IF(K75="Vacant","Vac",IF(K75="Model","Model",IF(K75="Admin","Admin",IF(K75="Down","Down",IF(K75="Super","Super","Occ")))))</f>
        <v/>
      </c>
      <c r="D75" s="72">
        <f>INDEX($C$5:$C$9,MATCH(I75,$D$5:$D$9,0))</f>
        <v/>
      </c>
      <c r="E75" s="72">
        <f>INDEX($E$5:$E$9,MATCH(D75,$C$5:$C$9,0))</f>
        <v/>
      </c>
      <c r="F75" s="72">
        <f>INDEX($F$5:$F$9,MATCH(D75,$C$5:$C$9,0))</f>
        <v/>
      </c>
      <c r="G75" s="72">
        <f>INDEX($G$5:$G$9,MATCH(D75,$C$5:$C$9,0))</f>
        <v/>
      </c>
      <c r="H75" s="72" t="inlineStr">
        <is>
          <t>44</t>
        </is>
      </c>
      <c r="I75" s="72" t="inlineStr">
        <is>
          <t>2 Bed 1 Bath</t>
        </is>
      </c>
      <c r="J75" s="80" t="n">
        <v>1334</v>
      </c>
      <c r="K75" s="72" t="inlineStr">
        <is>
          <t>Jefferson (BEL), Kenneth</t>
        </is>
      </c>
      <c r="L75" s="81" t="n">
        <v>1325</v>
      </c>
      <c r="M75" s="81">
        <f>Y75</f>
        <v/>
      </c>
      <c r="N75" s="82" t="n">
        <v>45331</v>
      </c>
      <c r="O75" s="82" t="n">
        <v>45331</v>
      </c>
      <c r="P75" s="82" t="n">
        <v>46446</v>
      </c>
      <c r="R75" s="81">
        <f>SUM(AB75:AB75)</f>
        <v/>
      </c>
      <c r="S75" s="81" t="n">
        <v>0</v>
      </c>
      <c r="T75" s="81" t="n">
        <v>0</v>
      </c>
      <c r="Y75" s="81" t="n">
        <v>1198</v>
      </c>
    </row>
    <row r="76">
      <c r="A76" s="72">
        <f>$D$22</f>
        <v/>
      </c>
      <c r="B76" s="72">
        <f>B75+1</f>
        <v/>
      </c>
      <c r="C76" s="72">
        <f>IF(K76="Vacant","Vac",IF(K76="Model","Model",IF(K76="Admin","Admin",IF(K76="Down","Down",IF(K76="Super","Super","Occ")))))</f>
        <v/>
      </c>
      <c r="D76" s="72">
        <f>INDEX($C$5:$C$9,MATCH(I76,$D$5:$D$9,0))</f>
        <v/>
      </c>
      <c r="E76" s="72">
        <f>INDEX($E$5:$E$9,MATCH(D76,$C$5:$C$9,0))</f>
        <v/>
      </c>
      <c r="F76" s="72">
        <f>INDEX($F$5:$F$9,MATCH(D76,$C$5:$C$9,0))</f>
        <v/>
      </c>
      <c r="G76" s="72">
        <f>INDEX($G$5:$G$9,MATCH(D76,$C$5:$C$9,0))</f>
        <v/>
      </c>
      <c r="H76" s="72" t="inlineStr">
        <is>
          <t>45</t>
        </is>
      </c>
      <c r="I76" s="72" t="inlineStr">
        <is>
          <t>2 Bed 1 Bath</t>
        </is>
      </c>
      <c r="J76" s="80" t="n">
        <v>1334</v>
      </c>
      <c r="K76" s="72" t="inlineStr">
        <is>
          <t>Bowens, Dana</t>
        </is>
      </c>
      <c r="L76" s="81" t="n">
        <v>1325</v>
      </c>
      <c r="M76" s="81">
        <f>Y76</f>
        <v/>
      </c>
      <c r="N76" s="82" t="n">
        <v>42551</v>
      </c>
      <c r="O76" s="82" t="n">
        <v>42551</v>
      </c>
      <c r="P76" s="82" t="n">
        <v>46568</v>
      </c>
      <c r="R76" s="81">
        <f>SUM(AB76:AB76)</f>
        <v/>
      </c>
      <c r="S76" s="81" t="n">
        <v>0</v>
      </c>
      <c r="T76" s="81" t="n">
        <v>0</v>
      </c>
      <c r="Y76" s="81" t="n">
        <v>1125</v>
      </c>
    </row>
    <row r="77">
      <c r="A77" s="72">
        <f>$D$22</f>
        <v/>
      </c>
      <c r="B77" s="72">
        <f>B76+1</f>
        <v/>
      </c>
      <c r="C77" s="72">
        <f>IF(K77="Vacant","Vac",IF(K77="Model","Model",IF(K77="Admin","Admin",IF(K77="Down","Down",IF(K77="Super","Super","Occ")))))</f>
        <v/>
      </c>
      <c r="D77" s="72">
        <f>INDEX($C$5:$C$9,MATCH(I77,$D$5:$D$9,0))</f>
        <v/>
      </c>
      <c r="E77" s="72">
        <f>INDEX($E$5:$E$9,MATCH(D77,$C$5:$C$9,0))</f>
        <v/>
      </c>
      <c r="F77" s="72">
        <f>INDEX($F$5:$F$9,MATCH(D77,$C$5:$C$9,0))</f>
        <v/>
      </c>
      <c r="G77" s="72">
        <f>INDEX($G$5:$G$9,MATCH(D77,$C$5:$C$9,0))</f>
        <v/>
      </c>
      <c r="H77" s="72" t="inlineStr">
        <is>
          <t>46</t>
        </is>
      </c>
      <c r="I77" s="72" t="inlineStr">
        <is>
          <t>2 Bed 1 Bath</t>
        </is>
      </c>
      <c r="J77" s="80" t="n">
        <v>1334</v>
      </c>
      <c r="K77" s="72" t="inlineStr">
        <is>
          <t>Thurman, Tyler</t>
        </is>
      </c>
      <c r="L77" s="81" t="n">
        <v>1325</v>
      </c>
      <c r="M77" s="81">
        <f>Y77</f>
        <v/>
      </c>
      <c r="N77" s="82" t="n">
        <v>46111</v>
      </c>
      <c r="O77" s="82" t="n">
        <v>46111</v>
      </c>
      <c r="P77" s="82" t="n">
        <v>46477</v>
      </c>
      <c r="R77" s="81">
        <f>SUM(AB77:AB77)</f>
        <v/>
      </c>
      <c r="S77" s="81" t="n">
        <v>0</v>
      </c>
      <c r="T77" s="81" t="n">
        <v>0</v>
      </c>
      <c r="Y77" s="81" t="n">
        <v>1325</v>
      </c>
    </row>
    <row r="78">
      <c r="A78" s="72">
        <f>$D$22</f>
        <v/>
      </c>
      <c r="B78" s="72">
        <f>B77+1</f>
        <v/>
      </c>
      <c r="C78" s="72">
        <f>IF(K78="Vacant","Vac",IF(K78="Model","Model",IF(K78="Admin","Admin",IF(K78="Down","Down",IF(K78="Super","Super","Occ")))))</f>
        <v/>
      </c>
      <c r="D78" s="72">
        <f>INDEX($C$5:$C$9,MATCH(I78,$D$5:$D$9,0))</f>
        <v/>
      </c>
      <c r="E78" s="72">
        <f>INDEX($E$5:$E$9,MATCH(D78,$C$5:$C$9,0))</f>
        <v/>
      </c>
      <c r="F78" s="72">
        <f>INDEX($F$5:$F$9,MATCH(D78,$C$5:$C$9,0))</f>
        <v/>
      </c>
      <c r="G78" s="72">
        <f>INDEX($G$5:$G$9,MATCH(D78,$C$5:$C$9,0))</f>
        <v/>
      </c>
      <c r="H78" s="72" t="inlineStr">
        <is>
          <t>47</t>
        </is>
      </c>
      <c r="I78" s="72" t="inlineStr">
        <is>
          <t>2 Bed 1 Bath</t>
        </is>
      </c>
      <c r="J78" s="80" t="n">
        <v>1334</v>
      </c>
      <c r="K78" s="72" t="inlineStr">
        <is>
          <t>Hampton, Kayla</t>
        </is>
      </c>
      <c r="L78" s="81" t="n">
        <v>1325</v>
      </c>
      <c r="M78" s="81">
        <f>Y78</f>
        <v/>
      </c>
      <c r="N78" s="82" t="n">
        <v>46113</v>
      </c>
      <c r="O78" s="82" t="n">
        <v>46113</v>
      </c>
      <c r="P78" s="82" t="n">
        <v>46477</v>
      </c>
      <c r="R78" s="81">
        <f>SUM(AB78:AB78)</f>
        <v/>
      </c>
      <c r="S78" s="81" t="n">
        <v>0</v>
      </c>
      <c r="T78" s="81" t="n">
        <v>0</v>
      </c>
      <c r="Y78" s="81" t="n">
        <v>1295</v>
      </c>
    </row>
    <row r="79">
      <c r="A79" s="72">
        <f>$D$22</f>
        <v/>
      </c>
      <c r="B79" s="72">
        <f>B78+1</f>
        <v/>
      </c>
      <c r="C79" s="72">
        <f>IF(K79="Vacant","Vac",IF(K79="Model","Model",IF(K79="Admin","Admin",IF(K79="Down","Down",IF(K79="Super","Super","Occ")))))</f>
        <v/>
      </c>
      <c r="D79" s="72">
        <f>INDEX($C$5:$C$9,MATCH(I79,$D$5:$D$9,0))</f>
        <v/>
      </c>
      <c r="E79" s="72">
        <f>INDEX($E$5:$E$9,MATCH(D79,$C$5:$C$9,0))</f>
        <v/>
      </c>
      <c r="F79" s="72">
        <f>INDEX($F$5:$F$9,MATCH(D79,$C$5:$C$9,0))</f>
        <v/>
      </c>
      <c r="G79" s="72">
        <f>INDEX($G$5:$G$9,MATCH(D79,$C$5:$C$9,0))</f>
        <v/>
      </c>
      <c r="H79" s="72" t="inlineStr">
        <is>
          <t>48</t>
        </is>
      </c>
      <c r="I79" s="72" t="inlineStr">
        <is>
          <t>2 Bed 1 Bath</t>
        </is>
      </c>
      <c r="J79" s="80" t="n">
        <v>1334</v>
      </c>
      <c r="K79" s="72" t="inlineStr">
        <is>
          <t>Febles, Miguel</t>
        </is>
      </c>
      <c r="L79" s="81" t="n">
        <v>1325</v>
      </c>
      <c r="M79" s="81">
        <f>Y79</f>
        <v/>
      </c>
      <c r="N79" s="82" t="n">
        <v>45565</v>
      </c>
      <c r="O79" s="82" t="n">
        <v>45565</v>
      </c>
      <c r="P79" s="82" t="n">
        <v>46295</v>
      </c>
      <c r="R79" s="81">
        <f>SUM(AB79:AB79)</f>
        <v/>
      </c>
      <c r="S79" s="81" t="n">
        <v>0</v>
      </c>
      <c r="T79" s="81" t="n">
        <v>0</v>
      </c>
      <c r="Y79" s="81" t="n">
        <v>1425</v>
      </c>
    </row>
    <row r="80">
      <c r="A80" s="72">
        <f>$D$22</f>
        <v/>
      </c>
      <c r="B80" s="72">
        <f>B79+1</f>
        <v/>
      </c>
      <c r="C80" s="72">
        <f>IF(K80="Vacant","Vac",IF(K80="Model","Model",IF(K80="Admin","Admin",IF(K80="Down","Down",IF(K80="Super","Super","Occ")))))</f>
        <v/>
      </c>
      <c r="D80" s="72">
        <f>INDEX($C$5:$C$9,MATCH(I80,$D$5:$D$9,0))</f>
        <v/>
      </c>
      <c r="E80" s="72">
        <f>INDEX($E$5:$E$9,MATCH(D80,$C$5:$C$9,0))</f>
        <v/>
      </c>
      <c r="F80" s="72">
        <f>INDEX($F$5:$F$9,MATCH(D80,$C$5:$C$9,0))</f>
        <v/>
      </c>
      <c r="G80" s="72">
        <f>INDEX($G$5:$G$9,MATCH(D80,$C$5:$C$9,0))</f>
        <v/>
      </c>
      <c r="H80" s="72" t="inlineStr">
        <is>
          <t>49</t>
        </is>
      </c>
      <c r="I80" s="72" t="inlineStr">
        <is>
          <t>2 Bed 1 Bath</t>
        </is>
      </c>
      <c r="J80" s="80" t="n">
        <v>1334</v>
      </c>
      <c r="K80" s="72" t="inlineStr">
        <is>
          <t>Clarke, Brandon</t>
        </is>
      </c>
      <c r="L80" s="81" t="n">
        <v>1325</v>
      </c>
      <c r="M80" s="81">
        <f>Y80</f>
        <v/>
      </c>
      <c r="N80" s="82" t="n">
        <v>46051</v>
      </c>
      <c r="O80" s="82" t="n">
        <v>46051</v>
      </c>
      <c r="P80" s="82" t="n">
        <v>46418</v>
      </c>
      <c r="R80" s="81">
        <f>SUM(AB80:AB80)</f>
        <v/>
      </c>
      <c r="S80" s="81" t="n">
        <v>0</v>
      </c>
      <c r="T80" s="81" t="n">
        <v>0</v>
      </c>
      <c r="Y80" s="81" t="n">
        <v>1325</v>
      </c>
      <c r="AB80" s="81" t="n">
        <v>25</v>
      </c>
    </row>
    <row r="81">
      <c r="A81" s="72">
        <f>$D$22</f>
        <v/>
      </c>
      <c r="B81" s="72">
        <f>B80+1</f>
        <v/>
      </c>
      <c r="C81" s="72">
        <f>IF(K81="Vacant","Vac",IF(K81="Model","Model",IF(K81="Admin","Admin",IF(K81="Down","Down",IF(K81="Super","Super","Occ")))))</f>
        <v/>
      </c>
      <c r="D81" s="72">
        <f>INDEX($C$5:$C$9,MATCH(I81,$D$5:$D$9,0))</f>
        <v/>
      </c>
      <c r="E81" s="72">
        <f>INDEX($E$5:$E$9,MATCH(D81,$C$5:$C$9,0))</f>
        <v/>
      </c>
      <c r="F81" s="72">
        <f>INDEX($F$5:$F$9,MATCH(D81,$C$5:$C$9,0))</f>
        <v/>
      </c>
      <c r="G81" s="72">
        <f>INDEX($G$5:$G$9,MATCH(D81,$C$5:$C$9,0))</f>
        <v/>
      </c>
      <c r="H81" s="72" t="inlineStr">
        <is>
          <t>50</t>
        </is>
      </c>
      <c r="I81" s="72" t="inlineStr">
        <is>
          <t>2 Bed 1 Bath</t>
        </is>
      </c>
      <c r="J81" s="80" t="n">
        <v>1334</v>
      </c>
      <c r="K81" s="72" t="inlineStr">
        <is>
          <t>Cardoza, Patricia</t>
        </is>
      </c>
      <c r="L81" s="81" t="n">
        <v>1325</v>
      </c>
      <c r="M81" s="81">
        <f>Y81</f>
        <v/>
      </c>
      <c r="N81" s="82" t="n">
        <v>46204</v>
      </c>
      <c r="O81" s="82" t="n">
        <v>46204</v>
      </c>
      <c r="P81" s="82" t="n">
        <v>46568</v>
      </c>
      <c r="R81" s="81">
        <f>SUM(AB81:AB81)</f>
        <v/>
      </c>
      <c r="S81" s="81" t="n">
        <v>0</v>
      </c>
      <c r="T81" s="81" t="n">
        <v>0</v>
      </c>
      <c r="Y81" s="81" t="n">
        <v>1200</v>
      </c>
    </row>
    <row r="82">
      <c r="A82" s="72">
        <f>$D$22</f>
        <v/>
      </c>
      <c r="B82" s="72">
        <f>B81+1</f>
        <v/>
      </c>
      <c r="C82" s="72">
        <f>IF(K82="Vacant","Vac",IF(K82="Model","Model",IF(K82="Admin","Admin",IF(K82="Down","Down",IF(K82="Super","Super","Occ")))))</f>
        <v/>
      </c>
      <c r="D82" s="72">
        <f>INDEX($C$5:$C$9,MATCH(I82,$D$5:$D$9,0))</f>
        <v/>
      </c>
      <c r="E82" s="72">
        <f>INDEX($E$5:$E$9,MATCH(D82,$C$5:$C$9,0))</f>
        <v/>
      </c>
      <c r="F82" s="72">
        <f>INDEX($F$5:$F$9,MATCH(D82,$C$5:$C$9,0))</f>
        <v/>
      </c>
      <c r="G82" s="72">
        <f>INDEX($G$5:$G$9,MATCH(D82,$C$5:$C$9,0))</f>
        <v/>
      </c>
      <c r="H82" s="72" t="inlineStr">
        <is>
          <t>51</t>
        </is>
      </c>
      <c r="I82" s="72" t="inlineStr">
        <is>
          <t>2 Bed 1 Bath</t>
        </is>
      </c>
      <c r="J82" s="80" t="n">
        <v>1334</v>
      </c>
      <c r="K82" s="72" t="inlineStr">
        <is>
          <t>Services Inc., Transitional</t>
        </is>
      </c>
      <c r="L82" s="81" t="n">
        <v>1325</v>
      </c>
      <c r="M82" s="81">
        <f>Y82</f>
        <v/>
      </c>
      <c r="N82" s="82" t="n">
        <v>41091</v>
      </c>
      <c r="O82" s="82" t="n">
        <v>41091</v>
      </c>
      <c r="P82" s="82" t="n">
        <v>46568</v>
      </c>
      <c r="R82" s="81">
        <f>SUM(AB82:AB82)</f>
        <v/>
      </c>
      <c r="S82" s="81" t="n">
        <v>0</v>
      </c>
      <c r="T82" s="81" t="n">
        <v>0</v>
      </c>
      <c r="Y82" s="81" t="n">
        <v>1225</v>
      </c>
    </row>
    <row r="83">
      <c r="A83" s="83">
        <f>$D$22</f>
        <v/>
      </c>
      <c r="B83" s="83">
        <f>B82+1</f>
        <v/>
      </c>
      <c r="C83" s="83">
        <f>IF(K83="Vacant","Vac",IF(K83="Model","Model",IF(K83="Admin","Admin",IF(K83="Down","Down",IF(K83="Super","Super","Occ")))))</f>
        <v/>
      </c>
      <c r="D83" s="83">
        <f>INDEX($C$5:$C$9,MATCH(I83,$D$5:$D$9,0))</f>
        <v/>
      </c>
      <c r="E83" s="83">
        <f>INDEX($E$5:$E$9,MATCH(D83,$C$5:$C$9,0))</f>
        <v/>
      </c>
      <c r="F83" s="83">
        <f>INDEX($F$5:$F$9,MATCH(D83,$C$5:$C$9,0))</f>
        <v/>
      </c>
      <c r="G83" s="83">
        <f>INDEX($G$5:$G$9,MATCH(D83,$C$5:$C$9,0))</f>
        <v/>
      </c>
      <c r="H83" s="83" t="inlineStr">
        <is>
          <t>52</t>
        </is>
      </c>
      <c r="I83" s="83" t="inlineStr">
        <is>
          <t>2 Bed 1 Bath</t>
        </is>
      </c>
      <c r="J83" s="84" t="n">
        <v>1334</v>
      </c>
      <c r="K83" s="83" t="inlineStr">
        <is>
          <t>Vacant</t>
        </is>
      </c>
      <c r="L83" s="85" t="n">
        <v>1200</v>
      </c>
      <c r="M83" s="85">
        <f>Y83</f>
        <v/>
      </c>
      <c r="N83" s="86" t="n"/>
      <c r="O83" s="86" t="n"/>
      <c r="P83" s="86" t="n"/>
      <c r="Q83" s="86" t="n"/>
      <c r="R83" s="85">
        <f>SUM(AB83:AB83)</f>
        <v/>
      </c>
      <c r="S83" s="85" t="n">
        <v>0</v>
      </c>
      <c r="T83" s="85" t="n">
        <v>0</v>
      </c>
      <c r="U83" s="86" t="n"/>
      <c r="V83" s="86" t="n"/>
      <c r="W83" s="86" t="n"/>
      <c r="X83" s="86" t="n"/>
      <c r="Y83" s="85" t="n">
        <v>0</v>
      </c>
      <c r="Z83" s="86" t="n"/>
      <c r="AA83" s="86" t="n"/>
      <c r="AB83" s="86" t="n"/>
    </row>
    <row r="84">
      <c r="A84" s="72">
        <f>$D$22</f>
        <v/>
      </c>
      <c r="B84" s="72">
        <f>B83+1</f>
        <v/>
      </c>
      <c r="C84" s="72">
        <f>IF(K84="Vacant","Vac",IF(K84="Model","Model",IF(K84="Admin","Admin",IF(K84="Down","Down",IF(K84="Super","Super","Occ")))))</f>
        <v/>
      </c>
      <c r="D84" s="72">
        <f>INDEX($C$5:$C$9,MATCH(I84,$D$5:$D$9,0))</f>
        <v/>
      </c>
      <c r="E84" s="72">
        <f>INDEX($E$5:$E$9,MATCH(D84,$C$5:$C$9,0))</f>
        <v/>
      </c>
      <c r="F84" s="72">
        <f>INDEX($F$5:$F$9,MATCH(D84,$C$5:$C$9,0))</f>
        <v/>
      </c>
      <c r="G84" s="72">
        <f>INDEX($G$5:$G$9,MATCH(D84,$C$5:$C$9,0))</f>
        <v/>
      </c>
      <c r="H84" s="72" t="inlineStr">
        <is>
          <t>53</t>
        </is>
      </c>
      <c r="I84" s="72" t="inlineStr">
        <is>
          <t>2 Bed 1 Bath</t>
        </is>
      </c>
      <c r="J84" s="80" t="n">
        <v>1334</v>
      </c>
      <c r="K84" s="72" t="inlineStr">
        <is>
          <t>Alvarez Pinero, Kathy</t>
        </is>
      </c>
      <c r="L84" s="81" t="n">
        <v>1325</v>
      </c>
      <c r="M84" s="81">
        <f>Y84</f>
        <v/>
      </c>
      <c r="N84" s="82" t="n">
        <v>46057</v>
      </c>
      <c r="O84" s="82" t="n">
        <v>46057</v>
      </c>
      <c r="P84" s="82" t="n">
        <v>46446</v>
      </c>
      <c r="R84" s="81">
        <f>SUM(AB84:AB84)</f>
        <v/>
      </c>
      <c r="S84" s="81" t="n">
        <v>0</v>
      </c>
      <c r="T84" s="81" t="n">
        <v>0</v>
      </c>
      <c r="Y84" s="81" t="n">
        <v>1325</v>
      </c>
    </row>
    <row r="85">
      <c r="A85" s="72">
        <f>$D$22</f>
        <v/>
      </c>
      <c r="B85" s="72">
        <f>B84+1</f>
        <v/>
      </c>
      <c r="C85" s="72">
        <f>IF(K85="Vacant","Vac",IF(K85="Model","Model",IF(K85="Admin","Admin",IF(K85="Down","Down",IF(K85="Super","Super","Occ")))))</f>
        <v/>
      </c>
      <c r="D85" s="72">
        <f>INDEX($C$5:$C$9,MATCH(I85,$D$5:$D$9,0))</f>
        <v/>
      </c>
      <c r="E85" s="72">
        <f>INDEX($E$5:$E$9,MATCH(D85,$C$5:$C$9,0))</f>
        <v/>
      </c>
      <c r="F85" s="72">
        <f>INDEX($F$5:$F$9,MATCH(D85,$C$5:$C$9,0))</f>
        <v/>
      </c>
      <c r="G85" s="72">
        <f>INDEX($G$5:$G$9,MATCH(D85,$C$5:$C$9,0))</f>
        <v/>
      </c>
      <c r="H85" s="72" t="inlineStr">
        <is>
          <t>54</t>
        </is>
      </c>
      <c r="I85" s="72" t="inlineStr">
        <is>
          <t>2 Bed 1 Bath</t>
        </is>
      </c>
      <c r="J85" s="80" t="n">
        <v>1334</v>
      </c>
      <c r="K85" s="72" t="inlineStr">
        <is>
          <t>Jaycox, Alfred</t>
        </is>
      </c>
      <c r="L85" s="81" t="n">
        <v>1325</v>
      </c>
      <c r="M85" s="81">
        <f>Y85</f>
        <v/>
      </c>
      <c r="N85" s="82" t="n">
        <v>44215</v>
      </c>
      <c r="O85" s="82" t="n">
        <v>44215</v>
      </c>
      <c r="P85" s="82" t="n">
        <v>46142</v>
      </c>
      <c r="R85" s="81">
        <f>SUM(AB85:AB85)</f>
        <v/>
      </c>
      <c r="S85" s="81" t="n">
        <v>0</v>
      </c>
      <c r="T85" s="81" t="n">
        <v>0</v>
      </c>
      <c r="Y85" s="81" t="n">
        <v>1200</v>
      </c>
      <c r="AB85" s="81" t="n">
        <v>50</v>
      </c>
    </row>
    <row r="86">
      <c r="A86" s="72">
        <f>$D$22</f>
        <v/>
      </c>
      <c r="B86" s="72">
        <f>B85+1</f>
        <v/>
      </c>
      <c r="C86" s="72">
        <f>IF(K86="Vacant","Vac",IF(K86="Model","Model",IF(K86="Admin","Admin",IF(K86="Down","Down",IF(K86="Super","Super","Occ")))))</f>
        <v/>
      </c>
      <c r="D86" s="72">
        <f>INDEX($C$5:$C$9,MATCH(I86,$D$5:$D$9,0))</f>
        <v/>
      </c>
      <c r="E86" s="72">
        <f>INDEX($E$5:$E$9,MATCH(D86,$C$5:$C$9,0))</f>
        <v/>
      </c>
      <c r="F86" s="72">
        <f>INDEX($F$5:$F$9,MATCH(D86,$C$5:$C$9,0))</f>
        <v/>
      </c>
      <c r="G86" s="72">
        <f>INDEX($G$5:$G$9,MATCH(D86,$C$5:$C$9,0))</f>
        <v/>
      </c>
      <c r="H86" s="72" t="inlineStr">
        <is>
          <t>55</t>
        </is>
      </c>
      <c r="I86" s="72" t="inlineStr">
        <is>
          <t>2 Bed 1 Bath</t>
        </is>
      </c>
      <c r="J86" s="80" t="n">
        <v>1334</v>
      </c>
      <c r="K86" s="72" t="inlineStr">
        <is>
          <t>Brown, John</t>
        </is>
      </c>
      <c r="L86" s="81" t="n">
        <v>1325</v>
      </c>
      <c r="M86" s="81">
        <f>Y86</f>
        <v/>
      </c>
      <c r="N86" s="82" t="n">
        <v>38764</v>
      </c>
      <c r="O86" s="82" t="n">
        <v>38764</v>
      </c>
      <c r="P86" s="82" t="n">
        <v>46446</v>
      </c>
      <c r="R86" s="81">
        <f>SUM(AB86:AB86)</f>
        <v/>
      </c>
      <c r="S86" s="81" t="n">
        <v>0</v>
      </c>
      <c r="T86" s="81" t="n">
        <v>0</v>
      </c>
      <c r="Y86" s="81" t="n">
        <v>1095</v>
      </c>
    </row>
    <row r="87">
      <c r="A87" s="72">
        <f>$D$22</f>
        <v/>
      </c>
      <c r="B87" s="72">
        <f>B86+1</f>
        <v/>
      </c>
      <c r="C87" s="72">
        <f>IF(K87="Vacant","Vac",IF(K87="Model","Model",IF(K87="Admin","Admin",IF(K87="Down","Down",IF(K87="Super","Super","Occ")))))</f>
        <v/>
      </c>
      <c r="D87" s="72">
        <f>INDEX($C$5:$C$9,MATCH(I87,$D$5:$D$9,0))</f>
        <v/>
      </c>
      <c r="E87" s="72">
        <f>INDEX($E$5:$E$9,MATCH(D87,$C$5:$C$9,0))</f>
        <v/>
      </c>
      <c r="F87" s="72">
        <f>INDEX($F$5:$F$9,MATCH(D87,$C$5:$C$9,0))</f>
        <v/>
      </c>
      <c r="G87" s="72">
        <f>INDEX($G$5:$G$9,MATCH(D87,$C$5:$C$9,0))</f>
        <v/>
      </c>
      <c r="H87" s="72" t="inlineStr">
        <is>
          <t>56</t>
        </is>
      </c>
      <c r="I87" s="72" t="inlineStr">
        <is>
          <t>1 Bed 1 Bath</t>
        </is>
      </c>
      <c r="J87" s="80" t="n">
        <v>1149</v>
      </c>
      <c r="K87" s="72" t="inlineStr">
        <is>
          <t>Arroyo, Feridinand</t>
        </is>
      </c>
      <c r="L87" s="81" t="n">
        <v>1195</v>
      </c>
      <c r="M87" s="81">
        <f>Y87</f>
        <v/>
      </c>
      <c r="N87" s="82" t="n">
        <v>46082</v>
      </c>
      <c r="O87" s="82" t="n">
        <v>46082</v>
      </c>
      <c r="P87" s="82" t="n">
        <v>46446</v>
      </c>
      <c r="R87" s="81">
        <f>SUM(AB87:AB87)</f>
        <v/>
      </c>
      <c r="S87" s="81" t="n">
        <v>0</v>
      </c>
      <c r="T87" s="81" t="n">
        <v>0</v>
      </c>
      <c r="Y87" s="81" t="n">
        <v>1195</v>
      </c>
      <c r="AB87" s="81" t="n">
        <v>50</v>
      </c>
    </row>
    <row r="88">
      <c r="A88" s="72">
        <f>$D$22</f>
        <v/>
      </c>
      <c r="B88" s="72">
        <f>B87+1</f>
        <v/>
      </c>
      <c r="C88" s="72">
        <f>IF(K88="Vacant","Vac",IF(K88="Model","Model",IF(K88="Admin","Admin",IF(K88="Down","Down",IF(K88="Super","Super","Occ")))))</f>
        <v/>
      </c>
      <c r="D88" s="72">
        <f>INDEX($C$5:$C$9,MATCH(I88,$D$5:$D$9,0))</f>
        <v/>
      </c>
      <c r="E88" s="72">
        <f>INDEX($E$5:$E$9,MATCH(D88,$C$5:$C$9,0))</f>
        <v/>
      </c>
      <c r="F88" s="72">
        <f>INDEX($F$5:$F$9,MATCH(D88,$C$5:$C$9,0))</f>
        <v/>
      </c>
      <c r="G88" s="72">
        <f>INDEX($G$5:$G$9,MATCH(D88,$C$5:$C$9,0))</f>
        <v/>
      </c>
      <c r="H88" s="72" t="inlineStr">
        <is>
          <t>57</t>
        </is>
      </c>
      <c r="I88" s="72" t="inlineStr">
        <is>
          <t>3 Bed/1Bath FP</t>
        </is>
      </c>
      <c r="J88" s="80" t="n">
        <v>1521</v>
      </c>
      <c r="K88" s="72" t="inlineStr">
        <is>
          <t>Woodfork, Alex</t>
        </is>
      </c>
      <c r="L88" s="81" t="n">
        <v>1325</v>
      </c>
      <c r="M88" s="81">
        <f>Y88</f>
        <v/>
      </c>
      <c r="N88" s="82" t="n">
        <v>45898</v>
      </c>
      <c r="O88" s="82" t="n">
        <v>45898</v>
      </c>
      <c r="P88" s="82" t="n">
        <v>46265</v>
      </c>
      <c r="R88" s="81">
        <f>SUM(AB88:AB88)</f>
        <v/>
      </c>
      <c r="S88" s="81" t="n">
        <v>0</v>
      </c>
      <c r="T88" s="81" t="n">
        <v>0</v>
      </c>
      <c r="Y88" s="81" t="n">
        <v>1325</v>
      </c>
    </row>
    <row r="89">
      <c r="A89" s="72">
        <f>$D$22</f>
        <v/>
      </c>
      <c r="B89" s="72">
        <f>B88+1</f>
        <v/>
      </c>
      <c r="C89" s="72">
        <f>IF(K89="Vacant","Vac",IF(K89="Model","Model",IF(K89="Admin","Admin",IF(K89="Down","Down",IF(K89="Super","Super","Occ")))))</f>
        <v/>
      </c>
      <c r="D89" s="72">
        <f>INDEX($C$5:$C$9,MATCH(I89,$D$5:$D$9,0))</f>
        <v/>
      </c>
      <c r="E89" s="72">
        <f>INDEX($E$5:$E$9,MATCH(D89,$C$5:$C$9,0))</f>
        <v/>
      </c>
      <c r="F89" s="72">
        <f>INDEX($F$5:$F$9,MATCH(D89,$C$5:$C$9,0))</f>
        <v/>
      </c>
      <c r="G89" s="72">
        <f>INDEX($G$5:$G$9,MATCH(D89,$C$5:$C$9,0))</f>
        <v/>
      </c>
      <c r="H89" s="72" t="inlineStr">
        <is>
          <t>58</t>
        </is>
      </c>
      <c r="I89" s="72" t="inlineStr">
        <is>
          <t>2 Bed 1 Bath</t>
        </is>
      </c>
      <c r="J89" s="80" t="n">
        <v>1334</v>
      </c>
      <c r="K89" s="72" t="inlineStr">
        <is>
          <t>Thomas, Marie Magdala</t>
        </is>
      </c>
      <c r="L89" s="81" t="n">
        <v>1325</v>
      </c>
      <c r="M89" s="81">
        <f>Y89</f>
        <v/>
      </c>
      <c r="N89" s="82" t="n">
        <v>45754</v>
      </c>
      <c r="O89" s="82" t="n">
        <v>45754</v>
      </c>
      <c r="P89" s="82" t="n">
        <v>46507</v>
      </c>
      <c r="R89" s="81">
        <f>SUM(AB89:AB89)</f>
        <v/>
      </c>
      <c r="S89" s="81" t="n">
        <v>0</v>
      </c>
      <c r="T89" s="81" t="n">
        <v>0</v>
      </c>
      <c r="Y89" s="81" t="n">
        <v>1300</v>
      </c>
    </row>
    <row r="90">
      <c r="A90" s="72">
        <f>$D$22</f>
        <v/>
      </c>
      <c r="B90" s="72">
        <f>B89+1</f>
        <v/>
      </c>
      <c r="C90" s="72">
        <f>IF(K90="Vacant","Vac",IF(K90="Model","Model",IF(K90="Admin","Admin",IF(K90="Down","Down",IF(K90="Super","Super","Occ")))))</f>
        <v/>
      </c>
      <c r="D90" s="72">
        <f>INDEX($C$5:$C$9,MATCH(I90,$D$5:$D$9,0))</f>
        <v/>
      </c>
      <c r="E90" s="72">
        <f>INDEX($E$5:$E$9,MATCH(D90,$C$5:$C$9,0))</f>
        <v/>
      </c>
      <c r="F90" s="72">
        <f>INDEX($F$5:$F$9,MATCH(D90,$C$5:$C$9,0))</f>
        <v/>
      </c>
      <c r="G90" s="72">
        <f>INDEX($G$5:$G$9,MATCH(D90,$C$5:$C$9,0))</f>
        <v/>
      </c>
      <c r="H90" s="72" t="inlineStr">
        <is>
          <t>59</t>
        </is>
      </c>
      <c r="I90" s="72" t="inlineStr">
        <is>
          <t>3 Bed 1.5 Bath</t>
        </is>
      </c>
      <c r="J90" s="80" t="n">
        <v>1521</v>
      </c>
      <c r="K90" s="72" t="inlineStr">
        <is>
          <t>Smith, Carla</t>
        </is>
      </c>
      <c r="L90" s="81" t="n">
        <v>1495</v>
      </c>
      <c r="M90" s="81">
        <f>Y90</f>
        <v/>
      </c>
      <c r="N90" s="82" t="n">
        <v>41487</v>
      </c>
      <c r="O90" s="82" t="n">
        <v>41487</v>
      </c>
      <c r="P90" s="82" t="n">
        <v>46234</v>
      </c>
      <c r="R90" s="81">
        <f>SUM(AB90:AB90)</f>
        <v/>
      </c>
      <c r="S90" s="81" t="n">
        <v>0</v>
      </c>
      <c r="T90" s="81" t="n">
        <v>0</v>
      </c>
      <c r="Y90" s="81" t="n">
        <v>1225</v>
      </c>
    </row>
    <row r="91">
      <c r="A91" s="72">
        <f>$D$22</f>
        <v/>
      </c>
      <c r="B91" s="72">
        <f>B90+1</f>
        <v/>
      </c>
      <c r="C91" s="72">
        <f>IF(K91="Vacant","Vac",IF(K91="Model","Model",IF(K91="Admin","Admin",IF(K91="Down","Down",IF(K91="Super","Super","Occ")))))</f>
        <v/>
      </c>
      <c r="D91" s="72">
        <f>INDEX($C$5:$C$9,MATCH(I91,$D$5:$D$9,0))</f>
        <v/>
      </c>
      <c r="E91" s="72">
        <f>INDEX($E$5:$E$9,MATCH(D91,$C$5:$C$9,0))</f>
        <v/>
      </c>
      <c r="F91" s="72">
        <f>INDEX($F$5:$F$9,MATCH(D91,$C$5:$C$9,0))</f>
        <v/>
      </c>
      <c r="G91" s="72">
        <f>INDEX($G$5:$G$9,MATCH(D91,$C$5:$C$9,0))</f>
        <v/>
      </c>
      <c r="H91" s="72" t="inlineStr">
        <is>
          <t>60</t>
        </is>
      </c>
      <c r="I91" s="72" t="inlineStr">
        <is>
          <t>3 Bed 1.5 Bath</t>
        </is>
      </c>
      <c r="J91" s="80" t="n">
        <v>1521</v>
      </c>
      <c r="K91" s="72" t="inlineStr">
        <is>
          <t>Herby (BMHA), Leah</t>
        </is>
      </c>
      <c r="L91" s="81" t="n">
        <v>1495</v>
      </c>
      <c r="M91" s="81">
        <f>Y91</f>
        <v/>
      </c>
      <c r="N91" s="82" t="n">
        <v>46143</v>
      </c>
      <c r="O91" s="82" t="n">
        <v>46143</v>
      </c>
      <c r="P91" s="82" t="n">
        <v>46507</v>
      </c>
      <c r="R91" s="81">
        <f>SUM(AB91:AB91)</f>
        <v/>
      </c>
      <c r="S91" s="81" t="n">
        <v>0</v>
      </c>
      <c r="T91" s="81" t="n">
        <v>0</v>
      </c>
      <c r="Y91" s="81" t="n">
        <v>1495</v>
      </c>
    </row>
    <row r="92">
      <c r="A92" s="72">
        <f>$D$22</f>
        <v/>
      </c>
      <c r="B92" s="72">
        <f>B91+1</f>
        <v/>
      </c>
      <c r="C92" s="72">
        <f>IF(K92="Vacant","Vac",IF(K92="Model","Model",IF(K92="Admin","Admin",IF(K92="Down","Down",IF(K92="Super","Super","Occ")))))</f>
        <v/>
      </c>
      <c r="D92" s="72">
        <f>INDEX($C$5:$C$9,MATCH(I92,$D$5:$D$9,0))</f>
        <v/>
      </c>
      <c r="E92" s="72">
        <f>INDEX($E$5:$E$9,MATCH(D92,$C$5:$C$9,0))</f>
        <v/>
      </c>
      <c r="F92" s="72">
        <f>INDEX($F$5:$F$9,MATCH(D92,$C$5:$C$9,0))</f>
        <v/>
      </c>
      <c r="G92" s="72">
        <f>INDEX($G$5:$G$9,MATCH(D92,$C$5:$C$9,0))</f>
        <v/>
      </c>
      <c r="H92" s="72" t="inlineStr">
        <is>
          <t>61</t>
        </is>
      </c>
      <c r="I92" s="72" t="inlineStr">
        <is>
          <t>2 Bed 1 Bath</t>
        </is>
      </c>
      <c r="J92" s="80" t="n">
        <v>1334</v>
      </c>
      <c r="K92" s="72" t="inlineStr">
        <is>
          <t>Perez (RACB), Carmen</t>
        </is>
      </c>
      <c r="L92" s="81" t="n">
        <v>1325</v>
      </c>
      <c r="M92" s="81">
        <f>Y92</f>
        <v/>
      </c>
      <c r="N92" s="82" t="n">
        <v>40878</v>
      </c>
      <c r="O92" s="82" t="n">
        <v>40878</v>
      </c>
      <c r="P92" s="82" t="n">
        <v>46721</v>
      </c>
      <c r="R92" s="81">
        <f>SUM(AB92:AB92)</f>
        <v/>
      </c>
      <c r="S92" s="81" t="n">
        <v>0</v>
      </c>
      <c r="T92" s="81" t="n">
        <v>0</v>
      </c>
      <c r="Y92" s="81" t="n">
        <v>1250</v>
      </c>
      <c r="AB92" s="81" t="n">
        <v>50</v>
      </c>
    </row>
    <row r="93">
      <c r="A93" s="83">
        <f>$D$22</f>
        <v/>
      </c>
      <c r="B93" s="83">
        <f>B92+1</f>
        <v/>
      </c>
      <c r="C93" s="83">
        <f>IF(K93="Vacant","Vac",IF(K93="Model","Model",IF(K93="Admin","Admin",IF(K93="Down","Down",IF(K93="Super","Super","Occ")))))</f>
        <v/>
      </c>
      <c r="D93" s="83">
        <f>INDEX($C$5:$C$9,MATCH(I93,$D$5:$D$9,0))</f>
        <v/>
      </c>
      <c r="E93" s="83">
        <f>INDEX($E$5:$E$9,MATCH(D93,$C$5:$C$9,0))</f>
        <v/>
      </c>
      <c r="F93" s="83">
        <f>INDEX($F$5:$F$9,MATCH(D93,$C$5:$C$9,0))</f>
        <v/>
      </c>
      <c r="G93" s="83">
        <f>INDEX($G$5:$G$9,MATCH(D93,$C$5:$C$9,0))</f>
        <v/>
      </c>
      <c r="H93" s="83" t="inlineStr">
        <is>
          <t>62</t>
        </is>
      </c>
      <c r="I93" s="83" t="inlineStr">
        <is>
          <t>2 Bed 1 Bath</t>
        </is>
      </c>
      <c r="J93" s="84" t="n">
        <v>1334</v>
      </c>
      <c r="K93" s="83" t="inlineStr">
        <is>
          <t>Vacant</t>
        </is>
      </c>
      <c r="L93" s="85" t="n">
        <v>1200</v>
      </c>
      <c r="M93" s="85">
        <f>Y93</f>
        <v/>
      </c>
      <c r="N93" s="86" t="n"/>
      <c r="O93" s="86" t="n"/>
      <c r="P93" s="86" t="n"/>
      <c r="Q93" s="86" t="n"/>
      <c r="R93" s="85">
        <f>SUM(AB93:AB93)</f>
        <v/>
      </c>
      <c r="S93" s="85" t="n">
        <v>0</v>
      </c>
      <c r="T93" s="85" t="n">
        <v>0</v>
      </c>
      <c r="U93" s="86" t="n"/>
      <c r="V93" s="86" t="n"/>
      <c r="W93" s="86" t="n"/>
      <c r="X93" s="86" t="n"/>
      <c r="Y93" s="85" t="n">
        <v>0</v>
      </c>
      <c r="Z93" s="86" t="n"/>
      <c r="AA93" s="86" t="n"/>
      <c r="AB93" s="86" t="n"/>
    </row>
    <row r="94">
      <c r="A94" s="72">
        <f>$D$22</f>
        <v/>
      </c>
      <c r="B94" s="72">
        <f>B93+1</f>
        <v/>
      </c>
      <c r="C94" s="72">
        <f>IF(K94="Vacant","Vac",IF(K94="Model","Model",IF(K94="Admin","Admin",IF(K94="Down","Down",IF(K94="Super","Super","Occ")))))</f>
        <v/>
      </c>
      <c r="D94" s="72">
        <f>INDEX($C$5:$C$9,MATCH(I94,$D$5:$D$9,0))</f>
        <v/>
      </c>
      <c r="E94" s="72">
        <f>INDEX($E$5:$E$9,MATCH(D94,$C$5:$C$9,0))</f>
        <v/>
      </c>
      <c r="F94" s="72">
        <f>INDEX($F$5:$F$9,MATCH(D94,$C$5:$C$9,0))</f>
        <v/>
      </c>
      <c r="G94" s="72">
        <f>INDEX($G$5:$G$9,MATCH(D94,$C$5:$C$9,0))</f>
        <v/>
      </c>
      <c r="H94" s="72" t="inlineStr">
        <is>
          <t>63</t>
        </is>
      </c>
      <c r="I94" s="72" t="inlineStr">
        <is>
          <t>2 Bed 1 Bath</t>
        </is>
      </c>
      <c r="J94" s="80" t="n">
        <v>1334</v>
      </c>
      <c r="K94" s="72" t="inlineStr">
        <is>
          <t>Leon Rodriguez (RACB), Jose Luis</t>
        </is>
      </c>
      <c r="L94" s="81" t="n">
        <v>1325</v>
      </c>
      <c r="M94" s="81">
        <f>Y94</f>
        <v/>
      </c>
      <c r="N94" s="82" t="n">
        <v>42829</v>
      </c>
      <c r="O94" s="82" t="n">
        <v>42829</v>
      </c>
      <c r="P94" s="82" t="n">
        <v>46507</v>
      </c>
      <c r="R94" s="81">
        <f>SUM(AB94:AB94)</f>
        <v/>
      </c>
      <c r="S94" s="81" t="n">
        <v>0</v>
      </c>
      <c r="T94" s="81" t="n">
        <v>0</v>
      </c>
      <c r="Y94" s="81" t="n">
        <v>1000</v>
      </c>
    </row>
    <row r="95">
      <c r="A95" s="72">
        <f>$D$22</f>
        <v/>
      </c>
      <c r="B95" s="72">
        <f>B94+1</f>
        <v/>
      </c>
      <c r="C95" s="72">
        <f>IF(K95="Vacant","Vac",IF(K95="Model","Model",IF(K95="Admin","Admin",IF(K95="Down","Down",IF(K95="Super","Super","Occ")))))</f>
        <v/>
      </c>
      <c r="D95" s="72">
        <f>INDEX($C$5:$C$9,MATCH(I95,$D$5:$D$9,0))</f>
        <v/>
      </c>
      <c r="E95" s="72">
        <f>INDEX($E$5:$E$9,MATCH(D95,$C$5:$C$9,0))</f>
        <v/>
      </c>
      <c r="F95" s="72">
        <f>INDEX($F$5:$F$9,MATCH(D95,$C$5:$C$9,0))</f>
        <v/>
      </c>
      <c r="G95" s="72">
        <f>INDEX($G$5:$G$9,MATCH(D95,$C$5:$C$9,0))</f>
        <v/>
      </c>
      <c r="H95" s="72" t="inlineStr">
        <is>
          <t>64</t>
        </is>
      </c>
      <c r="I95" s="72" t="inlineStr">
        <is>
          <t>2 Bed 1 Bath</t>
        </is>
      </c>
      <c r="J95" s="80" t="n">
        <v>1334</v>
      </c>
      <c r="K95" s="72" t="inlineStr">
        <is>
          <t>Myers, Ty</t>
        </is>
      </c>
      <c r="L95" s="81" t="n">
        <v>1325</v>
      </c>
      <c r="M95" s="81">
        <f>Y95</f>
        <v/>
      </c>
      <c r="N95" s="82" t="n">
        <v>40589</v>
      </c>
      <c r="O95" s="82" t="n">
        <v>40589</v>
      </c>
      <c r="P95" s="82" t="n">
        <v>46477</v>
      </c>
      <c r="R95" s="81">
        <f>SUM(AB95:AB95)</f>
        <v/>
      </c>
      <c r="S95" s="81" t="n">
        <v>0</v>
      </c>
      <c r="T95" s="81" t="n">
        <v>0</v>
      </c>
      <c r="Y95" s="81" t="n">
        <v>1000</v>
      </c>
    </row>
    <row r="96">
      <c r="A96" s="72">
        <f>$D$22</f>
        <v/>
      </c>
      <c r="B96" s="72">
        <f>B95+1</f>
        <v/>
      </c>
      <c r="C96" s="72">
        <f>IF(K96="Vacant","Vac",IF(K96="Model","Model",IF(K96="Admin","Admin",IF(K96="Down","Down",IF(K96="Super","Super","Occ")))))</f>
        <v/>
      </c>
      <c r="D96" s="72">
        <f>INDEX($C$5:$C$9,MATCH(I96,$D$5:$D$9,0))</f>
        <v/>
      </c>
      <c r="E96" s="72">
        <f>INDEX($E$5:$E$9,MATCH(D96,$C$5:$C$9,0))</f>
        <v/>
      </c>
      <c r="F96" s="72">
        <f>INDEX($F$5:$F$9,MATCH(D96,$C$5:$C$9,0))</f>
        <v/>
      </c>
      <c r="G96" s="72">
        <f>INDEX($G$5:$G$9,MATCH(D96,$C$5:$C$9,0))</f>
        <v/>
      </c>
      <c r="H96" s="72" t="inlineStr">
        <is>
          <t>65</t>
        </is>
      </c>
      <c r="I96" s="72" t="inlineStr">
        <is>
          <t>2 Bed 1 Bath</t>
        </is>
      </c>
      <c r="J96" s="80" t="n">
        <v>1334</v>
      </c>
      <c r="K96" s="72" t="inlineStr">
        <is>
          <t>Carson (BEL), Joyce</t>
        </is>
      </c>
      <c r="L96" s="81" t="n">
        <v>1325</v>
      </c>
      <c r="M96" s="81">
        <f>Y96</f>
        <v/>
      </c>
      <c r="N96" s="82" t="n">
        <v>39731</v>
      </c>
      <c r="O96" s="82" t="n">
        <v>39731</v>
      </c>
      <c r="P96" s="82" t="n">
        <v>46142</v>
      </c>
      <c r="R96" s="81">
        <f>SUM(AB96:AB96)</f>
        <v/>
      </c>
      <c r="S96" s="81" t="n">
        <v>0</v>
      </c>
      <c r="T96" s="81" t="n">
        <v>0</v>
      </c>
      <c r="Y96" s="81" t="n">
        <v>1150</v>
      </c>
      <c r="AB96" s="81" t="n">
        <v>50</v>
      </c>
    </row>
    <row r="97">
      <c r="A97" s="72">
        <f>$D$22</f>
        <v/>
      </c>
      <c r="B97" s="72">
        <f>B96+1</f>
        <v/>
      </c>
      <c r="C97" s="72">
        <f>IF(K97="Vacant","Vac",IF(K97="Model","Model",IF(K97="Admin","Admin",IF(K97="Down","Down",IF(K97="Super","Super","Occ")))))</f>
        <v/>
      </c>
      <c r="D97" s="72">
        <f>INDEX($C$5:$C$9,MATCH(I97,$D$5:$D$9,0))</f>
        <v/>
      </c>
      <c r="E97" s="72">
        <f>INDEX($E$5:$E$9,MATCH(D97,$C$5:$C$9,0))</f>
        <v/>
      </c>
      <c r="F97" s="72">
        <f>INDEX($F$5:$F$9,MATCH(D97,$C$5:$C$9,0))</f>
        <v/>
      </c>
      <c r="G97" s="72">
        <f>INDEX($G$5:$G$9,MATCH(D97,$C$5:$C$9,0))</f>
        <v/>
      </c>
      <c r="H97" s="72" t="inlineStr">
        <is>
          <t>66</t>
        </is>
      </c>
      <c r="I97" s="72" t="inlineStr">
        <is>
          <t>2 Bed 1 Bath</t>
        </is>
      </c>
      <c r="J97" s="80" t="n">
        <v>1149</v>
      </c>
      <c r="K97" s="72" t="inlineStr">
        <is>
          <t>Chesson (BEL), Amuniquee</t>
        </is>
      </c>
      <c r="L97" s="81" t="n">
        <v>1325</v>
      </c>
      <c r="M97" s="81">
        <f>Y97</f>
        <v/>
      </c>
      <c r="N97" s="82" t="n">
        <v>45245</v>
      </c>
      <c r="O97" s="82" t="n">
        <v>45245</v>
      </c>
      <c r="P97" s="82" t="n">
        <v>46326</v>
      </c>
      <c r="R97" s="81">
        <f>SUM(AB97:AB97)</f>
        <v/>
      </c>
      <c r="S97" s="81" t="n">
        <v>0</v>
      </c>
      <c r="T97" s="81" t="n">
        <v>0</v>
      </c>
      <c r="Y97" s="81" t="n">
        <v>1200</v>
      </c>
    </row>
    <row r="98">
      <c r="A98" s="72">
        <f>$D$22</f>
        <v/>
      </c>
      <c r="B98" s="72">
        <f>B97+1</f>
        <v/>
      </c>
      <c r="C98" s="72">
        <f>IF(K98="Vacant","Vac",IF(K98="Model","Model",IF(K98="Admin","Admin",IF(K98="Down","Down",IF(K98="Super","Super","Occ")))))</f>
        <v/>
      </c>
      <c r="D98" s="72">
        <f>INDEX($C$5:$C$9,MATCH(I98,$D$5:$D$9,0))</f>
        <v/>
      </c>
      <c r="E98" s="72">
        <f>INDEX($E$5:$E$9,MATCH(D98,$C$5:$C$9,0))</f>
        <v/>
      </c>
      <c r="F98" s="72">
        <f>INDEX($F$5:$F$9,MATCH(D98,$C$5:$C$9,0))</f>
        <v/>
      </c>
      <c r="G98" s="72">
        <f>INDEX($G$5:$G$9,MATCH(D98,$C$5:$C$9,0))</f>
        <v/>
      </c>
      <c r="H98" s="72" t="inlineStr">
        <is>
          <t>67</t>
        </is>
      </c>
      <c r="I98" s="72" t="inlineStr">
        <is>
          <t>2 Bed 1 Bath</t>
        </is>
      </c>
      <c r="J98" s="80" t="n">
        <v>1334</v>
      </c>
      <c r="K98" s="72" t="inlineStr">
        <is>
          <t>Roland, Mildred</t>
        </is>
      </c>
      <c r="L98" s="81" t="n">
        <v>1325</v>
      </c>
      <c r="M98" s="81">
        <f>Y98</f>
        <v/>
      </c>
      <c r="N98" s="82" t="n">
        <v>42307</v>
      </c>
      <c r="O98" s="82" t="n">
        <v>42307</v>
      </c>
      <c r="P98" s="82" t="n">
        <v>46173</v>
      </c>
      <c r="R98" s="81">
        <f>SUM(AB98:AB98)</f>
        <v/>
      </c>
      <c r="S98" s="81" t="n">
        <v>0</v>
      </c>
      <c r="T98" s="81" t="n">
        <v>0</v>
      </c>
      <c r="Y98" s="81" t="n">
        <v>900</v>
      </c>
    </row>
    <row r="99">
      <c r="A99" s="72">
        <f>$D$22</f>
        <v/>
      </c>
      <c r="B99" s="72">
        <f>B98+1</f>
        <v/>
      </c>
      <c r="C99" s="72">
        <f>IF(K99="Vacant","Vac",IF(K99="Model","Model",IF(K99="Admin","Admin",IF(K99="Down","Down",IF(K99="Super","Super","Occ")))))</f>
        <v/>
      </c>
      <c r="D99" s="72">
        <f>INDEX($C$5:$C$9,MATCH(I99,$D$5:$D$9,0))</f>
        <v/>
      </c>
      <c r="E99" s="72">
        <f>INDEX($E$5:$E$9,MATCH(D99,$C$5:$C$9,0))</f>
        <v/>
      </c>
      <c r="F99" s="72">
        <f>INDEX($F$5:$F$9,MATCH(D99,$C$5:$C$9,0))</f>
        <v/>
      </c>
      <c r="G99" s="72">
        <f>INDEX($G$5:$G$9,MATCH(D99,$C$5:$C$9,0))</f>
        <v/>
      </c>
      <c r="H99" s="72" t="inlineStr">
        <is>
          <t>68</t>
        </is>
      </c>
      <c r="I99" s="72" t="inlineStr">
        <is>
          <t>2 Bed 1 Bath</t>
        </is>
      </c>
      <c r="J99" s="80" t="n">
        <v>1334</v>
      </c>
      <c r="K99" s="72" t="inlineStr">
        <is>
          <t>Lewis, Earlisa</t>
        </is>
      </c>
      <c r="L99" s="81" t="n">
        <v>1325</v>
      </c>
      <c r="M99" s="81">
        <f>Y99</f>
        <v/>
      </c>
      <c r="N99" s="82" t="n">
        <v>45139</v>
      </c>
      <c r="O99" s="82" t="n">
        <v>45139</v>
      </c>
      <c r="P99" s="82" t="n">
        <v>46234</v>
      </c>
      <c r="R99" s="81">
        <f>SUM(AB99:AB99)</f>
        <v/>
      </c>
      <c r="S99" s="81" t="n">
        <v>0</v>
      </c>
      <c r="T99" s="81" t="n">
        <v>0</v>
      </c>
      <c r="Y99" s="81" t="n">
        <v>1425</v>
      </c>
    </row>
    <row r="100">
      <c r="A100" s="83">
        <f>$D$22</f>
        <v/>
      </c>
      <c r="B100" s="83">
        <f>B99+1</f>
        <v/>
      </c>
      <c r="C100" s="83">
        <f>IF(K100="Vacant","Vac",IF(K100="Model","Model",IF(K100="Admin","Admin",IF(K100="Down","Down",IF(K100="Super","Super","Occ")))))</f>
        <v/>
      </c>
      <c r="D100" s="83">
        <f>INDEX($C$5:$C$9,MATCH(I100,$D$5:$D$9,0))</f>
        <v/>
      </c>
      <c r="E100" s="83">
        <f>INDEX($E$5:$E$9,MATCH(D100,$C$5:$C$9,0))</f>
        <v/>
      </c>
      <c r="F100" s="83">
        <f>INDEX($F$5:$F$9,MATCH(D100,$C$5:$C$9,0))</f>
        <v/>
      </c>
      <c r="G100" s="83">
        <f>INDEX($G$5:$G$9,MATCH(D100,$C$5:$C$9,0))</f>
        <v/>
      </c>
      <c r="H100" s="83" t="inlineStr">
        <is>
          <t>69</t>
        </is>
      </c>
      <c r="I100" s="83" t="inlineStr">
        <is>
          <t>2 Bed 1 Bath</t>
        </is>
      </c>
      <c r="J100" s="84" t="n">
        <v>1334</v>
      </c>
      <c r="K100" s="83" t="inlineStr">
        <is>
          <t>Vacant</t>
        </is>
      </c>
      <c r="L100" s="85" t="n">
        <v>1200</v>
      </c>
      <c r="M100" s="85">
        <f>Y100</f>
        <v/>
      </c>
      <c r="N100" s="86" t="n"/>
      <c r="O100" s="86" t="n"/>
      <c r="P100" s="86" t="n"/>
      <c r="Q100" s="86" t="n"/>
      <c r="R100" s="85">
        <f>SUM(AB100:AB100)</f>
        <v/>
      </c>
      <c r="S100" s="85" t="n">
        <v>0</v>
      </c>
      <c r="T100" s="85" t="n">
        <v>0</v>
      </c>
      <c r="U100" s="86" t="n"/>
      <c r="V100" s="86" t="n"/>
      <c r="W100" s="86" t="n"/>
      <c r="X100" s="86" t="n"/>
      <c r="Y100" s="85" t="n">
        <v>0</v>
      </c>
      <c r="Z100" s="86" t="n"/>
      <c r="AA100" s="86" t="n"/>
      <c r="AB100" s="86" t="n"/>
    </row>
    <row r="101">
      <c r="A101" s="72">
        <f>$D$22</f>
        <v/>
      </c>
      <c r="B101" s="72">
        <f>B100+1</f>
        <v/>
      </c>
      <c r="C101" s="72">
        <f>IF(K101="Vacant","Vac",IF(K101="Model","Model",IF(K101="Admin","Admin",IF(K101="Down","Down",IF(K101="Super","Super","Occ")))))</f>
        <v/>
      </c>
      <c r="D101" s="72">
        <f>INDEX($C$5:$C$9,MATCH(I101,$D$5:$D$9,0))</f>
        <v/>
      </c>
      <c r="E101" s="72">
        <f>INDEX($E$5:$E$9,MATCH(D101,$C$5:$C$9,0))</f>
        <v/>
      </c>
      <c r="F101" s="72">
        <f>INDEX($F$5:$F$9,MATCH(D101,$C$5:$C$9,0))</f>
        <v/>
      </c>
      <c r="G101" s="72">
        <f>INDEX($G$5:$G$9,MATCH(D101,$C$5:$C$9,0))</f>
        <v/>
      </c>
      <c r="H101" s="72" t="inlineStr">
        <is>
          <t>70</t>
        </is>
      </c>
      <c r="I101" s="72" t="inlineStr">
        <is>
          <t>2 Bed 1 Bath</t>
        </is>
      </c>
      <c r="J101" s="80" t="n">
        <v>1334</v>
      </c>
      <c r="K101" s="72" t="inlineStr">
        <is>
          <t>Ball, Ruby</t>
        </is>
      </c>
      <c r="L101" s="81" t="n">
        <v>1325</v>
      </c>
      <c r="M101" s="81">
        <f>Y101</f>
        <v/>
      </c>
      <c r="N101" s="82" t="n">
        <v>44372</v>
      </c>
      <c r="O101" s="82" t="n">
        <v>44372</v>
      </c>
      <c r="P101" s="82" t="n">
        <v>46599</v>
      </c>
      <c r="R101" s="81">
        <f>SUM(AB101:AB101)</f>
        <v/>
      </c>
      <c r="S101" s="81" t="n">
        <v>0</v>
      </c>
      <c r="T101" s="81" t="n">
        <v>0</v>
      </c>
      <c r="Y101" s="81" t="n">
        <v>1425</v>
      </c>
      <c r="AB101" s="81" t="n">
        <v>25</v>
      </c>
    </row>
    <row r="102">
      <c r="A102" s="72">
        <f>$D$22</f>
        <v/>
      </c>
      <c r="B102" s="72">
        <f>B101+1</f>
        <v/>
      </c>
      <c r="C102" s="72">
        <f>IF(K102="Vacant","Vac",IF(K102="Model","Model",IF(K102="Admin","Admin",IF(K102="Down","Down",IF(K102="Super","Super","Occ")))))</f>
        <v/>
      </c>
      <c r="D102" s="72">
        <f>INDEX($C$5:$C$9,MATCH(I102,$D$5:$D$9,0))</f>
        <v/>
      </c>
      <c r="E102" s="72">
        <f>INDEX($E$5:$E$9,MATCH(D102,$C$5:$C$9,0))</f>
        <v/>
      </c>
      <c r="F102" s="72">
        <f>INDEX($F$5:$F$9,MATCH(D102,$C$5:$C$9,0))</f>
        <v/>
      </c>
      <c r="G102" s="72">
        <f>INDEX($G$5:$G$9,MATCH(D102,$C$5:$C$9,0))</f>
        <v/>
      </c>
      <c r="H102" s="72" t="inlineStr">
        <is>
          <t>71</t>
        </is>
      </c>
      <c r="I102" s="72" t="inlineStr">
        <is>
          <t>2 Bed 1 Bath</t>
        </is>
      </c>
      <c r="J102" s="80" t="n">
        <v>1334</v>
      </c>
      <c r="K102" s="72" t="inlineStr">
        <is>
          <t>Williams (BEL), Earl</t>
        </is>
      </c>
      <c r="L102" s="81" t="n">
        <v>1325</v>
      </c>
      <c r="M102" s="81">
        <f>Y102</f>
        <v/>
      </c>
      <c r="N102" s="82" t="n">
        <v>43332</v>
      </c>
      <c r="O102" s="82" t="n">
        <v>43332</v>
      </c>
      <c r="P102" s="82" t="n">
        <v>46387</v>
      </c>
      <c r="R102" s="81">
        <f>SUM(AB102:AB102)</f>
        <v/>
      </c>
      <c r="S102" s="81" t="n">
        <v>0</v>
      </c>
      <c r="T102" s="81" t="n">
        <v>0</v>
      </c>
      <c r="Y102" s="81" t="n">
        <v>1200</v>
      </c>
    </row>
    <row r="103">
      <c r="A103" s="72">
        <f>$D$22</f>
        <v/>
      </c>
      <c r="B103" s="72">
        <f>B102+1</f>
        <v/>
      </c>
      <c r="C103" s="72">
        <f>IF(K103="Vacant","Vac",IF(K103="Model","Model",IF(K103="Admin","Admin",IF(K103="Down","Down",IF(K103="Super","Super","Occ")))))</f>
        <v/>
      </c>
      <c r="D103" s="72">
        <f>INDEX($C$5:$C$9,MATCH(I103,$D$5:$D$9,0))</f>
        <v/>
      </c>
      <c r="E103" s="72">
        <f>INDEX($E$5:$E$9,MATCH(D103,$C$5:$C$9,0))</f>
        <v/>
      </c>
      <c r="F103" s="72">
        <f>INDEX($F$5:$F$9,MATCH(D103,$C$5:$C$9,0))</f>
        <v/>
      </c>
      <c r="G103" s="72">
        <f>INDEX($G$5:$G$9,MATCH(D103,$C$5:$C$9,0))</f>
        <v/>
      </c>
      <c r="H103" s="72" t="inlineStr">
        <is>
          <t>72</t>
        </is>
      </c>
      <c r="I103" s="72" t="inlineStr">
        <is>
          <t>2 Bed 1 Bath</t>
        </is>
      </c>
      <c r="J103" s="80" t="n">
        <v>1334</v>
      </c>
      <c r="K103" s="72" t="inlineStr">
        <is>
          <t>Services, TSI, Transitional</t>
        </is>
      </c>
      <c r="L103" s="81" t="n">
        <v>1325</v>
      </c>
      <c r="M103" s="81">
        <f>Y103</f>
        <v/>
      </c>
      <c r="N103" s="82" t="n">
        <v>45467</v>
      </c>
      <c r="O103" s="82" t="n">
        <v>45467</v>
      </c>
      <c r="P103" s="82" t="n">
        <v>46568</v>
      </c>
      <c r="R103" s="81">
        <f>SUM(AB103:AB103)</f>
        <v/>
      </c>
      <c r="S103" s="81" t="n">
        <v>0</v>
      </c>
      <c r="T103" s="81" t="n">
        <v>0</v>
      </c>
      <c r="Y103" s="81" t="n">
        <v>1425</v>
      </c>
    </row>
    <row r="104">
      <c r="A104" s="72">
        <f>$D$22</f>
        <v/>
      </c>
      <c r="B104" s="72">
        <f>B103+1</f>
        <v/>
      </c>
      <c r="C104" s="72">
        <f>IF(K104="Vacant","Vac",IF(K104="Model","Model",IF(K104="Admin","Admin",IF(K104="Down","Down",IF(K104="Super","Super","Occ")))))</f>
        <v/>
      </c>
      <c r="D104" s="72">
        <f>INDEX($C$5:$C$9,MATCH(I104,$D$5:$D$9,0))</f>
        <v/>
      </c>
      <c r="E104" s="72">
        <f>INDEX($E$5:$E$9,MATCH(D104,$C$5:$C$9,0))</f>
        <v/>
      </c>
      <c r="F104" s="72">
        <f>INDEX($F$5:$F$9,MATCH(D104,$C$5:$C$9,0))</f>
        <v/>
      </c>
      <c r="G104" s="72">
        <f>INDEX($G$5:$G$9,MATCH(D104,$C$5:$C$9,0))</f>
        <v/>
      </c>
      <c r="H104" s="72" t="inlineStr">
        <is>
          <t>73</t>
        </is>
      </c>
      <c r="I104" s="72" t="inlineStr">
        <is>
          <t>2 Bed 1 Bath</t>
        </is>
      </c>
      <c r="J104" s="80" t="n">
        <v>1334</v>
      </c>
      <c r="K104" s="72" t="inlineStr">
        <is>
          <t>Matos (RACB), Alida</t>
        </is>
      </c>
      <c r="L104" s="81" t="n">
        <v>1325</v>
      </c>
      <c r="M104" s="81">
        <f>Y104</f>
        <v/>
      </c>
      <c r="N104" s="82" t="n">
        <v>37986</v>
      </c>
      <c r="O104" s="82" t="n">
        <v>37986</v>
      </c>
      <c r="P104" s="82" t="n">
        <v>46173</v>
      </c>
      <c r="R104" s="81">
        <f>SUM(AB104:AB104)</f>
        <v/>
      </c>
      <c r="S104" s="81" t="n">
        <v>0</v>
      </c>
      <c r="T104" s="81" t="n">
        <v>0</v>
      </c>
      <c r="Y104" s="81" t="n">
        <v>1350</v>
      </c>
    </row>
    <row r="105">
      <c r="A105" s="72">
        <f>$D$22</f>
        <v/>
      </c>
      <c r="B105" s="72">
        <f>B104+1</f>
        <v/>
      </c>
      <c r="C105" s="72">
        <f>IF(K105="Vacant","Vac",IF(K105="Model","Model",IF(K105="Admin","Admin",IF(K105="Down","Down",IF(K105="Super","Super","Occ")))))</f>
        <v/>
      </c>
      <c r="D105" s="72">
        <f>INDEX($C$5:$C$9,MATCH(I105,$D$5:$D$9,0))</f>
        <v/>
      </c>
      <c r="E105" s="72">
        <f>INDEX($E$5:$E$9,MATCH(D105,$C$5:$C$9,0))</f>
        <v/>
      </c>
      <c r="F105" s="72">
        <f>INDEX($F$5:$F$9,MATCH(D105,$C$5:$C$9,0))</f>
        <v/>
      </c>
      <c r="G105" s="72">
        <f>INDEX($G$5:$G$9,MATCH(D105,$C$5:$C$9,0))</f>
        <v/>
      </c>
      <c r="H105" s="72" t="inlineStr">
        <is>
          <t>74</t>
        </is>
      </c>
      <c r="I105" s="72" t="inlineStr">
        <is>
          <t>2 Bed 1 Bath</t>
        </is>
      </c>
      <c r="J105" s="80" t="n">
        <v>1334</v>
      </c>
      <c r="K105" s="72" t="inlineStr">
        <is>
          <t>Robinson, Felicia</t>
        </is>
      </c>
      <c r="L105" s="81" t="n">
        <v>1325</v>
      </c>
      <c r="M105" s="81">
        <f>Y105</f>
        <v/>
      </c>
      <c r="N105" s="82" t="n">
        <v>43347</v>
      </c>
      <c r="O105" s="82" t="n">
        <v>43347</v>
      </c>
      <c r="P105" s="82" t="n">
        <v>46295</v>
      </c>
      <c r="R105" s="81">
        <f>SUM(AB105:AB105)</f>
        <v/>
      </c>
      <c r="S105" s="81" t="n">
        <v>0</v>
      </c>
      <c r="T105" s="81" t="n">
        <v>0</v>
      </c>
      <c r="Y105" s="81" t="n">
        <v>1100</v>
      </c>
    </row>
    <row r="106">
      <c r="A106" s="72">
        <f>$D$22</f>
        <v/>
      </c>
      <c r="B106" s="72">
        <f>B105+1</f>
        <v/>
      </c>
      <c r="C106" s="72">
        <f>IF(K106="Vacant","Vac",IF(K106="Model","Model",IF(K106="Admin","Admin",IF(K106="Down","Down",IF(K106="Super","Super","Occ")))))</f>
        <v/>
      </c>
      <c r="D106" s="72">
        <f>INDEX($C$5:$C$9,MATCH(I106,$D$5:$D$9,0))</f>
        <v/>
      </c>
      <c r="E106" s="72">
        <f>INDEX($E$5:$E$9,MATCH(D106,$C$5:$C$9,0))</f>
        <v/>
      </c>
      <c r="F106" s="72">
        <f>INDEX($F$5:$F$9,MATCH(D106,$C$5:$C$9,0))</f>
        <v/>
      </c>
      <c r="G106" s="72">
        <f>INDEX($G$5:$G$9,MATCH(D106,$C$5:$C$9,0))</f>
        <v/>
      </c>
      <c r="H106" s="72" t="inlineStr">
        <is>
          <t>75</t>
        </is>
      </c>
      <c r="I106" s="72" t="inlineStr">
        <is>
          <t>2 Bed 1 Bath</t>
        </is>
      </c>
      <c r="J106" s="80" t="n">
        <v>1334</v>
      </c>
      <c r="K106" s="72" t="inlineStr">
        <is>
          <t>Rodriguez, Juan</t>
        </is>
      </c>
      <c r="L106" s="81" t="n">
        <v>1325</v>
      </c>
      <c r="M106" s="81">
        <f>Y106</f>
        <v/>
      </c>
      <c r="N106" s="82" t="n">
        <v>45547</v>
      </c>
      <c r="O106" s="82" t="n">
        <v>45547</v>
      </c>
      <c r="P106" s="82" t="n">
        <v>46295</v>
      </c>
      <c r="R106" s="81">
        <f>SUM(AB106:AB106)</f>
        <v/>
      </c>
      <c r="S106" s="81" t="n">
        <v>0</v>
      </c>
      <c r="T106" s="81" t="n">
        <v>0</v>
      </c>
      <c r="Y106" s="81" t="n">
        <v>1400</v>
      </c>
    </row>
    <row r="107">
      <c r="A107" s="72">
        <f>$D$22</f>
        <v/>
      </c>
      <c r="B107" s="72">
        <f>B106+1</f>
        <v/>
      </c>
      <c r="C107" s="72">
        <f>IF(K107="Vacant","Vac",IF(K107="Model","Model",IF(K107="Admin","Admin",IF(K107="Down","Down",IF(K107="Super","Super","Occ")))))</f>
        <v/>
      </c>
      <c r="D107" s="72">
        <f>INDEX($C$5:$C$9,MATCH(I107,$D$5:$D$9,0))</f>
        <v/>
      </c>
      <c r="E107" s="72">
        <f>INDEX($E$5:$E$9,MATCH(D107,$C$5:$C$9,0))</f>
        <v/>
      </c>
      <c r="F107" s="72">
        <f>INDEX($F$5:$F$9,MATCH(D107,$C$5:$C$9,0))</f>
        <v/>
      </c>
      <c r="G107" s="72">
        <f>INDEX($G$5:$G$9,MATCH(D107,$C$5:$C$9,0))</f>
        <v/>
      </c>
      <c r="H107" s="72" t="inlineStr">
        <is>
          <t>76</t>
        </is>
      </c>
      <c r="I107" s="72" t="inlineStr">
        <is>
          <t>2 Bed 1 Bath</t>
        </is>
      </c>
      <c r="J107" s="80" t="n">
        <v>1334</v>
      </c>
      <c r="K107" s="72" t="inlineStr">
        <is>
          <t>Rodriguez (BMHA), Betsy</t>
        </is>
      </c>
      <c r="L107" s="81" t="n">
        <v>1325</v>
      </c>
      <c r="M107" s="81">
        <f>Y107</f>
        <v/>
      </c>
      <c r="N107" s="82" t="n">
        <v>39783</v>
      </c>
      <c r="O107" s="82" t="n">
        <v>39783</v>
      </c>
      <c r="P107" s="82" t="n">
        <v>46418</v>
      </c>
      <c r="R107" s="81">
        <f>SUM(AB107:AB107)</f>
        <v/>
      </c>
      <c r="S107" s="81" t="n">
        <v>0</v>
      </c>
      <c r="T107" s="81" t="n">
        <v>0</v>
      </c>
      <c r="Y107" s="81" t="n">
        <v>1200</v>
      </c>
    </row>
    <row r="108">
      <c r="A108" s="72">
        <f>$D$22</f>
        <v/>
      </c>
      <c r="B108" s="72">
        <f>B107+1</f>
        <v/>
      </c>
      <c r="C108" s="72">
        <f>IF(K108="Vacant","Vac",IF(K108="Model","Model",IF(K108="Admin","Admin",IF(K108="Down","Down",IF(K108="Super","Super","Occ")))))</f>
        <v/>
      </c>
      <c r="D108" s="72">
        <f>INDEX($C$5:$C$9,MATCH(I108,$D$5:$D$9,0))</f>
        <v/>
      </c>
      <c r="E108" s="72">
        <f>INDEX($E$5:$E$9,MATCH(D108,$C$5:$C$9,0))</f>
        <v/>
      </c>
      <c r="F108" s="72">
        <f>INDEX($F$5:$F$9,MATCH(D108,$C$5:$C$9,0))</f>
        <v/>
      </c>
      <c r="G108" s="72">
        <f>INDEX($G$5:$G$9,MATCH(D108,$C$5:$C$9,0))</f>
        <v/>
      </c>
      <c r="H108" s="72" t="inlineStr">
        <is>
          <t>77</t>
        </is>
      </c>
      <c r="I108" s="72" t="inlineStr">
        <is>
          <t>2 Bed 1 Bath</t>
        </is>
      </c>
      <c r="J108" s="80" t="n">
        <v>1334</v>
      </c>
      <c r="K108" s="72" t="inlineStr">
        <is>
          <t>Clemons, Shandy</t>
        </is>
      </c>
      <c r="L108" s="81" t="n">
        <v>1325</v>
      </c>
      <c r="M108" s="81">
        <f>Y108</f>
        <v/>
      </c>
      <c r="N108" s="82" t="n">
        <v>46188</v>
      </c>
      <c r="O108" s="82" t="n">
        <v>46188</v>
      </c>
      <c r="P108" s="82" t="n">
        <v>46568</v>
      </c>
      <c r="R108" s="81">
        <f>SUM(AB108:AB108)</f>
        <v/>
      </c>
      <c r="S108" s="81" t="n">
        <v>0</v>
      </c>
      <c r="T108" s="81" t="n">
        <v>0</v>
      </c>
      <c r="Y108" s="81" t="n">
        <v>1300</v>
      </c>
    </row>
    <row r="109">
      <c r="A109" s="72">
        <f>$D$22</f>
        <v/>
      </c>
      <c r="B109" s="72">
        <f>B108+1</f>
        <v/>
      </c>
      <c r="C109" s="72">
        <f>IF(K109="Vacant","Vac",IF(K109="Model","Model",IF(K109="Admin","Admin",IF(K109="Down","Down",IF(K109="Super","Super","Occ")))))</f>
        <v/>
      </c>
      <c r="D109" s="72">
        <f>INDEX($C$5:$C$9,MATCH(I109,$D$5:$D$9,0))</f>
        <v/>
      </c>
      <c r="E109" s="72">
        <f>INDEX($E$5:$E$9,MATCH(D109,$C$5:$C$9,0))</f>
        <v/>
      </c>
      <c r="F109" s="72">
        <f>INDEX($F$5:$F$9,MATCH(D109,$C$5:$C$9,0))</f>
        <v/>
      </c>
      <c r="G109" s="72">
        <f>INDEX($G$5:$G$9,MATCH(D109,$C$5:$C$9,0))</f>
        <v/>
      </c>
      <c r="H109" s="72" t="inlineStr">
        <is>
          <t>78</t>
        </is>
      </c>
      <c r="I109" s="72" t="inlineStr">
        <is>
          <t>1 Bed 1 Bath</t>
        </is>
      </c>
      <c r="J109" s="80" t="n">
        <v>1149</v>
      </c>
      <c r="K109" s="72" t="inlineStr">
        <is>
          <t>Green, Taylor</t>
        </is>
      </c>
      <c r="L109" s="81" t="n">
        <v>1195</v>
      </c>
      <c r="M109" s="81">
        <f>Y109</f>
        <v/>
      </c>
      <c r="N109" s="82" t="n">
        <v>46006</v>
      </c>
      <c r="O109" s="82" t="n">
        <v>46006</v>
      </c>
      <c r="P109" s="82" t="n">
        <v>46387</v>
      </c>
      <c r="R109" s="81">
        <f>SUM(AB109:AB109)</f>
        <v/>
      </c>
      <c r="S109" s="81" t="n">
        <v>0</v>
      </c>
      <c r="T109" s="81" t="n">
        <v>0</v>
      </c>
      <c r="Y109" s="81" t="n">
        <v>1195</v>
      </c>
    </row>
    <row r="110">
      <c r="A110" s="72">
        <f>$D$22</f>
        <v/>
      </c>
      <c r="B110" s="72">
        <f>B109+1</f>
        <v/>
      </c>
      <c r="C110" s="72">
        <f>IF(K110="Vacant","Vac",IF(K110="Model","Model",IF(K110="Admin","Admin",IF(K110="Down","Down",IF(K110="Super","Super","Occ")))))</f>
        <v/>
      </c>
      <c r="D110" s="72">
        <f>INDEX($C$5:$C$9,MATCH(I110,$D$5:$D$9,0))</f>
        <v/>
      </c>
      <c r="E110" s="72">
        <f>INDEX($E$5:$E$9,MATCH(D110,$C$5:$C$9,0))</f>
        <v/>
      </c>
      <c r="F110" s="72">
        <f>INDEX($F$5:$F$9,MATCH(D110,$C$5:$C$9,0))</f>
        <v/>
      </c>
      <c r="G110" s="72">
        <f>INDEX($G$5:$G$9,MATCH(D110,$C$5:$C$9,0))</f>
        <v/>
      </c>
      <c r="H110" s="72" t="inlineStr">
        <is>
          <t>79</t>
        </is>
      </c>
      <c r="I110" s="72" t="inlineStr">
        <is>
          <t>3 Bed/1Bath FP</t>
        </is>
      </c>
      <c r="J110" s="80" t="n">
        <v>1334</v>
      </c>
      <c r="K110" s="72" t="inlineStr">
        <is>
          <t>Walker (RACB), Teniel</t>
        </is>
      </c>
      <c r="L110" s="81" t="n">
        <v>1475</v>
      </c>
      <c r="M110" s="81">
        <f>Y110</f>
        <v/>
      </c>
      <c r="N110" s="82" t="n">
        <v>43556</v>
      </c>
      <c r="O110" s="82" t="n">
        <v>43556</v>
      </c>
      <c r="P110" s="82" t="n">
        <v>46142</v>
      </c>
      <c r="R110" s="81">
        <f>SUM(AB110:AB110)</f>
        <v/>
      </c>
      <c r="S110" s="81" t="n">
        <v>0</v>
      </c>
      <c r="T110" s="81" t="n">
        <v>0</v>
      </c>
      <c r="Y110" s="81" t="n">
        <v>1325</v>
      </c>
    </row>
    <row r="111">
      <c r="A111" s="72">
        <f>$D$22</f>
        <v/>
      </c>
      <c r="B111" s="72">
        <f>B110+1</f>
        <v/>
      </c>
      <c r="C111" s="72">
        <f>IF(K111="Vacant","Vac",IF(K111="Model","Model",IF(K111="Admin","Admin",IF(K111="Down","Down",IF(K111="Super","Super","Occ")))))</f>
        <v/>
      </c>
      <c r="D111" s="72">
        <f>INDEX($C$5:$C$9,MATCH(I111,$D$5:$D$9,0))</f>
        <v/>
      </c>
      <c r="E111" s="72">
        <f>INDEX($E$5:$E$9,MATCH(D111,$C$5:$C$9,0))</f>
        <v/>
      </c>
      <c r="F111" s="72">
        <f>INDEX($F$5:$F$9,MATCH(D111,$C$5:$C$9,0))</f>
        <v/>
      </c>
      <c r="G111" s="72">
        <f>INDEX($G$5:$G$9,MATCH(D111,$C$5:$C$9,0))</f>
        <v/>
      </c>
      <c r="H111" s="72" t="inlineStr">
        <is>
          <t>80</t>
        </is>
      </c>
      <c r="I111" s="72" t="inlineStr">
        <is>
          <t>3 Bed 1.5 Bath</t>
        </is>
      </c>
      <c r="J111" s="80" t="n">
        <v>1521</v>
      </c>
      <c r="K111" s="72" t="inlineStr">
        <is>
          <t>Whittle, Wanda</t>
        </is>
      </c>
      <c r="L111" s="81" t="n">
        <v>1495</v>
      </c>
      <c r="M111" s="81">
        <f>Y111</f>
        <v/>
      </c>
      <c r="N111" s="82" t="n">
        <v>42328</v>
      </c>
      <c r="O111" s="82" t="n">
        <v>42328</v>
      </c>
      <c r="P111" s="82" t="n">
        <v>46326</v>
      </c>
      <c r="R111" s="81">
        <f>SUM(AB111:AB111)</f>
        <v/>
      </c>
      <c r="S111" s="81" t="n">
        <v>0</v>
      </c>
      <c r="T111" s="81" t="n">
        <v>0</v>
      </c>
      <c r="Y111" s="81" t="n">
        <v>1000</v>
      </c>
    </row>
    <row r="112">
      <c r="A112" s="72">
        <f>$D$22</f>
        <v/>
      </c>
      <c r="B112" s="72">
        <f>B111+1</f>
        <v/>
      </c>
      <c r="C112" s="72">
        <f>IF(K112="Vacant","Vac",IF(K112="Model","Model",IF(K112="Admin","Admin",IF(K112="Down","Down",IF(K112="Super","Super","Occ")))))</f>
        <v/>
      </c>
      <c r="D112" s="72">
        <f>INDEX($C$5:$C$9,MATCH(I112,$D$5:$D$9,0))</f>
        <v/>
      </c>
      <c r="E112" s="72">
        <f>INDEX($E$5:$E$9,MATCH(D112,$C$5:$C$9,0))</f>
        <v/>
      </c>
      <c r="F112" s="72">
        <f>INDEX($F$5:$F$9,MATCH(D112,$C$5:$C$9,0))</f>
        <v/>
      </c>
      <c r="G112" s="72">
        <f>INDEX($G$5:$G$9,MATCH(D112,$C$5:$C$9,0))</f>
        <v/>
      </c>
      <c r="H112" s="72" t="inlineStr">
        <is>
          <t>81</t>
        </is>
      </c>
      <c r="I112" s="72" t="inlineStr">
        <is>
          <t>3 Bed 1.5 Bath</t>
        </is>
      </c>
      <c r="J112" s="80" t="n">
        <v>1521</v>
      </c>
      <c r="K112" s="72" t="inlineStr">
        <is>
          <t>Anderson, Eric</t>
        </is>
      </c>
      <c r="L112" s="81" t="n">
        <v>1495</v>
      </c>
      <c r="M112" s="81">
        <f>Y112</f>
        <v/>
      </c>
      <c r="N112" s="82" t="n">
        <v>45762</v>
      </c>
      <c r="O112" s="82" t="n">
        <v>45762</v>
      </c>
      <c r="P112" s="82" t="n">
        <v>46507</v>
      </c>
      <c r="R112" s="81">
        <f>SUM(AB112:AB112)</f>
        <v/>
      </c>
      <c r="S112" s="81" t="n">
        <v>0</v>
      </c>
      <c r="T112" s="81" t="n">
        <v>0</v>
      </c>
      <c r="Y112" s="81" t="n">
        <v>1400</v>
      </c>
    </row>
    <row r="113">
      <c r="A113" s="72">
        <f>$D$22</f>
        <v/>
      </c>
      <c r="B113" s="72">
        <f>B112+1</f>
        <v/>
      </c>
      <c r="C113" s="72">
        <f>IF(K113="Vacant","Vac",IF(K113="Model","Model",IF(K113="Admin","Admin",IF(K113="Down","Down",IF(K113="Super","Super","Occ")))))</f>
        <v/>
      </c>
      <c r="D113" s="72">
        <f>INDEX($C$5:$C$9,MATCH(I113,$D$5:$D$9,0))</f>
        <v/>
      </c>
      <c r="E113" s="72">
        <f>INDEX($E$5:$E$9,MATCH(D113,$C$5:$C$9,0))</f>
        <v/>
      </c>
      <c r="F113" s="72">
        <f>INDEX($F$5:$F$9,MATCH(D113,$C$5:$C$9,0))</f>
        <v/>
      </c>
      <c r="G113" s="72">
        <f>INDEX($G$5:$G$9,MATCH(D113,$C$5:$C$9,0))</f>
        <v/>
      </c>
      <c r="H113" s="72" t="inlineStr">
        <is>
          <t>82</t>
        </is>
      </c>
      <c r="I113" s="72" t="inlineStr">
        <is>
          <t>3 Bed/ 1Bath</t>
        </is>
      </c>
      <c r="J113" s="80" t="n">
        <v>1334</v>
      </c>
      <c r="K113" s="72" t="inlineStr">
        <is>
          <t>Sosa-Hearn, Griselida</t>
        </is>
      </c>
      <c r="L113" s="81" t="n">
        <v>1325</v>
      </c>
      <c r="M113" s="81">
        <f>Y113</f>
        <v/>
      </c>
      <c r="N113" s="82" t="n">
        <v>46096</v>
      </c>
      <c r="O113" s="82" t="n">
        <v>46096</v>
      </c>
      <c r="P113" s="82" t="n">
        <v>46507</v>
      </c>
      <c r="R113" s="81">
        <f>SUM(AB113:AB113)</f>
        <v/>
      </c>
      <c r="S113" s="81" t="n">
        <v>0</v>
      </c>
      <c r="T113" s="81" t="n">
        <v>0</v>
      </c>
      <c r="Y113" s="81" t="n">
        <v>1400</v>
      </c>
      <c r="AB113" s="81" t="n">
        <v>50</v>
      </c>
    </row>
    <row r="114">
      <c r="A114" s="72">
        <f>$D$22</f>
        <v/>
      </c>
      <c r="B114" s="72">
        <f>B113+1</f>
        <v/>
      </c>
      <c r="C114" s="72">
        <f>IF(K114="Vacant","Vac",IF(K114="Model","Model",IF(K114="Admin","Admin",IF(K114="Down","Down",IF(K114="Super","Super","Occ")))))</f>
        <v/>
      </c>
      <c r="D114" s="72">
        <f>INDEX($C$5:$C$9,MATCH(I114,$D$5:$D$9,0))</f>
        <v/>
      </c>
      <c r="E114" s="72">
        <f>INDEX($E$5:$E$9,MATCH(D114,$C$5:$C$9,0))</f>
        <v/>
      </c>
      <c r="F114" s="72">
        <f>INDEX($F$5:$F$9,MATCH(D114,$C$5:$C$9,0))</f>
        <v/>
      </c>
      <c r="G114" s="72">
        <f>INDEX($G$5:$G$9,MATCH(D114,$C$5:$C$9,0))</f>
        <v/>
      </c>
      <c r="H114" s="72" t="inlineStr">
        <is>
          <t>83</t>
        </is>
      </c>
      <c r="I114" s="72" t="inlineStr">
        <is>
          <t>1 Bed 1 Bath</t>
        </is>
      </c>
      <c r="J114" s="80" t="n">
        <v>1149</v>
      </c>
      <c r="K114" s="72" t="inlineStr">
        <is>
          <t>Wortman, Patrick</t>
        </is>
      </c>
      <c r="L114" s="81" t="n">
        <v>1195</v>
      </c>
      <c r="M114" s="81">
        <f>Y114</f>
        <v/>
      </c>
      <c r="N114" s="82" t="n">
        <v>45884</v>
      </c>
      <c r="O114" s="82" t="n">
        <v>45884</v>
      </c>
      <c r="P114" s="82" t="n">
        <v>46265</v>
      </c>
      <c r="R114" s="81">
        <f>SUM(AB114:AB114)</f>
        <v/>
      </c>
      <c r="S114" s="81" t="n">
        <v>0</v>
      </c>
      <c r="T114" s="81" t="n">
        <v>0</v>
      </c>
      <c r="Y114" s="81" t="n">
        <v>1195</v>
      </c>
    </row>
    <row r="115">
      <c r="A115" s="72">
        <f>$D$22</f>
        <v/>
      </c>
      <c r="B115" s="72">
        <f>B114+1</f>
        <v/>
      </c>
      <c r="C115" s="72">
        <f>IF(K115="Vacant","Vac",IF(K115="Model","Model",IF(K115="Admin","Admin",IF(K115="Down","Down",IF(K115="Super","Super","Occ")))))</f>
        <v/>
      </c>
      <c r="D115" s="72">
        <f>INDEX($C$5:$C$9,MATCH(I115,$D$5:$D$9,0))</f>
        <v/>
      </c>
      <c r="E115" s="72">
        <f>INDEX($E$5:$E$9,MATCH(D115,$C$5:$C$9,0))</f>
        <v/>
      </c>
      <c r="F115" s="72">
        <f>INDEX($F$5:$F$9,MATCH(D115,$C$5:$C$9,0))</f>
        <v/>
      </c>
      <c r="G115" s="72">
        <f>INDEX($G$5:$G$9,MATCH(D115,$C$5:$C$9,0))</f>
        <v/>
      </c>
      <c r="H115" s="72" t="inlineStr">
        <is>
          <t>84</t>
        </is>
      </c>
      <c r="I115" s="72" t="inlineStr">
        <is>
          <t>2 Bed 1 Bath</t>
        </is>
      </c>
      <c r="J115" s="80" t="n">
        <v>1334</v>
      </c>
      <c r="K115" s="72" t="inlineStr">
        <is>
          <t>Turner, William</t>
        </is>
      </c>
      <c r="L115" s="81" t="n">
        <v>1325</v>
      </c>
      <c r="M115" s="81">
        <f>Y115</f>
        <v/>
      </c>
      <c r="N115" s="82" t="n">
        <v>45229</v>
      </c>
      <c r="O115" s="82" t="n">
        <v>45229</v>
      </c>
      <c r="P115" s="82" t="n">
        <v>45596</v>
      </c>
      <c r="R115" s="81">
        <f>SUM(AB115:AB115)</f>
        <v/>
      </c>
      <c r="S115" s="81" t="n">
        <v>0</v>
      </c>
      <c r="T115" s="81" t="n">
        <v>0</v>
      </c>
      <c r="Y115" s="81" t="n">
        <v>1200</v>
      </c>
      <c r="AB115" s="81" t="n">
        <v>200</v>
      </c>
    </row>
    <row r="116">
      <c r="A116" s="72">
        <f>$D$22</f>
        <v/>
      </c>
      <c r="B116" s="72">
        <f>B115+1</f>
        <v/>
      </c>
      <c r="C116" s="72">
        <f>IF(K116="Vacant","Vac",IF(K116="Model","Model",IF(K116="Admin","Admin",IF(K116="Down","Down",IF(K116="Super","Super","Occ")))))</f>
        <v/>
      </c>
      <c r="D116" s="72">
        <f>INDEX($C$5:$C$9,MATCH(I116,$D$5:$D$9,0))</f>
        <v/>
      </c>
      <c r="E116" s="72">
        <f>INDEX($E$5:$E$9,MATCH(D116,$C$5:$C$9,0))</f>
        <v/>
      </c>
      <c r="F116" s="72">
        <f>INDEX($F$5:$F$9,MATCH(D116,$C$5:$C$9,0))</f>
        <v/>
      </c>
      <c r="G116" s="72">
        <f>INDEX($G$5:$G$9,MATCH(D116,$C$5:$C$9,0))</f>
        <v/>
      </c>
      <c r="H116" s="72" t="inlineStr">
        <is>
          <t>85</t>
        </is>
      </c>
      <c r="I116" s="72" t="inlineStr">
        <is>
          <t>2 Bed 1 Bath</t>
        </is>
      </c>
      <c r="J116" s="80" t="n">
        <v>1334</v>
      </c>
      <c r="K116" s="72" t="inlineStr">
        <is>
          <t>Williams, Erik</t>
        </is>
      </c>
      <c r="L116" s="81" t="n">
        <v>1325</v>
      </c>
      <c r="M116" s="81">
        <f>Y116</f>
        <v/>
      </c>
      <c r="N116" s="82" t="n">
        <v>43539</v>
      </c>
      <c r="O116" s="82" t="n">
        <v>43539</v>
      </c>
      <c r="P116" s="82" t="n">
        <v>46477</v>
      </c>
      <c r="R116" s="81">
        <f>SUM(AB116:AB116)</f>
        <v/>
      </c>
      <c r="S116" s="81" t="n">
        <v>0</v>
      </c>
      <c r="T116" s="81" t="n">
        <v>0</v>
      </c>
      <c r="Y116" s="81" t="n">
        <v>1100</v>
      </c>
    </row>
    <row r="117">
      <c r="A117" s="72">
        <f>$D$22</f>
        <v/>
      </c>
      <c r="B117" s="72">
        <f>B116+1</f>
        <v/>
      </c>
      <c r="C117" s="72">
        <f>IF(K117="Vacant","Vac",IF(K117="Model","Model",IF(K117="Admin","Admin",IF(K117="Down","Down",IF(K117="Super","Super","Occ")))))</f>
        <v/>
      </c>
      <c r="D117" s="72">
        <f>INDEX($C$5:$C$9,MATCH(I117,$D$5:$D$9,0))</f>
        <v/>
      </c>
      <c r="E117" s="72">
        <f>INDEX($E$5:$E$9,MATCH(D117,$C$5:$C$9,0))</f>
        <v/>
      </c>
      <c r="F117" s="72">
        <f>INDEX($F$5:$F$9,MATCH(D117,$C$5:$C$9,0))</f>
        <v/>
      </c>
      <c r="G117" s="72">
        <f>INDEX($G$5:$G$9,MATCH(D117,$C$5:$C$9,0))</f>
        <v/>
      </c>
      <c r="H117" s="72" t="inlineStr">
        <is>
          <t>86</t>
        </is>
      </c>
      <c r="I117" s="72" t="inlineStr">
        <is>
          <t>3 Bed 1.5 Bath</t>
        </is>
      </c>
      <c r="J117" s="80" t="n">
        <v>1521</v>
      </c>
      <c r="K117" s="72" t="inlineStr">
        <is>
          <t>Brown, Marland</t>
        </is>
      </c>
      <c r="L117" s="81" t="n">
        <v>1495</v>
      </c>
      <c r="M117" s="81">
        <f>Y117</f>
        <v/>
      </c>
      <c r="N117" s="82" t="n">
        <v>45931</v>
      </c>
      <c r="O117" s="82" t="n">
        <v>45931</v>
      </c>
      <c r="P117" s="82" t="n">
        <v>46660</v>
      </c>
      <c r="R117" s="81">
        <f>SUM(AB117:AB117)</f>
        <v/>
      </c>
      <c r="S117" s="81" t="n">
        <v>0</v>
      </c>
      <c r="T117" s="81" t="n">
        <v>0</v>
      </c>
      <c r="Y117" s="81" t="n">
        <v>1495</v>
      </c>
    </row>
    <row r="118">
      <c r="A118" s="72">
        <f>$D$22</f>
        <v/>
      </c>
      <c r="B118" s="72">
        <f>B117+1</f>
        <v/>
      </c>
      <c r="C118" s="72">
        <f>IF(K118="Vacant","Vac",IF(K118="Model","Model",IF(K118="Admin","Admin",IF(K118="Down","Down",IF(K118="Super","Super","Occ")))))</f>
        <v/>
      </c>
      <c r="D118" s="72">
        <f>INDEX($C$5:$C$9,MATCH(I118,$D$5:$D$9,0))</f>
        <v/>
      </c>
      <c r="E118" s="72">
        <f>INDEX($E$5:$E$9,MATCH(D118,$C$5:$C$9,0))</f>
        <v/>
      </c>
      <c r="F118" s="72">
        <f>INDEX($F$5:$F$9,MATCH(D118,$C$5:$C$9,0))</f>
        <v/>
      </c>
      <c r="G118" s="72">
        <f>INDEX($G$5:$G$9,MATCH(D118,$C$5:$C$9,0))</f>
        <v/>
      </c>
      <c r="H118" s="72" t="inlineStr">
        <is>
          <t>87</t>
        </is>
      </c>
      <c r="I118" s="72" t="inlineStr">
        <is>
          <t>3 Bed 1.5 Bath</t>
        </is>
      </c>
      <c r="J118" s="80" t="n">
        <v>1521</v>
      </c>
      <c r="K118" s="72" t="inlineStr">
        <is>
          <t>Harper, Sheontra</t>
        </is>
      </c>
      <c r="L118" s="81" t="n">
        <v>1495</v>
      </c>
      <c r="M118" s="81">
        <f>Y118</f>
        <v/>
      </c>
      <c r="N118" s="82" t="n">
        <v>46081</v>
      </c>
      <c r="O118" s="82" t="n">
        <v>46081</v>
      </c>
      <c r="P118" s="82" t="n">
        <v>46446</v>
      </c>
      <c r="R118" s="81">
        <f>SUM(AB118:AB118)</f>
        <v/>
      </c>
      <c r="S118" s="81" t="n">
        <v>0</v>
      </c>
      <c r="T118" s="81" t="n">
        <v>0</v>
      </c>
      <c r="Y118" s="81" t="n">
        <v>1400</v>
      </c>
    </row>
    <row r="119">
      <c r="A119" s="72">
        <f>$D$22</f>
        <v/>
      </c>
      <c r="B119" s="72">
        <f>B118+1</f>
        <v/>
      </c>
      <c r="C119" s="72">
        <f>IF(K119="Vacant","Vac",IF(K119="Model","Model",IF(K119="Admin","Admin",IF(K119="Down","Down",IF(K119="Super","Super","Occ")))))</f>
        <v/>
      </c>
      <c r="D119" s="72">
        <f>INDEX($C$5:$C$9,MATCH(I119,$D$5:$D$9,0))</f>
        <v/>
      </c>
      <c r="E119" s="72">
        <f>INDEX($E$5:$E$9,MATCH(D119,$C$5:$C$9,0))</f>
        <v/>
      </c>
      <c r="F119" s="72">
        <f>INDEX($F$5:$F$9,MATCH(D119,$C$5:$C$9,0))</f>
        <v/>
      </c>
      <c r="G119" s="72">
        <f>INDEX($G$5:$G$9,MATCH(D119,$C$5:$C$9,0))</f>
        <v/>
      </c>
      <c r="H119" s="72" t="inlineStr">
        <is>
          <t>88</t>
        </is>
      </c>
      <c r="I119" s="72" t="inlineStr">
        <is>
          <t>2 Bed 1 Bath</t>
        </is>
      </c>
      <c r="J119" s="80" t="n">
        <v>1334</v>
      </c>
      <c r="K119" s="72" t="inlineStr">
        <is>
          <t>Walker, Jeanette</t>
        </is>
      </c>
      <c r="L119" s="81" t="n">
        <v>1325</v>
      </c>
      <c r="M119" s="81">
        <f>Y119</f>
        <v/>
      </c>
      <c r="N119" s="82" t="n">
        <v>42984</v>
      </c>
      <c r="O119" s="82" t="n">
        <v>42984</v>
      </c>
      <c r="P119" s="82" t="n">
        <v>46691</v>
      </c>
      <c r="R119" s="81">
        <f>SUM(AB119:AB119)</f>
        <v/>
      </c>
      <c r="S119" s="81" t="n">
        <v>0</v>
      </c>
      <c r="T119" s="81" t="n">
        <v>0</v>
      </c>
      <c r="Y119" s="81" t="n">
        <v>995</v>
      </c>
    </row>
    <row r="120">
      <c r="A120" s="72">
        <f>$D$22</f>
        <v/>
      </c>
      <c r="B120" s="72">
        <f>B119+1</f>
        <v/>
      </c>
      <c r="C120" s="72">
        <f>IF(K120="Vacant","Vac",IF(K120="Model","Model",IF(K120="Admin","Admin",IF(K120="Down","Down",IF(K120="Super","Super","Occ")))))</f>
        <v/>
      </c>
      <c r="D120" s="72">
        <f>INDEX($C$5:$C$9,MATCH(I120,$D$5:$D$9,0))</f>
        <v/>
      </c>
      <c r="E120" s="72">
        <f>INDEX($E$5:$E$9,MATCH(D120,$C$5:$C$9,0))</f>
        <v/>
      </c>
      <c r="F120" s="72">
        <f>INDEX($F$5:$F$9,MATCH(D120,$C$5:$C$9,0))</f>
        <v/>
      </c>
      <c r="G120" s="72">
        <f>INDEX($G$5:$G$9,MATCH(D120,$C$5:$C$9,0))</f>
        <v/>
      </c>
      <c r="H120" s="72" t="inlineStr">
        <is>
          <t>89</t>
        </is>
      </c>
      <c r="I120" s="72" t="inlineStr">
        <is>
          <t>2 Bed 1 Bath</t>
        </is>
      </c>
      <c r="J120" s="80" t="n">
        <v>1334</v>
      </c>
      <c r="K120" s="72" t="inlineStr">
        <is>
          <t>elmore, clintonia</t>
        </is>
      </c>
      <c r="L120" s="81" t="n">
        <v>1325</v>
      </c>
      <c r="M120" s="81">
        <f>Y120</f>
        <v/>
      </c>
      <c r="N120" s="82" t="n">
        <v>44270</v>
      </c>
      <c r="O120" s="82" t="n">
        <v>44270</v>
      </c>
      <c r="P120" s="82" t="n">
        <v>45961</v>
      </c>
      <c r="R120" s="81">
        <f>SUM(AB120:AB120)</f>
        <v/>
      </c>
      <c r="S120" s="81" t="n">
        <v>0</v>
      </c>
      <c r="T120" s="81" t="n">
        <v>0</v>
      </c>
      <c r="Y120" s="81" t="n">
        <v>1200</v>
      </c>
    </row>
    <row r="121">
      <c r="A121" s="72">
        <f>$D$22</f>
        <v/>
      </c>
      <c r="B121" s="72">
        <f>B120+1</f>
        <v/>
      </c>
      <c r="C121" s="72">
        <f>IF(K121="Vacant","Vac",IF(K121="Model","Model",IF(K121="Admin","Admin",IF(K121="Down","Down",IF(K121="Super","Super","Occ")))))</f>
        <v/>
      </c>
      <c r="D121" s="72">
        <f>INDEX($C$5:$C$9,MATCH(I121,$D$5:$D$9,0))</f>
        <v/>
      </c>
      <c r="E121" s="72">
        <f>INDEX($E$5:$E$9,MATCH(D121,$C$5:$C$9,0))</f>
        <v/>
      </c>
      <c r="F121" s="72">
        <f>INDEX($F$5:$F$9,MATCH(D121,$C$5:$C$9,0))</f>
        <v/>
      </c>
      <c r="G121" s="72">
        <f>INDEX($G$5:$G$9,MATCH(D121,$C$5:$C$9,0))</f>
        <v/>
      </c>
      <c r="H121" s="72" t="inlineStr">
        <is>
          <t>90</t>
        </is>
      </c>
      <c r="I121" s="72" t="inlineStr">
        <is>
          <t>1 Bed 1 Bath</t>
        </is>
      </c>
      <c r="J121" s="80" t="n">
        <v>1149</v>
      </c>
      <c r="K121" s="72" t="inlineStr">
        <is>
          <t>Lin, Henry</t>
        </is>
      </c>
      <c r="L121" s="81" t="n">
        <v>1195</v>
      </c>
      <c r="M121" s="81">
        <f>Y121</f>
        <v/>
      </c>
      <c r="N121" s="82" t="n">
        <v>45831</v>
      </c>
      <c r="O121" s="82" t="n">
        <v>45831</v>
      </c>
      <c r="P121" s="82" t="n">
        <v>46568</v>
      </c>
      <c r="R121" s="81">
        <f>SUM(AB121:AB121)</f>
        <v/>
      </c>
      <c r="S121" s="81" t="n">
        <v>0</v>
      </c>
      <c r="T121" s="81" t="n">
        <v>0</v>
      </c>
      <c r="Y121" s="81" t="n">
        <v>1145</v>
      </c>
    </row>
    <row r="122">
      <c r="A122" s="72">
        <f>$D$22</f>
        <v/>
      </c>
      <c r="B122" s="72">
        <f>B121+1</f>
        <v/>
      </c>
      <c r="C122" s="72">
        <f>IF(K122="Vacant","Vac",IF(K122="Model","Model",IF(K122="Admin","Admin",IF(K122="Down","Down",IF(K122="Super","Super","Occ")))))</f>
        <v/>
      </c>
      <c r="D122" s="72">
        <f>INDEX($C$5:$C$9,MATCH(I122,$D$5:$D$9,0))</f>
        <v/>
      </c>
      <c r="E122" s="72">
        <f>INDEX($E$5:$E$9,MATCH(D122,$C$5:$C$9,0))</f>
        <v/>
      </c>
      <c r="F122" s="72">
        <f>INDEX($F$5:$F$9,MATCH(D122,$C$5:$C$9,0))</f>
        <v/>
      </c>
      <c r="G122" s="72">
        <f>INDEX($G$5:$G$9,MATCH(D122,$C$5:$C$9,0))</f>
        <v/>
      </c>
      <c r="H122" s="72" t="inlineStr">
        <is>
          <t>91</t>
        </is>
      </c>
      <c r="I122" s="72" t="inlineStr">
        <is>
          <t>3 Bed/ 1Bath</t>
        </is>
      </c>
      <c r="J122" s="80" t="n">
        <v>1541</v>
      </c>
      <c r="K122" s="72" t="inlineStr">
        <is>
          <t>Neasman, Tionisha</t>
        </is>
      </c>
      <c r="L122" s="81" t="n">
        <v>1495</v>
      </c>
      <c r="M122" s="81">
        <f>Y122</f>
        <v/>
      </c>
      <c r="N122" s="82" t="n">
        <v>45267</v>
      </c>
      <c r="O122" s="82" t="n">
        <v>45267</v>
      </c>
      <c r="P122" s="82" t="n">
        <v>46387</v>
      </c>
      <c r="R122" s="81">
        <f>SUM(AB122:AB122)</f>
        <v/>
      </c>
      <c r="S122" s="81" t="n">
        <v>0</v>
      </c>
      <c r="T122" s="81" t="n">
        <v>0</v>
      </c>
      <c r="Y122" s="81" t="n">
        <v>1400</v>
      </c>
    </row>
    <row r="123">
      <c r="A123" s="83">
        <f>$D$22</f>
        <v/>
      </c>
      <c r="B123" s="83">
        <f>B122+1</f>
        <v/>
      </c>
      <c r="C123" s="83">
        <f>IF(K123="Vacant","Vac",IF(K123="Model","Model",IF(K123="Admin","Admin",IF(K123="Down","Down",IF(K123="Super","Super","Occ")))))</f>
        <v/>
      </c>
      <c r="D123" s="83">
        <f>INDEX($C$5:$C$9,MATCH(I123,$D$5:$D$9,0))</f>
        <v/>
      </c>
      <c r="E123" s="83">
        <f>INDEX($E$5:$E$9,MATCH(D123,$C$5:$C$9,0))</f>
        <v/>
      </c>
      <c r="F123" s="83">
        <f>INDEX($F$5:$F$9,MATCH(D123,$C$5:$C$9,0))</f>
        <v/>
      </c>
      <c r="G123" s="83">
        <f>INDEX($G$5:$G$9,MATCH(D123,$C$5:$C$9,0))</f>
        <v/>
      </c>
      <c r="H123" s="83" t="inlineStr">
        <is>
          <t>92</t>
        </is>
      </c>
      <c r="I123" s="83" t="inlineStr">
        <is>
          <t>1 Bed 1 Bath</t>
        </is>
      </c>
      <c r="J123" s="84" t="n">
        <v>1149</v>
      </c>
      <c r="K123" s="83" t="inlineStr">
        <is>
          <t>Vacant</t>
        </is>
      </c>
      <c r="L123" s="85" t="n">
        <v>1150</v>
      </c>
      <c r="M123" s="85">
        <f>Y123</f>
        <v/>
      </c>
      <c r="N123" s="86" t="n"/>
      <c r="O123" s="86" t="n"/>
      <c r="P123" s="86" t="n"/>
      <c r="Q123" s="86" t="n"/>
      <c r="R123" s="85">
        <f>SUM(AB123:AB123)</f>
        <v/>
      </c>
      <c r="S123" s="85" t="n">
        <v>0</v>
      </c>
      <c r="T123" s="85" t="n">
        <v>0</v>
      </c>
      <c r="U123" s="86" t="n"/>
      <c r="V123" s="86" t="n"/>
      <c r="W123" s="86" t="n"/>
      <c r="X123" s="86" t="n"/>
      <c r="Y123" s="85" t="n">
        <v>0</v>
      </c>
      <c r="Z123" s="86" t="n"/>
      <c r="AA123" s="86" t="n"/>
      <c r="AB123" s="86" t="n"/>
    </row>
    <row r="124">
      <c r="A124" s="72">
        <f>$D$22</f>
        <v/>
      </c>
      <c r="B124" s="72">
        <f>B123+1</f>
        <v/>
      </c>
      <c r="C124" s="72">
        <f>IF(K124="Vacant","Vac",IF(K124="Model","Model",IF(K124="Admin","Admin",IF(K124="Down","Down",IF(K124="Super","Super","Occ")))))</f>
        <v/>
      </c>
      <c r="D124" s="72">
        <f>INDEX($C$5:$C$9,MATCH(I124,$D$5:$D$9,0))</f>
        <v/>
      </c>
      <c r="E124" s="72">
        <f>INDEX($E$5:$E$9,MATCH(D124,$C$5:$C$9,0))</f>
        <v/>
      </c>
      <c r="F124" s="72">
        <f>INDEX($F$5:$F$9,MATCH(D124,$C$5:$C$9,0))</f>
        <v/>
      </c>
      <c r="G124" s="72">
        <f>INDEX($G$5:$G$9,MATCH(D124,$C$5:$C$9,0))</f>
        <v/>
      </c>
      <c r="H124" s="72" t="inlineStr">
        <is>
          <t>93</t>
        </is>
      </c>
      <c r="I124" s="72" t="inlineStr">
        <is>
          <t>3 Bed/ 1Bath</t>
        </is>
      </c>
      <c r="J124" s="80" t="n">
        <v>1521</v>
      </c>
      <c r="K124" s="72" t="inlineStr">
        <is>
          <t>Hussein, Mohamud</t>
        </is>
      </c>
      <c r="L124" s="81" t="n">
        <v>1495</v>
      </c>
      <c r="M124" s="81">
        <f>Y124</f>
        <v/>
      </c>
      <c r="N124" s="82" t="n">
        <v>46038</v>
      </c>
      <c r="O124" s="82" t="n">
        <v>46038</v>
      </c>
      <c r="P124" s="82" t="n">
        <v>46418</v>
      </c>
      <c r="R124" s="81">
        <f>SUM(AB124:AB124)</f>
        <v/>
      </c>
      <c r="S124" s="81" t="n">
        <v>0</v>
      </c>
      <c r="T124" s="81" t="n">
        <v>0</v>
      </c>
      <c r="Y124" s="81" t="n">
        <v>1400</v>
      </c>
    </row>
    <row r="125">
      <c r="A125" s="72">
        <f>$D$22</f>
        <v/>
      </c>
      <c r="B125" s="72">
        <f>B124+1</f>
        <v/>
      </c>
      <c r="C125" s="72">
        <f>IF(K125="Vacant","Vac",IF(K125="Model","Model",IF(K125="Admin","Admin",IF(K125="Down","Down",IF(K125="Super","Super","Occ")))))</f>
        <v/>
      </c>
      <c r="D125" s="72">
        <f>INDEX($C$5:$C$9,MATCH(I125,$D$5:$D$9,0))</f>
        <v/>
      </c>
      <c r="E125" s="72">
        <f>INDEX($E$5:$E$9,MATCH(D125,$C$5:$C$9,0))</f>
        <v/>
      </c>
      <c r="F125" s="72">
        <f>INDEX($F$5:$F$9,MATCH(D125,$C$5:$C$9,0))</f>
        <v/>
      </c>
      <c r="G125" s="72">
        <f>INDEX($G$5:$G$9,MATCH(D125,$C$5:$C$9,0))</f>
        <v/>
      </c>
      <c r="H125" s="72" t="inlineStr">
        <is>
          <t>94</t>
        </is>
      </c>
      <c r="I125" s="72" t="inlineStr">
        <is>
          <t>2 Bed 1 Bath</t>
        </is>
      </c>
      <c r="J125" s="80" t="n">
        <v>1334</v>
      </c>
      <c r="K125" s="72" t="inlineStr">
        <is>
          <t>Jenifer, Poshine</t>
        </is>
      </c>
      <c r="L125" s="81" t="n">
        <v>1325</v>
      </c>
      <c r="M125" s="81">
        <f>Y125</f>
        <v/>
      </c>
      <c r="N125" s="82" t="n">
        <v>45702</v>
      </c>
      <c r="O125" s="82" t="n">
        <v>45702</v>
      </c>
      <c r="P125" s="82" t="n">
        <v>46446</v>
      </c>
      <c r="R125" s="81">
        <f>SUM(AB125:AB125)</f>
        <v/>
      </c>
      <c r="S125" s="81" t="n">
        <v>0</v>
      </c>
      <c r="T125" s="81" t="n">
        <v>0</v>
      </c>
      <c r="Y125" s="81" t="n">
        <v>1325</v>
      </c>
    </row>
    <row r="126">
      <c r="A126" s="83">
        <f>$D$22</f>
        <v/>
      </c>
      <c r="B126" s="83">
        <f>B125+1</f>
        <v/>
      </c>
      <c r="C126" s="83">
        <f>IF(K126="Vacant","Vac",IF(K126="Model","Model",IF(K126="Admin","Admin",IF(K126="Down","Down",IF(K126="Super","Super","Occ")))))</f>
        <v/>
      </c>
      <c r="D126" s="83">
        <f>INDEX($C$5:$C$9,MATCH(I126,$D$5:$D$9,0))</f>
        <v/>
      </c>
      <c r="E126" s="83">
        <f>INDEX($E$5:$E$9,MATCH(D126,$C$5:$C$9,0))</f>
        <v/>
      </c>
      <c r="F126" s="83">
        <f>INDEX($F$5:$F$9,MATCH(D126,$C$5:$C$9,0))</f>
        <v/>
      </c>
      <c r="G126" s="83">
        <f>INDEX($G$5:$G$9,MATCH(D126,$C$5:$C$9,0))</f>
        <v/>
      </c>
      <c r="H126" s="83" t="inlineStr">
        <is>
          <t>95</t>
        </is>
      </c>
      <c r="I126" s="83" t="inlineStr">
        <is>
          <t>2 Bed 1 Bath</t>
        </is>
      </c>
      <c r="J126" s="84" t="n">
        <v>1334</v>
      </c>
      <c r="K126" s="83" t="inlineStr">
        <is>
          <t>Vacant</t>
        </is>
      </c>
      <c r="L126" s="85" t="n">
        <v>1200</v>
      </c>
      <c r="M126" s="85">
        <f>Y126</f>
        <v/>
      </c>
      <c r="N126" s="86" t="n"/>
      <c r="O126" s="86" t="n"/>
      <c r="P126" s="86" t="n"/>
      <c r="Q126" s="86" t="n"/>
      <c r="R126" s="85">
        <f>SUM(AB126:AB126)</f>
        <v/>
      </c>
      <c r="S126" s="85" t="n">
        <v>0</v>
      </c>
      <c r="T126" s="85" t="n">
        <v>0</v>
      </c>
      <c r="U126" s="86" t="n"/>
      <c r="V126" s="86" t="n"/>
      <c r="W126" s="86" t="n"/>
      <c r="X126" s="86" t="n"/>
      <c r="Y126" s="85" t="n">
        <v>0</v>
      </c>
      <c r="Z126" s="86" t="n"/>
      <c r="AA126" s="86" t="n"/>
      <c r="AB126" s="86" t="n"/>
    </row>
    <row r="127">
      <c r="A127" s="72">
        <f>$D$22</f>
        <v/>
      </c>
      <c r="B127" s="72">
        <f>B126+1</f>
        <v/>
      </c>
      <c r="C127" s="72">
        <f>IF(K127="Vacant","Vac",IF(K127="Model","Model",IF(K127="Admin","Admin",IF(K127="Down","Down",IF(K127="Super","Super","Occ")))))</f>
        <v/>
      </c>
      <c r="D127" s="72">
        <f>INDEX($C$5:$C$9,MATCH(I127,$D$5:$D$9,0))</f>
        <v/>
      </c>
      <c r="E127" s="72">
        <f>INDEX($E$5:$E$9,MATCH(D127,$C$5:$C$9,0))</f>
        <v/>
      </c>
      <c r="F127" s="72">
        <f>INDEX($F$5:$F$9,MATCH(D127,$C$5:$C$9,0))</f>
        <v/>
      </c>
      <c r="G127" s="72">
        <f>INDEX($G$5:$G$9,MATCH(D127,$C$5:$C$9,0))</f>
        <v/>
      </c>
      <c r="H127" s="72" t="inlineStr">
        <is>
          <t>96</t>
        </is>
      </c>
      <c r="I127" s="72" t="inlineStr">
        <is>
          <t>2 Bed 1 Bath</t>
        </is>
      </c>
      <c r="J127" s="80" t="n">
        <v>1334</v>
      </c>
      <c r="K127" s="72" t="inlineStr">
        <is>
          <t>Smith (BMHA), Jacqualyn</t>
        </is>
      </c>
      <c r="L127" s="81" t="n">
        <v>1325</v>
      </c>
      <c r="M127" s="81">
        <f>Y127</f>
        <v/>
      </c>
      <c r="N127" s="82" t="n">
        <v>42783</v>
      </c>
      <c r="O127" s="82" t="n">
        <v>42783</v>
      </c>
      <c r="P127" s="82" t="n">
        <v>46173</v>
      </c>
      <c r="R127" s="81">
        <f>SUM(AB127:AB127)</f>
        <v/>
      </c>
      <c r="S127" s="81" t="n">
        <v>0</v>
      </c>
      <c r="T127" s="81" t="n">
        <v>0</v>
      </c>
      <c r="Y127" s="81" t="n">
        <v>1000</v>
      </c>
    </row>
    <row r="128">
      <c r="A128" s="72">
        <f>$D$22</f>
        <v/>
      </c>
      <c r="B128" s="72">
        <f>B127+1</f>
        <v/>
      </c>
      <c r="C128" s="72">
        <f>IF(K128="Vacant","Vac",IF(K128="Model","Model",IF(K128="Admin","Admin",IF(K128="Down","Down",IF(K128="Super","Super","Occ")))))</f>
        <v/>
      </c>
      <c r="D128" s="72">
        <f>INDEX($C$5:$C$9,MATCH(I128,$D$5:$D$9,0))</f>
        <v/>
      </c>
      <c r="E128" s="72">
        <f>INDEX($E$5:$E$9,MATCH(D128,$C$5:$C$9,0))</f>
        <v/>
      </c>
      <c r="F128" s="72">
        <f>INDEX($F$5:$F$9,MATCH(D128,$C$5:$C$9,0))</f>
        <v/>
      </c>
      <c r="G128" s="72">
        <f>INDEX($G$5:$G$9,MATCH(D128,$C$5:$C$9,0))</f>
        <v/>
      </c>
      <c r="H128" s="72" t="inlineStr">
        <is>
          <t>97</t>
        </is>
      </c>
      <c r="I128" s="72" t="inlineStr">
        <is>
          <t>2 Bed 1 Bath</t>
        </is>
      </c>
      <c r="J128" s="80" t="n">
        <v>1334</v>
      </c>
      <c r="K128" s="72" t="inlineStr">
        <is>
          <t>Coleman, Joseph</t>
        </is>
      </c>
      <c r="L128" s="81" t="n">
        <v>1325</v>
      </c>
      <c r="M128" s="81">
        <f>Y128</f>
        <v/>
      </c>
      <c r="N128" s="82" t="n">
        <v>43433</v>
      </c>
      <c r="O128" s="82" t="n">
        <v>43433</v>
      </c>
      <c r="P128" s="82" t="n">
        <v>46022</v>
      </c>
      <c r="R128" s="81">
        <f>SUM(AB128:AB128)</f>
        <v/>
      </c>
      <c r="S128" s="81" t="n">
        <v>0</v>
      </c>
      <c r="T128" s="81" t="n">
        <v>0</v>
      </c>
      <c r="Y128" s="81" t="n">
        <v>825</v>
      </c>
    </row>
    <row r="129">
      <c r="A129" s="72">
        <f>$D$22</f>
        <v/>
      </c>
      <c r="B129" s="72">
        <f>B128+1</f>
        <v/>
      </c>
      <c r="C129" s="72">
        <f>IF(K129="Vacant","Vac",IF(K129="Model","Model",IF(K129="Admin","Admin",IF(K129="Down","Down",IF(K129="Super","Super","Occ")))))</f>
        <v/>
      </c>
      <c r="D129" s="72">
        <f>INDEX($C$5:$C$9,MATCH(I129,$D$5:$D$9,0))</f>
        <v/>
      </c>
      <c r="E129" s="72">
        <f>INDEX($E$5:$E$9,MATCH(D129,$C$5:$C$9,0))</f>
        <v/>
      </c>
      <c r="F129" s="72">
        <f>INDEX($F$5:$F$9,MATCH(D129,$C$5:$C$9,0))</f>
        <v/>
      </c>
      <c r="G129" s="72">
        <f>INDEX($G$5:$G$9,MATCH(D129,$C$5:$C$9,0))</f>
        <v/>
      </c>
      <c r="H129" s="72" t="inlineStr">
        <is>
          <t>98</t>
        </is>
      </c>
      <c r="I129" s="72" t="inlineStr">
        <is>
          <t>2 Bed 1 Bath</t>
        </is>
      </c>
      <c r="J129" s="80" t="n">
        <v>1334</v>
      </c>
      <c r="K129" s="72" t="inlineStr">
        <is>
          <t>Bennett, Dezarai</t>
        </is>
      </c>
      <c r="L129" s="81" t="n">
        <v>1325</v>
      </c>
      <c r="M129" s="81">
        <f>Y129</f>
        <v/>
      </c>
      <c r="N129" s="82" t="n">
        <v>45593</v>
      </c>
      <c r="O129" s="82" t="n">
        <v>45593</v>
      </c>
      <c r="P129" s="82" t="n">
        <v>46326</v>
      </c>
      <c r="R129" s="81">
        <f>SUM(AB129:AB129)</f>
        <v/>
      </c>
      <c r="S129" s="81" t="n">
        <v>0</v>
      </c>
      <c r="T129" s="81" t="n">
        <v>0</v>
      </c>
      <c r="Y129" s="81" t="n">
        <v>1325</v>
      </c>
    </row>
    <row r="130">
      <c r="A130" s="72">
        <f>$D$22</f>
        <v/>
      </c>
      <c r="B130" s="72">
        <f>B129+1</f>
        <v/>
      </c>
      <c r="C130" s="72">
        <f>IF(K130="Vacant","Vac",IF(K130="Model","Model",IF(K130="Admin","Admin",IF(K130="Down","Down",IF(K130="Super","Super","Occ")))))</f>
        <v/>
      </c>
      <c r="D130" s="72">
        <f>INDEX($C$5:$C$9,MATCH(I130,$D$5:$D$9,0))</f>
        <v/>
      </c>
      <c r="E130" s="72">
        <f>INDEX($E$5:$E$9,MATCH(D130,$C$5:$C$9,0))</f>
        <v/>
      </c>
      <c r="F130" s="72">
        <f>INDEX($F$5:$F$9,MATCH(D130,$C$5:$C$9,0))</f>
        <v/>
      </c>
      <c r="G130" s="72">
        <f>INDEX($G$5:$G$9,MATCH(D130,$C$5:$C$9,0))</f>
        <v/>
      </c>
      <c r="H130" s="72" t="inlineStr">
        <is>
          <t>99</t>
        </is>
      </c>
      <c r="I130" s="72" t="inlineStr">
        <is>
          <t>2 Bed 1 Bath</t>
        </is>
      </c>
      <c r="J130" s="80" t="n">
        <v>1334</v>
      </c>
      <c r="K130" s="72" t="inlineStr">
        <is>
          <t>Harper, Robert</t>
        </is>
      </c>
      <c r="L130" s="81" t="n">
        <v>1325</v>
      </c>
      <c r="M130" s="81">
        <f>Y130</f>
        <v/>
      </c>
      <c r="N130" s="82" t="n">
        <v>41974</v>
      </c>
      <c r="O130" s="82" t="n">
        <v>41974</v>
      </c>
      <c r="P130" s="82" t="n">
        <v>46326</v>
      </c>
      <c r="R130" s="81">
        <f>SUM(AB130:AB130)</f>
        <v/>
      </c>
      <c r="S130" s="81" t="n">
        <v>0</v>
      </c>
      <c r="T130" s="81" t="n">
        <v>0</v>
      </c>
      <c r="Y130" s="81" t="n">
        <v>1075</v>
      </c>
    </row>
    <row r="131">
      <c r="A131" s="72">
        <f>$D$22</f>
        <v/>
      </c>
      <c r="B131" s="72">
        <f>B130+1</f>
        <v/>
      </c>
      <c r="C131" s="72">
        <f>IF(K131="Vacant","Vac",IF(K131="Model","Model",IF(K131="Admin","Admin",IF(K131="Down","Down",IF(K131="Super","Super","Occ")))))</f>
        <v/>
      </c>
      <c r="D131" s="72">
        <f>INDEX($C$5:$C$9,MATCH(I131,$D$5:$D$9,0))</f>
        <v/>
      </c>
      <c r="E131" s="72">
        <f>INDEX($E$5:$E$9,MATCH(D131,$C$5:$C$9,0))</f>
        <v/>
      </c>
      <c r="F131" s="72">
        <f>INDEX($F$5:$F$9,MATCH(D131,$C$5:$C$9,0))</f>
        <v/>
      </c>
      <c r="G131" s="72">
        <f>INDEX($G$5:$G$9,MATCH(D131,$C$5:$C$9,0))</f>
        <v/>
      </c>
      <c r="H131" s="72" t="inlineStr">
        <is>
          <t>100</t>
        </is>
      </c>
      <c r="I131" s="72" t="inlineStr">
        <is>
          <t>2 Bed 1 Bath</t>
        </is>
      </c>
      <c r="J131" s="80" t="n">
        <v>1334</v>
      </c>
      <c r="K131" s="72" t="inlineStr">
        <is>
          <t>Spencer, Gerry</t>
        </is>
      </c>
      <c r="L131" s="81" t="n">
        <v>1325</v>
      </c>
      <c r="M131" s="81">
        <f>Y131</f>
        <v/>
      </c>
      <c r="N131" s="82" t="n">
        <v>44769</v>
      </c>
      <c r="O131" s="82" t="n">
        <v>44769</v>
      </c>
      <c r="P131" s="82" t="n">
        <v>46599</v>
      </c>
      <c r="R131" s="81">
        <f>SUM(AB131:AB131)</f>
        <v/>
      </c>
      <c r="S131" s="81" t="n">
        <v>0</v>
      </c>
      <c r="T131" s="81" t="n">
        <v>0</v>
      </c>
      <c r="Y131" s="81" t="n">
        <v>1475</v>
      </c>
    </row>
    <row r="132">
      <c r="A132" s="83">
        <f>$D$22</f>
        <v/>
      </c>
      <c r="B132" s="83">
        <f>B131+1</f>
        <v/>
      </c>
      <c r="C132" s="83">
        <f>IF(K132="Vacant","Vac",IF(K132="Model","Model",IF(K132="Admin","Admin",IF(K132="Down","Down",IF(K132="Super","Super","Occ")))))</f>
        <v/>
      </c>
      <c r="D132" s="83">
        <f>INDEX($C$5:$C$9,MATCH(I132,$D$5:$D$9,0))</f>
        <v/>
      </c>
      <c r="E132" s="83">
        <f>INDEX($E$5:$E$9,MATCH(D132,$C$5:$C$9,0))</f>
        <v/>
      </c>
      <c r="F132" s="83">
        <f>INDEX($F$5:$F$9,MATCH(D132,$C$5:$C$9,0))</f>
        <v/>
      </c>
      <c r="G132" s="83">
        <f>INDEX($G$5:$G$9,MATCH(D132,$C$5:$C$9,0))</f>
        <v/>
      </c>
      <c r="H132" s="83" t="inlineStr">
        <is>
          <t>101</t>
        </is>
      </c>
      <c r="I132" s="83" t="inlineStr">
        <is>
          <t>2 Bed 1 Bath</t>
        </is>
      </c>
      <c r="J132" s="84" t="n">
        <v>1334</v>
      </c>
      <c r="K132" s="83" t="inlineStr">
        <is>
          <t>Vacant</t>
        </is>
      </c>
      <c r="L132" s="85" t="n">
        <v>1200</v>
      </c>
      <c r="M132" s="85">
        <f>Y132</f>
        <v/>
      </c>
      <c r="N132" s="86" t="n"/>
      <c r="O132" s="86" t="n"/>
      <c r="P132" s="86" t="n"/>
      <c r="Q132" s="86" t="n"/>
      <c r="R132" s="85">
        <f>SUM(AB132:AB132)</f>
        <v/>
      </c>
      <c r="S132" s="85" t="n">
        <v>0</v>
      </c>
      <c r="T132" s="85" t="n">
        <v>0</v>
      </c>
      <c r="U132" s="86" t="n"/>
      <c r="V132" s="86" t="n"/>
      <c r="W132" s="86" t="n"/>
      <c r="X132" s="86" t="n"/>
      <c r="Y132" s="85" t="n">
        <v>0</v>
      </c>
      <c r="Z132" s="86" t="n"/>
      <c r="AA132" s="86" t="n"/>
      <c r="AB132" s="86" t="n"/>
    </row>
    <row r="133">
      <c r="A133" s="72">
        <f>$D$22</f>
        <v/>
      </c>
      <c r="B133" s="72">
        <f>B132+1</f>
        <v/>
      </c>
      <c r="C133" s="72">
        <f>IF(K133="Vacant","Vac",IF(K133="Model","Model",IF(K133="Admin","Admin",IF(K133="Down","Down",IF(K133="Super","Super","Occ")))))</f>
        <v/>
      </c>
      <c r="D133" s="72">
        <f>INDEX($C$5:$C$9,MATCH(I133,$D$5:$D$9,0))</f>
        <v/>
      </c>
      <c r="E133" s="72">
        <f>INDEX($E$5:$E$9,MATCH(D133,$C$5:$C$9,0))</f>
        <v/>
      </c>
      <c r="F133" s="72">
        <f>INDEX($F$5:$F$9,MATCH(D133,$C$5:$C$9,0))</f>
        <v/>
      </c>
      <c r="G133" s="72">
        <f>INDEX($G$5:$G$9,MATCH(D133,$C$5:$C$9,0))</f>
        <v/>
      </c>
      <c r="H133" s="72" t="inlineStr">
        <is>
          <t>102</t>
        </is>
      </c>
      <c r="I133" s="72" t="inlineStr">
        <is>
          <t>2 Bed 1 Bath</t>
        </is>
      </c>
      <c r="J133" s="80" t="n">
        <v>1334</v>
      </c>
      <c r="K133" s="72" t="inlineStr">
        <is>
          <t>Perez (RACB), Estralita</t>
        </is>
      </c>
      <c r="L133" s="81" t="n">
        <v>1325</v>
      </c>
      <c r="M133" s="81">
        <f>Y133</f>
        <v/>
      </c>
      <c r="N133" s="82" t="n">
        <v>36831</v>
      </c>
      <c r="O133" s="82" t="n">
        <v>36831</v>
      </c>
      <c r="P133" s="82" t="n">
        <v>46538</v>
      </c>
      <c r="R133" s="81">
        <f>SUM(AB133:AB133)</f>
        <v/>
      </c>
      <c r="S133" s="81" t="n">
        <v>0</v>
      </c>
      <c r="T133" s="81" t="n">
        <v>0</v>
      </c>
      <c r="Y133" s="81" t="n">
        <v>1225</v>
      </c>
    </row>
    <row r="134">
      <c r="A134" s="72">
        <f>$D$22</f>
        <v/>
      </c>
      <c r="B134" s="72">
        <f>B133+1</f>
        <v/>
      </c>
      <c r="C134" s="72">
        <f>IF(K134="Vacant","Vac",IF(K134="Model","Model",IF(K134="Admin","Admin",IF(K134="Down","Down",IF(K134="Super","Super","Occ")))))</f>
        <v/>
      </c>
      <c r="D134" s="72">
        <f>INDEX($C$5:$C$9,MATCH(I134,$D$5:$D$9,0))</f>
        <v/>
      </c>
      <c r="E134" s="72">
        <f>INDEX($E$5:$E$9,MATCH(D134,$C$5:$C$9,0))</f>
        <v/>
      </c>
      <c r="F134" s="72">
        <f>INDEX($F$5:$F$9,MATCH(D134,$C$5:$C$9,0))</f>
        <v/>
      </c>
      <c r="G134" s="72">
        <f>INDEX($G$5:$G$9,MATCH(D134,$C$5:$C$9,0))</f>
        <v/>
      </c>
      <c r="H134" s="72" t="inlineStr">
        <is>
          <t>103</t>
        </is>
      </c>
      <c r="I134" s="72" t="inlineStr">
        <is>
          <t>2 Bed 1 Bath</t>
        </is>
      </c>
      <c r="J134" s="80" t="n">
        <v>1334</v>
      </c>
      <c r="K134" s="72" t="inlineStr">
        <is>
          <t>Santiago (RACB), Grace</t>
        </is>
      </c>
      <c r="L134" s="81" t="n">
        <v>1325</v>
      </c>
      <c r="M134" s="81">
        <f>Y134</f>
        <v/>
      </c>
      <c r="N134" s="82" t="n">
        <v>43192</v>
      </c>
      <c r="O134" s="82" t="n">
        <v>43192</v>
      </c>
      <c r="P134" s="82" t="n">
        <v>46507</v>
      </c>
      <c r="R134" s="81">
        <f>SUM(AB134:AB134)</f>
        <v/>
      </c>
      <c r="S134" s="81" t="n">
        <v>0</v>
      </c>
      <c r="T134" s="81" t="n">
        <v>0</v>
      </c>
      <c r="Y134" s="81" t="n">
        <v>1050</v>
      </c>
    </row>
    <row r="135">
      <c r="A135" s="72">
        <f>$D$22</f>
        <v/>
      </c>
      <c r="B135" s="72">
        <f>B134+1</f>
        <v/>
      </c>
      <c r="C135" s="72">
        <f>IF(K135="Vacant","Vac",IF(K135="Model","Model",IF(K135="Admin","Admin",IF(K135="Down","Down",IF(K135="Super","Super","Occ")))))</f>
        <v/>
      </c>
      <c r="D135" s="72">
        <f>INDEX($C$5:$C$9,MATCH(I135,$D$5:$D$9,0))</f>
        <v/>
      </c>
      <c r="E135" s="72">
        <f>INDEX($E$5:$E$9,MATCH(D135,$C$5:$C$9,0))</f>
        <v/>
      </c>
      <c r="F135" s="72">
        <f>INDEX($F$5:$F$9,MATCH(D135,$C$5:$C$9,0))</f>
        <v/>
      </c>
      <c r="G135" s="72">
        <f>INDEX($G$5:$G$9,MATCH(D135,$C$5:$C$9,0))</f>
        <v/>
      </c>
      <c r="H135" s="72" t="inlineStr">
        <is>
          <t>104</t>
        </is>
      </c>
      <c r="I135" s="72" t="inlineStr">
        <is>
          <t>2 Bed 1 Bath</t>
        </is>
      </c>
      <c r="J135" s="80" t="n">
        <v>1334</v>
      </c>
      <c r="K135" s="72" t="inlineStr">
        <is>
          <t>Sanchez, Melissa</t>
        </is>
      </c>
      <c r="L135" s="81" t="n">
        <v>1325</v>
      </c>
      <c r="M135" s="81">
        <f>Y135</f>
        <v/>
      </c>
      <c r="N135" s="82" t="n">
        <v>44216</v>
      </c>
      <c r="O135" s="82" t="n">
        <v>44216</v>
      </c>
      <c r="P135" s="82" t="n">
        <v>46418</v>
      </c>
      <c r="R135" s="81">
        <f>SUM(AB135:AB135)</f>
        <v/>
      </c>
      <c r="S135" s="81" t="n">
        <v>0</v>
      </c>
      <c r="T135" s="81" t="n">
        <v>0</v>
      </c>
      <c r="Y135" s="81" t="n">
        <v>1300</v>
      </c>
    </row>
    <row r="136">
      <c r="A136" s="72">
        <f>$D$22</f>
        <v/>
      </c>
      <c r="B136" s="72">
        <f>B135+1</f>
        <v/>
      </c>
      <c r="C136" s="72">
        <f>IF(K136="Vacant","Vac",IF(K136="Model","Model",IF(K136="Admin","Admin",IF(K136="Down","Down",IF(K136="Super","Super","Occ")))))</f>
        <v/>
      </c>
      <c r="D136" s="72">
        <f>INDEX($C$5:$C$9,MATCH(I136,$D$5:$D$9,0))</f>
        <v/>
      </c>
      <c r="E136" s="72">
        <f>INDEX($E$5:$E$9,MATCH(D136,$C$5:$C$9,0))</f>
        <v/>
      </c>
      <c r="F136" s="72">
        <f>INDEX($F$5:$F$9,MATCH(D136,$C$5:$C$9,0))</f>
        <v/>
      </c>
      <c r="G136" s="72">
        <f>INDEX($G$5:$G$9,MATCH(D136,$C$5:$C$9,0))</f>
        <v/>
      </c>
      <c r="H136" s="72" t="inlineStr">
        <is>
          <t>105</t>
        </is>
      </c>
      <c r="I136" s="72" t="inlineStr">
        <is>
          <t>2 Bed 1 Bath</t>
        </is>
      </c>
      <c r="J136" s="80" t="n">
        <v>1334</v>
      </c>
      <c r="K136" s="72" t="inlineStr">
        <is>
          <t>Fair, Babette</t>
        </is>
      </c>
      <c r="L136" s="81" t="n">
        <v>1325</v>
      </c>
      <c r="M136" s="81">
        <f>Y136</f>
        <v/>
      </c>
      <c r="N136" s="82" t="n">
        <v>40756</v>
      </c>
      <c r="O136" s="82" t="n">
        <v>40756</v>
      </c>
      <c r="P136" s="82" t="n">
        <v>46599</v>
      </c>
      <c r="R136" s="81">
        <f>SUM(AB136:AB136)</f>
        <v/>
      </c>
      <c r="S136" s="81" t="n">
        <v>0</v>
      </c>
      <c r="T136" s="81" t="n">
        <v>0</v>
      </c>
      <c r="Y136" s="81" t="n">
        <v>1095</v>
      </c>
    </row>
    <row r="137">
      <c r="A137" s="72">
        <f>$D$22</f>
        <v/>
      </c>
      <c r="B137" s="72">
        <f>B136+1</f>
        <v/>
      </c>
      <c r="C137" s="72">
        <f>IF(K137="Vacant","Vac",IF(K137="Model","Model",IF(K137="Admin","Admin",IF(K137="Down","Down",IF(K137="Super","Super","Occ")))))</f>
        <v/>
      </c>
      <c r="D137" s="72">
        <f>INDEX($C$5:$C$9,MATCH(I137,$D$5:$D$9,0))</f>
        <v/>
      </c>
      <c r="E137" s="72">
        <f>INDEX($E$5:$E$9,MATCH(D137,$C$5:$C$9,0))</f>
        <v/>
      </c>
      <c r="F137" s="72">
        <f>INDEX($F$5:$F$9,MATCH(D137,$C$5:$C$9,0))</f>
        <v/>
      </c>
      <c r="G137" s="72">
        <f>INDEX($G$5:$G$9,MATCH(D137,$C$5:$C$9,0))</f>
        <v/>
      </c>
      <c r="H137" s="72" t="inlineStr">
        <is>
          <t>106</t>
        </is>
      </c>
      <c r="I137" s="72" t="inlineStr">
        <is>
          <t>2 Bed 1 Bath</t>
        </is>
      </c>
      <c r="J137" s="80" t="n">
        <v>1334</v>
      </c>
      <c r="K137" s="72" t="inlineStr">
        <is>
          <t>Harris (BEL), Willette</t>
        </is>
      </c>
      <c r="L137" s="81" t="n">
        <v>1275</v>
      </c>
      <c r="M137" s="81">
        <f>Y137</f>
        <v/>
      </c>
      <c r="N137" s="82" t="n">
        <v>45962</v>
      </c>
      <c r="O137" s="82" t="n">
        <v>45962</v>
      </c>
      <c r="P137" s="82" t="n">
        <v>46326</v>
      </c>
      <c r="R137" s="81">
        <f>SUM(AB137:AB137)</f>
        <v/>
      </c>
      <c r="S137" s="81" t="n">
        <v>0</v>
      </c>
      <c r="T137" s="81" t="n">
        <v>0</v>
      </c>
      <c r="Y137" s="81" t="n">
        <v>1209</v>
      </c>
    </row>
    <row r="138">
      <c r="A138" s="72">
        <f>$D$22</f>
        <v/>
      </c>
      <c r="B138" s="72">
        <f>B137+1</f>
        <v/>
      </c>
      <c r="C138" s="72">
        <f>IF(K138="Vacant","Vac",IF(K138="Model","Model",IF(K138="Admin","Admin",IF(K138="Down","Down",IF(K138="Super","Super","Occ")))))</f>
        <v/>
      </c>
      <c r="D138" s="72">
        <f>INDEX($C$5:$C$9,MATCH(I138,$D$5:$D$9,0))</f>
        <v/>
      </c>
      <c r="E138" s="72">
        <f>INDEX($E$5:$E$9,MATCH(D138,$C$5:$C$9,0))</f>
        <v/>
      </c>
      <c r="F138" s="72">
        <f>INDEX($F$5:$F$9,MATCH(D138,$C$5:$C$9,0))</f>
        <v/>
      </c>
      <c r="G138" s="72">
        <f>INDEX($G$5:$G$9,MATCH(D138,$C$5:$C$9,0))</f>
        <v/>
      </c>
      <c r="H138" s="72" t="inlineStr">
        <is>
          <t>107</t>
        </is>
      </c>
      <c r="I138" s="72" t="inlineStr">
        <is>
          <t>2 Bed 1 Bath</t>
        </is>
      </c>
      <c r="J138" s="80" t="n">
        <v>1334</v>
      </c>
      <c r="K138" s="72" t="inlineStr">
        <is>
          <t>Colon (BEL), Linet</t>
        </is>
      </c>
      <c r="L138" s="81" t="n">
        <v>1325</v>
      </c>
      <c r="M138" s="81">
        <f>Y138</f>
        <v/>
      </c>
      <c r="N138" s="82" t="n">
        <v>45839</v>
      </c>
      <c r="O138" s="82" t="n">
        <v>45839</v>
      </c>
      <c r="P138" s="82" t="n">
        <v>46203</v>
      </c>
      <c r="R138" s="81">
        <f>SUM(AB138:AB138)</f>
        <v/>
      </c>
      <c r="S138" s="81" t="n">
        <v>0</v>
      </c>
      <c r="T138" s="81" t="n">
        <v>0</v>
      </c>
      <c r="Y138" s="81" t="n">
        <v>1209</v>
      </c>
    </row>
    <row r="139">
      <c r="A139" s="72">
        <f>$D$22</f>
        <v/>
      </c>
      <c r="B139" s="72">
        <f>B138+1</f>
        <v/>
      </c>
      <c r="C139" s="72">
        <f>IF(K139="Vacant","Vac",IF(K139="Model","Model",IF(K139="Admin","Admin",IF(K139="Down","Down",IF(K139="Super","Super","Occ")))))</f>
        <v/>
      </c>
      <c r="D139" s="72">
        <f>INDEX($C$5:$C$9,MATCH(I139,$D$5:$D$9,0))</f>
        <v/>
      </c>
      <c r="E139" s="72">
        <f>INDEX($E$5:$E$9,MATCH(D139,$C$5:$C$9,0))</f>
        <v/>
      </c>
      <c r="F139" s="72">
        <f>INDEX($F$5:$F$9,MATCH(D139,$C$5:$C$9,0))</f>
        <v/>
      </c>
      <c r="G139" s="72">
        <f>INDEX($G$5:$G$9,MATCH(D139,$C$5:$C$9,0))</f>
        <v/>
      </c>
      <c r="H139" s="72" t="inlineStr">
        <is>
          <t>108</t>
        </is>
      </c>
      <c r="I139" s="72" t="inlineStr">
        <is>
          <t>2 Bed 1 Bath</t>
        </is>
      </c>
      <c r="J139" s="80" t="n">
        <v>1334</v>
      </c>
      <c r="K139" s="72" t="inlineStr">
        <is>
          <t>Bernard (RACB), Ana</t>
        </is>
      </c>
      <c r="L139" s="81" t="n">
        <v>1325</v>
      </c>
      <c r="M139" s="81">
        <f>Y139</f>
        <v/>
      </c>
      <c r="N139" s="82" t="n">
        <v>42594</v>
      </c>
      <c r="O139" s="82" t="n">
        <v>42594</v>
      </c>
      <c r="P139" s="82" t="n">
        <v>46112</v>
      </c>
      <c r="R139" s="81">
        <f>SUM(AB139:AB139)</f>
        <v/>
      </c>
      <c r="S139" s="81" t="n">
        <v>0</v>
      </c>
      <c r="T139" s="81" t="n">
        <v>0</v>
      </c>
      <c r="Y139" s="81" t="n">
        <v>1200</v>
      </c>
    </row>
    <row r="140">
      <c r="A140" s="72">
        <f>$D$22</f>
        <v/>
      </c>
      <c r="B140" s="72">
        <f>B139+1</f>
        <v/>
      </c>
      <c r="C140" s="72">
        <f>IF(K140="Vacant","Vac",IF(K140="Model","Model",IF(K140="Admin","Admin",IF(K140="Down","Down",IF(K140="Super","Super","Occ")))))</f>
        <v/>
      </c>
      <c r="D140" s="72">
        <f>INDEX($C$5:$C$9,MATCH(I140,$D$5:$D$9,0))</f>
        <v/>
      </c>
      <c r="E140" s="72">
        <f>INDEX($E$5:$E$9,MATCH(D140,$C$5:$C$9,0))</f>
        <v/>
      </c>
      <c r="F140" s="72">
        <f>INDEX($F$5:$F$9,MATCH(D140,$C$5:$C$9,0))</f>
        <v/>
      </c>
      <c r="G140" s="72">
        <f>INDEX($G$5:$G$9,MATCH(D140,$C$5:$C$9,0))</f>
        <v/>
      </c>
      <c r="H140" s="72" t="inlineStr">
        <is>
          <t>109</t>
        </is>
      </c>
      <c r="I140" s="72" t="inlineStr">
        <is>
          <t>3 Bed 1.5 Bath</t>
        </is>
      </c>
      <c r="J140" s="80" t="n">
        <v>1521</v>
      </c>
      <c r="K140" s="72" t="inlineStr">
        <is>
          <t>Cardona, Tavializ</t>
        </is>
      </c>
      <c r="L140" s="81" t="n">
        <v>1475</v>
      </c>
      <c r="M140" s="81">
        <f>Y140</f>
        <v/>
      </c>
      <c r="N140" s="82" t="n">
        <v>42795</v>
      </c>
      <c r="O140" s="82" t="n">
        <v>42795</v>
      </c>
      <c r="P140" s="82" t="n">
        <v>46446</v>
      </c>
      <c r="R140" s="81">
        <f>SUM(AB140:AB140)</f>
        <v/>
      </c>
      <c r="S140" s="81" t="n">
        <v>0</v>
      </c>
      <c r="T140" s="81" t="n">
        <v>0</v>
      </c>
      <c r="Y140" s="81" t="n">
        <v>1175</v>
      </c>
    </row>
    <row r="141">
      <c r="A141" s="72">
        <f>$D$22</f>
        <v/>
      </c>
      <c r="B141" s="72">
        <f>B140+1</f>
        <v/>
      </c>
      <c r="C141" s="72">
        <f>IF(K141="Vacant","Vac",IF(K141="Model","Model",IF(K141="Admin","Admin",IF(K141="Down","Down",IF(K141="Super","Super","Occ")))))</f>
        <v/>
      </c>
      <c r="D141" s="72">
        <f>INDEX($C$5:$C$9,MATCH(I141,$D$5:$D$9,0))</f>
        <v/>
      </c>
      <c r="E141" s="72">
        <f>INDEX($E$5:$E$9,MATCH(D141,$C$5:$C$9,0))</f>
        <v/>
      </c>
      <c r="F141" s="72">
        <f>INDEX($F$5:$F$9,MATCH(D141,$C$5:$C$9,0))</f>
        <v/>
      </c>
      <c r="G141" s="72">
        <f>INDEX($G$5:$G$9,MATCH(D141,$C$5:$C$9,0))</f>
        <v/>
      </c>
      <c r="H141" s="72" t="inlineStr">
        <is>
          <t>110</t>
        </is>
      </c>
      <c r="I141" s="72" t="inlineStr">
        <is>
          <t>3 Bed 1.5 Bath</t>
        </is>
      </c>
      <c r="J141" s="80" t="n">
        <v>1521</v>
      </c>
      <c r="K141" s="72" t="inlineStr">
        <is>
          <t>Carrion (EC), Rosemarie</t>
        </is>
      </c>
      <c r="L141" s="81" t="n">
        <v>1325</v>
      </c>
      <c r="M141" s="81">
        <f>Y141</f>
        <v/>
      </c>
      <c r="N141" s="82" t="n">
        <v>43070</v>
      </c>
      <c r="O141" s="82" t="n">
        <v>43070</v>
      </c>
      <c r="P141" s="82" t="n">
        <v>46356</v>
      </c>
      <c r="R141" s="81">
        <f>SUM(AB141:AB141)</f>
        <v/>
      </c>
      <c r="S141" s="81" t="n">
        <v>0</v>
      </c>
      <c r="T141" s="81" t="n">
        <v>0</v>
      </c>
      <c r="Y141" s="81" t="n">
        <v>1125</v>
      </c>
      <c r="AB141" s="81" t="n">
        <v>50</v>
      </c>
    </row>
    <row r="142">
      <c r="A142" s="72">
        <f>$D$22</f>
        <v/>
      </c>
      <c r="B142" s="72">
        <f>B141+1</f>
        <v/>
      </c>
      <c r="C142" s="72">
        <f>IF(K142="Vacant","Vac",IF(K142="Model","Model",IF(K142="Admin","Admin",IF(K142="Down","Down",IF(K142="Super","Super","Occ")))))</f>
        <v/>
      </c>
      <c r="D142" s="72">
        <f>INDEX($C$5:$C$9,MATCH(I142,$D$5:$D$9,0))</f>
        <v/>
      </c>
      <c r="E142" s="72">
        <f>INDEX($E$5:$E$9,MATCH(D142,$C$5:$C$9,0))</f>
        <v/>
      </c>
      <c r="F142" s="72">
        <f>INDEX($F$5:$F$9,MATCH(D142,$C$5:$C$9,0))</f>
        <v/>
      </c>
      <c r="G142" s="72">
        <f>INDEX($G$5:$G$9,MATCH(D142,$C$5:$C$9,0))</f>
        <v/>
      </c>
      <c r="H142" s="72" t="inlineStr">
        <is>
          <t>111</t>
        </is>
      </c>
      <c r="I142" s="72" t="inlineStr">
        <is>
          <t>2 Bed 1 Bath</t>
        </is>
      </c>
      <c r="J142" s="80" t="n">
        <v>1334</v>
      </c>
      <c r="K142" s="72" t="inlineStr">
        <is>
          <t>Rembert, Kamren</t>
        </is>
      </c>
      <c r="L142" s="81" t="n">
        <v>1325</v>
      </c>
      <c r="M142" s="81">
        <f>Y142</f>
        <v/>
      </c>
      <c r="N142" s="82" t="n">
        <v>46023</v>
      </c>
      <c r="O142" s="82" t="n">
        <v>46023</v>
      </c>
      <c r="P142" s="82" t="n">
        <v>46418</v>
      </c>
      <c r="R142" s="81">
        <f>SUM(AB142:AB142)</f>
        <v/>
      </c>
      <c r="S142" s="81" t="n">
        <v>0</v>
      </c>
      <c r="T142" s="81" t="n">
        <v>0</v>
      </c>
      <c r="Y142" s="81" t="n">
        <v>1325</v>
      </c>
    </row>
    <row r="143">
      <c r="A143" s="72">
        <f>$D$22</f>
        <v/>
      </c>
      <c r="B143" s="72">
        <f>B142+1</f>
        <v/>
      </c>
      <c r="C143" s="72">
        <f>IF(K143="Vacant","Vac",IF(K143="Model","Model",IF(K143="Admin","Admin",IF(K143="Down","Down",IF(K143="Super","Super","Occ")))))</f>
        <v/>
      </c>
      <c r="D143" s="72">
        <f>INDEX($C$5:$C$9,MATCH(I143,$D$5:$D$9,0))</f>
        <v/>
      </c>
      <c r="E143" s="72">
        <f>INDEX($E$5:$E$9,MATCH(D143,$C$5:$C$9,0))</f>
        <v/>
      </c>
      <c r="F143" s="72">
        <f>INDEX($F$5:$F$9,MATCH(D143,$C$5:$C$9,0))</f>
        <v/>
      </c>
      <c r="G143" s="72">
        <f>INDEX($G$5:$G$9,MATCH(D143,$C$5:$C$9,0))</f>
        <v/>
      </c>
      <c r="H143" s="72" t="inlineStr">
        <is>
          <t>112</t>
        </is>
      </c>
      <c r="I143" s="72" t="inlineStr">
        <is>
          <t>2 Bed 1 Bath</t>
        </is>
      </c>
      <c r="J143" s="80" t="n">
        <v>1334</v>
      </c>
      <c r="K143" s="72" t="inlineStr">
        <is>
          <t>Arroyo, Alexander</t>
        </is>
      </c>
      <c r="L143" s="81" t="n">
        <v>1325</v>
      </c>
      <c r="M143" s="81">
        <f>Y143</f>
        <v/>
      </c>
      <c r="N143" s="82" t="n">
        <v>43011</v>
      </c>
      <c r="O143" s="82" t="n">
        <v>43011</v>
      </c>
      <c r="P143" s="82" t="n">
        <v>46295</v>
      </c>
      <c r="R143" s="81">
        <f>SUM(AB143:AB143)</f>
        <v/>
      </c>
      <c r="S143" s="81" t="n">
        <v>0</v>
      </c>
      <c r="T143" s="81" t="n">
        <v>0</v>
      </c>
      <c r="Y143" s="81" t="n">
        <v>1100</v>
      </c>
      <c r="AB143" s="81" t="n">
        <v>50</v>
      </c>
    </row>
    <row r="144">
      <c r="A144" s="83">
        <f>$D$22</f>
        <v/>
      </c>
      <c r="B144" s="83">
        <f>B143+1</f>
        <v/>
      </c>
      <c r="C144" s="83">
        <f>IF(K144="Vacant","Vac",IF(K144="Model","Model",IF(K144="Admin","Admin",IF(K144="Down","Down",IF(K144="Super","Super","Occ")))))</f>
        <v/>
      </c>
      <c r="D144" s="83">
        <f>INDEX($C$5:$C$9,MATCH(I144,$D$5:$D$9,0))</f>
        <v/>
      </c>
      <c r="E144" s="83">
        <f>INDEX($E$5:$E$9,MATCH(D144,$C$5:$C$9,0))</f>
        <v/>
      </c>
      <c r="F144" s="83">
        <f>INDEX($F$5:$F$9,MATCH(D144,$C$5:$C$9,0))</f>
        <v/>
      </c>
      <c r="G144" s="83">
        <f>INDEX($G$5:$G$9,MATCH(D144,$C$5:$C$9,0))</f>
        <v/>
      </c>
      <c r="H144" s="83" t="inlineStr">
        <is>
          <t>113</t>
        </is>
      </c>
      <c r="I144" s="83" t="inlineStr">
        <is>
          <t>2 Bed 1 Bath</t>
        </is>
      </c>
      <c r="J144" s="84" t="n">
        <v>1334</v>
      </c>
      <c r="K144" s="83" t="inlineStr">
        <is>
          <t>Vacant</t>
        </is>
      </c>
      <c r="L144" s="85" t="n">
        <v>1200</v>
      </c>
      <c r="M144" s="85">
        <f>Y144</f>
        <v/>
      </c>
      <c r="N144" s="86" t="n"/>
      <c r="O144" s="86" t="n"/>
      <c r="P144" s="86" t="n"/>
      <c r="Q144" s="86" t="n"/>
      <c r="R144" s="85">
        <f>SUM(AB144:AB144)</f>
        <v/>
      </c>
      <c r="S144" s="85" t="n">
        <v>0</v>
      </c>
      <c r="T144" s="85" t="n">
        <v>0</v>
      </c>
      <c r="U144" s="86" t="n"/>
      <c r="V144" s="86" t="n"/>
      <c r="W144" s="86" t="n"/>
      <c r="X144" s="86" t="n"/>
      <c r="Y144" s="85" t="n">
        <v>0</v>
      </c>
      <c r="Z144" s="86" t="n"/>
      <c r="AA144" s="86" t="n"/>
      <c r="AB144" s="86" t="n"/>
    </row>
    <row r="145">
      <c r="A145" s="72">
        <f>$D$22</f>
        <v/>
      </c>
      <c r="B145" s="72">
        <f>B144+1</f>
        <v/>
      </c>
      <c r="C145" s="72">
        <f>IF(K145="Vacant","Vac",IF(K145="Model","Model",IF(K145="Admin","Admin",IF(K145="Down","Down",IF(K145="Super","Super","Occ")))))</f>
        <v/>
      </c>
      <c r="D145" s="72">
        <f>INDEX($C$5:$C$9,MATCH(I145,$D$5:$D$9,0))</f>
        <v/>
      </c>
      <c r="E145" s="72">
        <f>INDEX($E$5:$E$9,MATCH(D145,$C$5:$C$9,0))</f>
        <v/>
      </c>
      <c r="F145" s="72">
        <f>INDEX($F$5:$F$9,MATCH(D145,$C$5:$C$9,0))</f>
        <v/>
      </c>
      <c r="G145" s="72">
        <f>INDEX($G$5:$G$9,MATCH(D145,$C$5:$C$9,0))</f>
        <v/>
      </c>
      <c r="H145" s="72" t="inlineStr">
        <is>
          <t>114</t>
        </is>
      </c>
      <c r="I145" s="72" t="inlineStr">
        <is>
          <t>3 Bed/ 1Bath</t>
        </is>
      </c>
      <c r="J145" s="80" t="n">
        <v>1521</v>
      </c>
      <c r="K145" s="72" t="inlineStr">
        <is>
          <t>Bishop (BMHA), Candice</t>
        </is>
      </c>
      <c r="L145" s="81" t="n">
        <v>1475</v>
      </c>
      <c r="M145" s="81">
        <f>Y145</f>
        <v/>
      </c>
      <c r="N145" s="82" t="n">
        <v>46082</v>
      </c>
      <c r="O145" s="82" t="n">
        <v>46082</v>
      </c>
      <c r="P145" s="82" t="n">
        <v>46446</v>
      </c>
      <c r="R145" s="81">
        <f>SUM(AB145:AB145)</f>
        <v/>
      </c>
      <c r="S145" s="81" t="n">
        <v>0</v>
      </c>
      <c r="T145" s="81" t="n">
        <v>0</v>
      </c>
      <c r="Y145" s="81" t="n">
        <v>1400</v>
      </c>
    </row>
    <row r="146">
      <c r="A146" s="83">
        <f>$D$22</f>
        <v/>
      </c>
      <c r="B146" s="83">
        <f>B145+1</f>
        <v/>
      </c>
      <c r="C146" s="83">
        <f>IF(K146="Vacant","Vac",IF(K146="Model","Model",IF(K146="Admin","Admin",IF(K146="Down","Down",IF(K146="Super","Super","Occ")))))</f>
        <v/>
      </c>
      <c r="D146" s="83">
        <f>INDEX($C$5:$C$9,MATCH(I146,$D$5:$D$9,0))</f>
        <v/>
      </c>
      <c r="E146" s="83">
        <f>INDEX($E$5:$E$9,MATCH(D146,$C$5:$C$9,0))</f>
        <v/>
      </c>
      <c r="F146" s="83">
        <f>INDEX($F$5:$F$9,MATCH(D146,$C$5:$C$9,0))</f>
        <v/>
      </c>
      <c r="G146" s="83">
        <f>INDEX($G$5:$G$9,MATCH(D146,$C$5:$C$9,0))</f>
        <v/>
      </c>
      <c r="H146" s="83" t="inlineStr">
        <is>
          <t>115</t>
        </is>
      </c>
      <c r="I146" s="83" t="inlineStr">
        <is>
          <t>1 Bed 1 Bath</t>
        </is>
      </c>
      <c r="J146" s="84" t="n">
        <v>1141</v>
      </c>
      <c r="K146" s="83" t="inlineStr">
        <is>
          <t>Vacant</t>
        </is>
      </c>
      <c r="L146" s="85" t="n">
        <v>1150</v>
      </c>
      <c r="M146" s="85">
        <f>Y146</f>
        <v/>
      </c>
      <c r="N146" s="86" t="n"/>
      <c r="O146" s="86" t="n"/>
      <c r="P146" s="86" t="n"/>
      <c r="Q146" s="86" t="n"/>
      <c r="R146" s="85">
        <f>SUM(AB146:AB146)</f>
        <v/>
      </c>
      <c r="S146" s="85" t="n">
        <v>0</v>
      </c>
      <c r="T146" s="85" t="n">
        <v>0</v>
      </c>
      <c r="U146" s="86" t="n"/>
      <c r="V146" s="86" t="n"/>
      <c r="W146" s="86" t="n"/>
      <c r="X146" s="86" t="n"/>
      <c r="Y146" s="85" t="n">
        <v>0</v>
      </c>
      <c r="Z146" s="86" t="n"/>
      <c r="AA146" s="86" t="n"/>
      <c r="AB146" s="86" t="n"/>
    </row>
    <row r="147">
      <c r="A147" s="72">
        <f>$D$22</f>
        <v/>
      </c>
      <c r="B147" s="72">
        <f>B146+1</f>
        <v/>
      </c>
      <c r="C147" s="72">
        <f>IF(K147="Vacant","Vac",IF(K147="Model","Model",IF(K147="Admin","Admin",IF(K147="Down","Down",IF(K147="Super","Super","Occ")))))</f>
        <v/>
      </c>
      <c r="D147" s="72">
        <f>INDEX($C$5:$C$9,MATCH(I147,$D$5:$D$9,0))</f>
        <v/>
      </c>
      <c r="E147" s="72">
        <f>INDEX($E$5:$E$9,MATCH(D147,$C$5:$C$9,0))</f>
        <v/>
      </c>
      <c r="F147" s="72">
        <f>INDEX($F$5:$F$9,MATCH(D147,$C$5:$C$9,0))</f>
        <v/>
      </c>
      <c r="G147" s="72">
        <f>INDEX($G$5:$G$9,MATCH(D147,$C$5:$C$9,0))</f>
        <v/>
      </c>
      <c r="H147" s="72" t="inlineStr">
        <is>
          <t>116</t>
        </is>
      </c>
      <c r="I147" s="72" t="inlineStr">
        <is>
          <t>2 Bed 1 Bath</t>
        </is>
      </c>
      <c r="J147" s="80" t="n">
        <v>1334</v>
      </c>
      <c r="K147" s="72" t="inlineStr">
        <is>
          <t>Wilmet (BEL), Joann</t>
        </is>
      </c>
      <c r="L147" s="81" t="n">
        <v>1325</v>
      </c>
      <c r="M147" s="81">
        <f>Y147</f>
        <v/>
      </c>
      <c r="N147" s="82" t="n">
        <v>41153</v>
      </c>
      <c r="O147" s="82" t="n">
        <v>41153</v>
      </c>
      <c r="P147" s="82" t="n">
        <v>46203</v>
      </c>
      <c r="R147" s="81">
        <f>SUM(AB147:AB147)</f>
        <v/>
      </c>
      <c r="S147" s="81" t="n">
        <v>0</v>
      </c>
      <c r="T147" s="81" t="n">
        <v>0</v>
      </c>
      <c r="Y147" s="81" t="n">
        <v>1150</v>
      </c>
    </row>
    <row r="148">
      <c r="A148" s="72">
        <f>$D$22</f>
        <v/>
      </c>
      <c r="B148" s="72">
        <f>B147+1</f>
        <v/>
      </c>
      <c r="C148" s="72">
        <f>IF(K148="Vacant","Vac",IF(K148="Model","Model",IF(K148="Admin","Admin",IF(K148="Down","Down",IF(K148="Super","Super","Occ")))))</f>
        <v/>
      </c>
      <c r="D148" s="72">
        <f>INDEX($C$5:$C$9,MATCH(I148,$D$5:$D$9,0))</f>
        <v/>
      </c>
      <c r="E148" s="72">
        <f>INDEX($E$5:$E$9,MATCH(D148,$C$5:$C$9,0))</f>
        <v/>
      </c>
      <c r="F148" s="72">
        <f>INDEX($F$5:$F$9,MATCH(D148,$C$5:$C$9,0))</f>
        <v/>
      </c>
      <c r="G148" s="72">
        <f>INDEX($G$5:$G$9,MATCH(D148,$C$5:$C$9,0))</f>
        <v/>
      </c>
      <c r="H148" s="72" t="inlineStr">
        <is>
          <t>117</t>
        </is>
      </c>
      <c r="I148" s="72" t="inlineStr">
        <is>
          <t>2 Bed 1 Bath</t>
        </is>
      </c>
      <c r="J148" s="80" t="n">
        <v>1334</v>
      </c>
      <c r="K148" s="72" t="inlineStr">
        <is>
          <t>Reed, Siann</t>
        </is>
      </c>
      <c r="L148" s="81" t="n">
        <v>1325</v>
      </c>
      <c r="M148" s="81">
        <f>Y148</f>
        <v/>
      </c>
      <c r="N148" s="82" t="n">
        <v>45853</v>
      </c>
      <c r="O148" s="82" t="n">
        <v>45853</v>
      </c>
      <c r="P148" s="82" t="n">
        <v>46234</v>
      </c>
      <c r="R148" s="81">
        <f>SUM(AB148:AB148)</f>
        <v/>
      </c>
      <c r="S148" s="81" t="n">
        <v>0</v>
      </c>
      <c r="T148" s="81" t="n">
        <v>0</v>
      </c>
      <c r="Y148" s="81" t="n">
        <v>1325</v>
      </c>
    </row>
    <row r="149">
      <c r="A149" s="72">
        <f>$D$22</f>
        <v/>
      </c>
      <c r="B149" s="72">
        <f>B148+1</f>
        <v/>
      </c>
      <c r="C149" s="72">
        <f>IF(K149="Vacant","Vac",IF(K149="Model","Model",IF(K149="Admin","Admin",IF(K149="Down","Down",IF(K149="Super","Super","Occ")))))</f>
        <v/>
      </c>
      <c r="D149" s="72">
        <f>INDEX($C$5:$C$9,MATCH(I149,$D$5:$D$9,0))</f>
        <v/>
      </c>
      <c r="E149" s="72">
        <f>INDEX($E$5:$E$9,MATCH(D149,$C$5:$C$9,0))</f>
        <v/>
      </c>
      <c r="F149" s="72">
        <f>INDEX($F$5:$F$9,MATCH(D149,$C$5:$C$9,0))</f>
        <v/>
      </c>
      <c r="G149" s="72">
        <f>INDEX($G$5:$G$9,MATCH(D149,$C$5:$C$9,0))</f>
        <v/>
      </c>
      <c r="H149" s="72" t="inlineStr">
        <is>
          <t>118</t>
        </is>
      </c>
      <c r="I149" s="72" t="inlineStr">
        <is>
          <t>1 Bed 1 Bath</t>
        </is>
      </c>
      <c r="J149" s="80" t="n">
        <v>1149</v>
      </c>
      <c r="K149" s="72" t="inlineStr">
        <is>
          <t>Henderson (BFNC), Marilyn</t>
        </is>
      </c>
      <c r="L149" s="81" t="n">
        <v>1195</v>
      </c>
      <c r="M149" s="81">
        <f>Y149</f>
        <v/>
      </c>
      <c r="N149" s="82" t="n">
        <v>45923</v>
      </c>
      <c r="O149" s="82" t="n">
        <v>45923</v>
      </c>
      <c r="P149" s="82" t="n">
        <v>46295</v>
      </c>
      <c r="R149" s="81">
        <f>SUM(AB149:AB149)</f>
        <v/>
      </c>
      <c r="S149" s="81" t="n">
        <v>0</v>
      </c>
      <c r="T149" s="81" t="n">
        <v>0</v>
      </c>
      <c r="Y149" s="81" t="n">
        <v>1195</v>
      </c>
    </row>
    <row r="150">
      <c r="A150" s="83">
        <f>$D$22</f>
        <v/>
      </c>
      <c r="B150" s="83">
        <f>B149+1</f>
        <v/>
      </c>
      <c r="C150" s="83">
        <f>IF(K150="Vacant","Vac",IF(K150="Model","Model",IF(K150="Admin","Admin",IF(K150="Down","Down",IF(K150="Super","Super","Occ")))))</f>
        <v/>
      </c>
      <c r="D150" s="83">
        <f>INDEX($C$5:$C$9,MATCH(I150,$D$5:$D$9,0))</f>
        <v/>
      </c>
      <c r="E150" s="83">
        <f>INDEX($E$5:$E$9,MATCH(D150,$C$5:$C$9,0))</f>
        <v/>
      </c>
      <c r="F150" s="83">
        <f>INDEX($F$5:$F$9,MATCH(D150,$C$5:$C$9,0))</f>
        <v/>
      </c>
      <c r="G150" s="83">
        <f>INDEX($G$5:$G$9,MATCH(D150,$C$5:$C$9,0))</f>
        <v/>
      </c>
      <c r="H150" s="83" t="inlineStr">
        <is>
          <t>119</t>
        </is>
      </c>
      <c r="I150" s="83" t="inlineStr">
        <is>
          <t>3 Bed/ 1Bath</t>
        </is>
      </c>
      <c r="J150" s="84" t="n">
        <v>1521</v>
      </c>
      <c r="K150" s="83" t="inlineStr">
        <is>
          <t>Vacant</t>
        </is>
      </c>
      <c r="L150" s="85" t="n">
        <v>1400</v>
      </c>
      <c r="M150" s="85">
        <f>Y150</f>
        <v/>
      </c>
      <c r="N150" s="86" t="n"/>
      <c r="O150" s="86" t="n"/>
      <c r="P150" s="86" t="n"/>
      <c r="Q150" s="86" t="n"/>
      <c r="R150" s="85">
        <f>SUM(AB150:AB150)</f>
        <v/>
      </c>
      <c r="S150" s="85" t="n">
        <v>0</v>
      </c>
      <c r="T150" s="85" t="n">
        <v>0</v>
      </c>
      <c r="U150" s="86" t="n"/>
      <c r="V150" s="86" t="n"/>
      <c r="W150" s="86" t="n"/>
      <c r="X150" s="86" t="n"/>
      <c r="Y150" s="85" t="n">
        <v>0</v>
      </c>
      <c r="Z150" s="86" t="n"/>
      <c r="AA150" s="86" t="n"/>
      <c r="AB150" s="86" t="n"/>
    </row>
    <row r="151">
      <c r="A151" s="72">
        <f>$D$22</f>
        <v/>
      </c>
      <c r="B151" s="72">
        <f>B150+1</f>
        <v/>
      </c>
      <c r="C151" s="72">
        <f>IF(K151="Vacant","Vac",IF(K151="Model","Model",IF(K151="Admin","Admin",IF(K151="Down","Down",IF(K151="Super","Super","Occ")))))</f>
        <v/>
      </c>
      <c r="D151" s="72">
        <f>INDEX($C$5:$C$9,MATCH(I151,$D$5:$D$9,0))</f>
        <v/>
      </c>
      <c r="E151" s="72">
        <f>INDEX($E$5:$E$9,MATCH(D151,$C$5:$C$9,0))</f>
        <v/>
      </c>
      <c r="F151" s="72">
        <f>INDEX($F$5:$F$9,MATCH(D151,$C$5:$C$9,0))</f>
        <v/>
      </c>
      <c r="G151" s="72">
        <f>INDEX($G$5:$G$9,MATCH(D151,$C$5:$C$9,0))</f>
        <v/>
      </c>
      <c r="H151" s="72" t="inlineStr">
        <is>
          <t>120</t>
        </is>
      </c>
      <c r="I151" s="72" t="inlineStr">
        <is>
          <t>1 Bed 1 Bath</t>
        </is>
      </c>
      <c r="J151" s="80" t="n">
        <v>1149</v>
      </c>
      <c r="K151" s="72" t="inlineStr">
        <is>
          <t>Smith, Aaron</t>
        </is>
      </c>
      <c r="L151" s="81" t="n">
        <v>1195</v>
      </c>
      <c r="M151" s="81">
        <f>Y151</f>
        <v/>
      </c>
      <c r="N151" s="82" t="n">
        <v>46206</v>
      </c>
      <c r="O151" s="82" t="n">
        <v>46206</v>
      </c>
      <c r="P151" s="82" t="n">
        <v>46599</v>
      </c>
      <c r="R151" s="81">
        <f>SUM(AB151:AB151)</f>
        <v/>
      </c>
      <c r="S151" s="81" t="n">
        <v>0</v>
      </c>
      <c r="T151" s="81" t="n">
        <v>0</v>
      </c>
      <c r="Y151" s="81" t="n">
        <v>1150</v>
      </c>
    </row>
    <row r="152">
      <c r="A152" s="72">
        <f>$D$22</f>
        <v/>
      </c>
      <c r="B152" s="72">
        <f>B151+1</f>
        <v/>
      </c>
      <c r="C152" s="72">
        <f>IF(K152="Vacant","Vac",IF(K152="Model","Model",IF(K152="Admin","Admin",IF(K152="Down","Down",IF(K152="Super","Super","Occ")))))</f>
        <v/>
      </c>
      <c r="D152" s="72">
        <f>INDEX($C$5:$C$9,MATCH(I152,$D$5:$D$9,0))</f>
        <v/>
      </c>
      <c r="E152" s="72">
        <f>INDEX($E$5:$E$9,MATCH(D152,$C$5:$C$9,0))</f>
        <v/>
      </c>
      <c r="F152" s="72">
        <f>INDEX($F$5:$F$9,MATCH(D152,$C$5:$C$9,0))</f>
        <v/>
      </c>
      <c r="G152" s="72">
        <f>INDEX($G$5:$G$9,MATCH(D152,$C$5:$C$9,0))</f>
        <v/>
      </c>
      <c r="H152" s="72" t="inlineStr">
        <is>
          <t>121</t>
        </is>
      </c>
      <c r="I152" s="72" t="inlineStr">
        <is>
          <t>3 Bed 1.5 Bath</t>
        </is>
      </c>
      <c r="J152" s="80" t="n">
        <v>1521</v>
      </c>
      <c r="K152" s="72" t="inlineStr">
        <is>
          <t>Harden, Andrea</t>
        </is>
      </c>
      <c r="L152" s="81" t="n">
        <v>1475</v>
      </c>
      <c r="M152" s="81">
        <f>Y152</f>
        <v/>
      </c>
      <c r="N152" s="82" t="n">
        <v>45031</v>
      </c>
      <c r="O152" s="82" t="n">
        <v>45031</v>
      </c>
      <c r="P152" s="82" t="n">
        <v>46507</v>
      </c>
      <c r="R152" s="81">
        <f>SUM(AB152:AB152)</f>
        <v/>
      </c>
      <c r="S152" s="81" t="n">
        <v>0</v>
      </c>
      <c r="T152" s="81" t="n">
        <v>0</v>
      </c>
      <c r="Y152" s="81" t="n">
        <v>1450</v>
      </c>
      <c r="AB152" s="81" t="n">
        <v>50</v>
      </c>
    </row>
    <row r="153">
      <c r="A153" s="72">
        <f>$D$22</f>
        <v/>
      </c>
      <c r="B153" s="72">
        <f>B152+1</f>
        <v/>
      </c>
      <c r="C153" s="72">
        <f>IF(K153="Vacant","Vac",IF(K153="Model","Model",IF(K153="Admin","Admin",IF(K153="Down","Down",IF(K153="Super","Super","Occ")))))</f>
        <v/>
      </c>
      <c r="D153" s="72">
        <f>INDEX($C$5:$C$9,MATCH(I153,$D$5:$D$9,0))</f>
        <v/>
      </c>
      <c r="E153" s="72">
        <f>INDEX($E$5:$E$9,MATCH(D153,$C$5:$C$9,0))</f>
        <v/>
      </c>
      <c r="F153" s="72">
        <f>INDEX($F$5:$F$9,MATCH(D153,$C$5:$C$9,0))</f>
        <v/>
      </c>
      <c r="G153" s="72">
        <f>INDEX($G$5:$G$9,MATCH(D153,$C$5:$C$9,0))</f>
        <v/>
      </c>
      <c r="H153" s="72" t="inlineStr">
        <is>
          <t>122</t>
        </is>
      </c>
      <c r="I153" s="72" t="inlineStr">
        <is>
          <t>1 Bed 1 Bath</t>
        </is>
      </c>
      <c r="J153" s="80" t="n">
        <v>1141</v>
      </c>
      <c r="K153" s="72" t="inlineStr">
        <is>
          <t>TSI, Transitional Services</t>
        </is>
      </c>
      <c r="L153" s="81" t="n">
        <v>1195</v>
      </c>
      <c r="M153" s="81">
        <f>Y153</f>
        <v/>
      </c>
      <c r="N153" s="82" t="n">
        <v>45383</v>
      </c>
      <c r="O153" s="82" t="n">
        <v>45383</v>
      </c>
      <c r="P153" s="82" t="n">
        <v>46477</v>
      </c>
      <c r="R153" s="81">
        <f>SUM(AB153:AB153)</f>
        <v/>
      </c>
      <c r="S153" s="81" t="n">
        <v>0</v>
      </c>
      <c r="T153" s="81" t="n">
        <v>0</v>
      </c>
      <c r="Y153" s="81" t="n">
        <v>1195</v>
      </c>
    </row>
    <row r="154">
      <c r="A154" s="72">
        <f>$D$22</f>
        <v/>
      </c>
      <c r="B154" s="72">
        <f>B153+1</f>
        <v/>
      </c>
      <c r="C154" s="72">
        <f>IF(K154="Vacant","Vac",IF(K154="Model","Model",IF(K154="Admin","Admin",IF(K154="Down","Down",IF(K154="Super","Super","Occ")))))</f>
        <v/>
      </c>
      <c r="D154" s="72">
        <f>INDEX($C$5:$C$9,MATCH(I154,$D$5:$D$9,0))</f>
        <v/>
      </c>
      <c r="E154" s="72">
        <f>INDEX($E$5:$E$9,MATCH(D154,$C$5:$C$9,0))</f>
        <v/>
      </c>
      <c r="F154" s="72">
        <f>INDEX($F$5:$F$9,MATCH(D154,$C$5:$C$9,0))</f>
        <v/>
      </c>
      <c r="G154" s="72">
        <f>INDEX($G$5:$G$9,MATCH(D154,$C$5:$C$9,0))</f>
        <v/>
      </c>
      <c r="H154" s="72" t="inlineStr">
        <is>
          <t>123</t>
        </is>
      </c>
      <c r="I154" s="72" t="inlineStr">
        <is>
          <t>3 Bed/1Bath FP</t>
        </is>
      </c>
      <c r="J154" s="80" t="n">
        <v>1521</v>
      </c>
      <c r="K154" s="72" t="inlineStr">
        <is>
          <t>Ubinas, Mariah</t>
        </is>
      </c>
      <c r="L154" s="81" t="n">
        <v>1350</v>
      </c>
      <c r="M154" s="81">
        <f>Y154</f>
        <v/>
      </c>
      <c r="N154" s="82" t="n">
        <v>44062</v>
      </c>
      <c r="O154" s="82" t="n">
        <v>44062</v>
      </c>
      <c r="P154" s="82" t="n">
        <v>46630</v>
      </c>
      <c r="R154" s="81">
        <f>SUM(AB154:AB154)</f>
        <v/>
      </c>
      <c r="S154" s="81" t="n">
        <v>0</v>
      </c>
      <c r="T154" s="81" t="n">
        <v>0</v>
      </c>
      <c r="Y154" s="81" t="n">
        <v>1375</v>
      </c>
    </row>
    <row r="155">
      <c r="A155" s="72">
        <f>$D$22</f>
        <v/>
      </c>
      <c r="B155" s="72">
        <f>B154+1</f>
        <v/>
      </c>
      <c r="C155" s="72">
        <f>IF(K155="Vacant","Vac",IF(K155="Model","Model",IF(K155="Admin","Admin",IF(K155="Down","Down",IF(K155="Super","Super","Occ")))))</f>
        <v/>
      </c>
      <c r="D155" s="72">
        <f>INDEX($C$5:$C$9,MATCH(I155,$D$5:$D$9,0))</f>
        <v/>
      </c>
      <c r="E155" s="72">
        <f>INDEX($E$5:$E$9,MATCH(D155,$C$5:$C$9,0))</f>
        <v/>
      </c>
      <c r="F155" s="72">
        <f>INDEX($F$5:$F$9,MATCH(D155,$C$5:$C$9,0))</f>
        <v/>
      </c>
      <c r="G155" s="72">
        <f>INDEX($G$5:$G$9,MATCH(D155,$C$5:$C$9,0))</f>
        <v/>
      </c>
      <c r="H155" s="72" t="inlineStr">
        <is>
          <t>124</t>
        </is>
      </c>
      <c r="I155" s="72" t="inlineStr">
        <is>
          <t>1 Bed 1 Bath</t>
        </is>
      </c>
      <c r="J155" s="80" t="n">
        <v>1149</v>
      </c>
      <c r="K155" s="72" t="inlineStr">
        <is>
          <t>Brown (BFNC), Derron</t>
        </is>
      </c>
      <c r="L155" s="81" t="n">
        <v>1195</v>
      </c>
      <c r="M155" s="81">
        <f>Y155</f>
        <v/>
      </c>
      <c r="N155" s="82" t="n">
        <v>45961</v>
      </c>
      <c r="O155" s="82" t="n">
        <v>45961</v>
      </c>
      <c r="P155" s="82" t="n">
        <v>46326</v>
      </c>
      <c r="R155" s="81">
        <f>SUM(AB155:AB155)</f>
        <v/>
      </c>
      <c r="S155" s="81" t="n">
        <v>0</v>
      </c>
      <c r="T155" s="81" t="n">
        <v>0</v>
      </c>
      <c r="Y155" s="81" t="n">
        <v>1195</v>
      </c>
    </row>
    <row r="156">
      <c r="A156" s="72">
        <f>$D$22</f>
        <v/>
      </c>
      <c r="B156" s="72">
        <f>B155+1</f>
        <v/>
      </c>
      <c r="C156" s="72">
        <f>IF(K156="Vacant","Vac",IF(K156="Model","Model",IF(K156="Admin","Admin",IF(K156="Down","Down",IF(K156="Super","Super","Occ")))))</f>
        <v/>
      </c>
      <c r="D156" s="72">
        <f>INDEX($C$5:$C$9,MATCH(I156,$D$5:$D$9,0))</f>
        <v/>
      </c>
      <c r="E156" s="72">
        <f>INDEX($E$5:$E$9,MATCH(D156,$C$5:$C$9,0))</f>
        <v/>
      </c>
      <c r="F156" s="72">
        <f>INDEX($F$5:$F$9,MATCH(D156,$C$5:$C$9,0))</f>
        <v/>
      </c>
      <c r="G156" s="72">
        <f>INDEX($G$5:$G$9,MATCH(D156,$C$5:$C$9,0))</f>
        <v/>
      </c>
      <c r="H156" s="72" t="inlineStr">
        <is>
          <t>125</t>
        </is>
      </c>
      <c r="I156" s="72" t="inlineStr">
        <is>
          <t>3 Bed/ 1Bath</t>
        </is>
      </c>
      <c r="J156" s="80" t="n">
        <v>1521</v>
      </c>
      <c r="K156" s="72" t="inlineStr">
        <is>
          <t>Chance (Bel), Jordynne</t>
        </is>
      </c>
      <c r="L156" s="81" t="n">
        <v>1400</v>
      </c>
      <c r="M156" s="81">
        <f>Y156</f>
        <v/>
      </c>
      <c r="N156" s="82" t="n">
        <v>45839</v>
      </c>
      <c r="O156" s="82" t="n">
        <v>45839</v>
      </c>
      <c r="P156" s="82" t="n">
        <v>46568</v>
      </c>
      <c r="R156" s="81">
        <f>SUM(AB156:AB156)</f>
        <v/>
      </c>
      <c r="S156" s="81" t="n">
        <v>0</v>
      </c>
      <c r="T156" s="81" t="n">
        <v>0</v>
      </c>
      <c r="Y156" s="81" t="n">
        <v>1375</v>
      </c>
    </row>
    <row r="157">
      <c r="A157" s="72">
        <f>$D$22</f>
        <v/>
      </c>
      <c r="B157" s="72">
        <f>B156+1</f>
        <v/>
      </c>
      <c r="C157" s="72">
        <f>IF(K157="Vacant","Vac",IF(K157="Model","Model",IF(K157="Admin","Admin",IF(K157="Down","Down",IF(K157="Super","Super","Occ")))))</f>
        <v/>
      </c>
      <c r="D157" s="72">
        <f>INDEX($C$5:$C$9,MATCH(I157,$D$5:$D$9,0))</f>
        <v/>
      </c>
      <c r="E157" s="72">
        <f>INDEX($E$5:$E$9,MATCH(D157,$C$5:$C$9,0))</f>
        <v/>
      </c>
      <c r="F157" s="72">
        <f>INDEX($F$5:$F$9,MATCH(D157,$C$5:$C$9,0))</f>
        <v/>
      </c>
      <c r="G157" s="72">
        <f>INDEX($G$5:$G$9,MATCH(D157,$C$5:$C$9,0))</f>
        <v/>
      </c>
      <c r="H157" s="72" t="inlineStr">
        <is>
          <t>126</t>
        </is>
      </c>
      <c r="I157" s="72" t="inlineStr">
        <is>
          <t>1 Bed 1 Bath</t>
        </is>
      </c>
      <c r="J157" s="80" t="n">
        <v>1149</v>
      </c>
      <c r="K157" s="72" t="inlineStr">
        <is>
          <t>Alomar Colon (BMHA), Javier</t>
        </is>
      </c>
      <c r="L157" s="81" t="n">
        <v>1195</v>
      </c>
      <c r="M157" s="81">
        <f>Y157</f>
        <v/>
      </c>
      <c r="N157" s="82" t="n">
        <v>42754</v>
      </c>
      <c r="O157" s="82" t="n">
        <v>42754</v>
      </c>
      <c r="P157" s="82" t="n">
        <v>46418</v>
      </c>
      <c r="R157" s="81">
        <f>SUM(AB157:AB157)</f>
        <v/>
      </c>
      <c r="S157" s="81" t="n">
        <v>0</v>
      </c>
      <c r="T157" s="81" t="n">
        <v>0</v>
      </c>
      <c r="Y157" s="81" t="n">
        <v>1075</v>
      </c>
    </row>
    <row r="158">
      <c r="A158" s="72">
        <f>$D$22</f>
        <v/>
      </c>
      <c r="B158" s="72">
        <f>B157+1</f>
        <v/>
      </c>
      <c r="C158" s="72">
        <f>IF(K158="Vacant","Vac",IF(K158="Model","Model",IF(K158="Admin","Admin",IF(K158="Down","Down",IF(K158="Super","Super","Occ")))))</f>
        <v/>
      </c>
      <c r="D158" s="72">
        <f>INDEX($C$5:$C$9,MATCH(I158,$D$5:$D$9,0))</f>
        <v/>
      </c>
      <c r="E158" s="72">
        <f>INDEX($E$5:$E$9,MATCH(D158,$C$5:$C$9,0))</f>
        <v/>
      </c>
      <c r="F158" s="72">
        <f>INDEX($F$5:$F$9,MATCH(D158,$C$5:$C$9,0))</f>
        <v/>
      </c>
      <c r="G158" s="72">
        <f>INDEX($G$5:$G$9,MATCH(D158,$C$5:$C$9,0))</f>
        <v/>
      </c>
      <c r="H158" s="72" t="inlineStr">
        <is>
          <t>127</t>
        </is>
      </c>
      <c r="I158" s="72" t="inlineStr">
        <is>
          <t>3 Bed/1Bath FP</t>
        </is>
      </c>
      <c r="J158" s="80" t="n">
        <v>1521</v>
      </c>
      <c r="K158" s="72" t="inlineStr">
        <is>
          <t>Golden (RACB), India</t>
        </is>
      </c>
      <c r="L158" s="81" t="n">
        <v>1350</v>
      </c>
      <c r="M158" s="81">
        <f>Y158</f>
        <v/>
      </c>
      <c r="N158" s="82" t="n">
        <v>41730</v>
      </c>
      <c r="O158" s="82" t="n">
        <v>41730</v>
      </c>
      <c r="P158" s="82" t="n">
        <v>46477</v>
      </c>
      <c r="R158" s="81">
        <f>SUM(AB158:AB158)</f>
        <v/>
      </c>
      <c r="S158" s="81" t="n">
        <v>0</v>
      </c>
      <c r="T158" s="81" t="n">
        <v>0</v>
      </c>
      <c r="Y158" s="81" t="n">
        <v>1175</v>
      </c>
    </row>
    <row r="159">
      <c r="A159" s="72">
        <f>$D$22</f>
        <v/>
      </c>
      <c r="B159" s="72">
        <f>B158+1</f>
        <v/>
      </c>
      <c r="C159" s="72">
        <f>IF(K159="Vacant","Vac",IF(K159="Model","Model",IF(K159="Admin","Admin",IF(K159="Down","Down",IF(K159="Super","Super","Occ")))))</f>
        <v/>
      </c>
      <c r="D159" s="72">
        <f>INDEX($C$5:$C$9,MATCH(I159,$D$5:$D$9,0))</f>
        <v/>
      </c>
      <c r="E159" s="72">
        <f>INDEX($E$5:$E$9,MATCH(D159,$C$5:$C$9,0))</f>
        <v/>
      </c>
      <c r="F159" s="72">
        <f>INDEX($F$5:$F$9,MATCH(D159,$C$5:$C$9,0))</f>
        <v/>
      </c>
      <c r="G159" s="72">
        <f>INDEX($G$5:$G$9,MATCH(D159,$C$5:$C$9,0))</f>
        <v/>
      </c>
      <c r="H159" s="72" t="inlineStr">
        <is>
          <t>128</t>
        </is>
      </c>
      <c r="I159" s="72" t="inlineStr">
        <is>
          <t>2 Bed 1 Bath</t>
        </is>
      </c>
      <c r="J159" s="80" t="n">
        <v>1334</v>
      </c>
      <c r="K159" s="72" t="inlineStr">
        <is>
          <t>Daza, Brenda</t>
        </is>
      </c>
      <c r="L159" s="81" t="n">
        <v>1350</v>
      </c>
      <c r="M159" s="81">
        <f>Y159</f>
        <v/>
      </c>
      <c r="N159" s="82" t="n">
        <v>44028</v>
      </c>
      <c r="O159" s="82" t="n">
        <v>44028</v>
      </c>
      <c r="P159" s="82" t="n">
        <v>46507</v>
      </c>
      <c r="R159" s="81">
        <f>SUM(AB159:AB159)</f>
        <v/>
      </c>
      <c r="S159" s="81" t="n">
        <v>0</v>
      </c>
      <c r="T159" s="81" t="n">
        <v>0</v>
      </c>
      <c r="Y159" s="81" t="n">
        <v>1295</v>
      </c>
    </row>
    <row r="160">
      <c r="A160" s="72">
        <f>$D$22</f>
        <v/>
      </c>
      <c r="B160" s="72">
        <f>B159+1</f>
        <v/>
      </c>
      <c r="C160" s="72">
        <f>IF(K160="Vacant","Vac",IF(K160="Model","Model",IF(K160="Admin","Admin",IF(K160="Down","Down",IF(K160="Super","Super","Occ")))))</f>
        <v/>
      </c>
      <c r="D160" s="72">
        <f>INDEX($C$5:$C$9,MATCH(I160,$D$5:$D$9,0))</f>
        <v/>
      </c>
      <c r="E160" s="72">
        <f>INDEX($E$5:$E$9,MATCH(D160,$C$5:$C$9,0))</f>
        <v/>
      </c>
      <c r="F160" s="72">
        <f>INDEX($F$5:$F$9,MATCH(D160,$C$5:$C$9,0))</f>
        <v/>
      </c>
      <c r="G160" s="72">
        <f>INDEX($G$5:$G$9,MATCH(D160,$C$5:$C$9,0))</f>
        <v/>
      </c>
      <c r="H160" s="72" t="inlineStr">
        <is>
          <t>129</t>
        </is>
      </c>
      <c r="I160" s="72" t="inlineStr">
        <is>
          <t>3 Bed 1.5 Bath</t>
        </is>
      </c>
      <c r="J160" s="80" t="n">
        <v>1521</v>
      </c>
      <c r="K160" s="72" t="inlineStr">
        <is>
          <t>Diggs, Daeaira</t>
        </is>
      </c>
      <c r="L160" s="81" t="n">
        <v>1495</v>
      </c>
      <c r="M160" s="81">
        <f>Y160</f>
        <v/>
      </c>
      <c r="N160" s="82" t="n">
        <v>45915</v>
      </c>
      <c r="O160" s="82" t="n">
        <v>45915</v>
      </c>
      <c r="P160" s="82" t="n">
        <v>46660</v>
      </c>
      <c r="R160" s="81">
        <f>SUM(AB160:AB160)</f>
        <v/>
      </c>
      <c r="S160" s="81" t="n">
        <v>0</v>
      </c>
      <c r="T160" s="81" t="n">
        <v>0</v>
      </c>
      <c r="Y160" s="81" t="n">
        <v>1495</v>
      </c>
    </row>
    <row r="161">
      <c r="A161" s="72">
        <f>$D$22</f>
        <v/>
      </c>
      <c r="B161" s="72">
        <f>B160+1</f>
        <v/>
      </c>
      <c r="C161" s="72">
        <f>IF(K161="Vacant","Vac",IF(K161="Model","Model",IF(K161="Admin","Admin",IF(K161="Down","Down",IF(K161="Super","Super","Occ")))))</f>
        <v/>
      </c>
      <c r="D161" s="72">
        <f>INDEX($C$5:$C$9,MATCH(I161,$D$5:$D$9,0))</f>
        <v/>
      </c>
      <c r="E161" s="72">
        <f>INDEX($E$5:$E$9,MATCH(D161,$C$5:$C$9,0))</f>
        <v/>
      </c>
      <c r="F161" s="72">
        <f>INDEX($F$5:$F$9,MATCH(D161,$C$5:$C$9,0))</f>
        <v/>
      </c>
      <c r="G161" s="72">
        <f>INDEX($G$5:$G$9,MATCH(D161,$C$5:$C$9,0))</f>
        <v/>
      </c>
      <c r="H161" s="72" t="inlineStr">
        <is>
          <t>130</t>
        </is>
      </c>
      <c r="I161" s="72" t="inlineStr">
        <is>
          <t>3 Bed 1.5 Bath</t>
        </is>
      </c>
      <c r="J161" s="80" t="n">
        <v>1521</v>
      </c>
      <c r="K161" s="72" t="inlineStr">
        <is>
          <t>Reyes, Lenyn</t>
        </is>
      </c>
      <c r="L161" s="81" t="n">
        <v>1495</v>
      </c>
      <c r="M161" s="81">
        <f>Y161</f>
        <v/>
      </c>
      <c r="N161" s="82" t="n">
        <v>45715</v>
      </c>
      <c r="O161" s="82" t="n">
        <v>45715</v>
      </c>
      <c r="P161" s="82" t="n">
        <v>46446</v>
      </c>
      <c r="R161" s="81">
        <f>SUM(AB161:AB161)</f>
        <v/>
      </c>
      <c r="S161" s="81" t="n">
        <v>0</v>
      </c>
      <c r="T161" s="81" t="n">
        <v>0</v>
      </c>
      <c r="Y161" s="81" t="n">
        <v>1450</v>
      </c>
      <c r="AB161" s="81" t="n">
        <v>35</v>
      </c>
    </row>
    <row r="162">
      <c r="A162" s="72">
        <f>$D$22</f>
        <v/>
      </c>
      <c r="B162" s="72">
        <f>B161+1</f>
        <v/>
      </c>
      <c r="C162" s="72">
        <f>IF(K162="Vacant","Vac",IF(K162="Model","Model",IF(K162="Admin","Admin",IF(K162="Down","Down",IF(K162="Super","Super","Occ")))))</f>
        <v/>
      </c>
      <c r="D162" s="72">
        <f>INDEX($C$5:$C$9,MATCH(I162,$D$5:$D$9,0))</f>
        <v/>
      </c>
      <c r="E162" s="72">
        <f>INDEX($E$5:$E$9,MATCH(D162,$C$5:$C$9,0))</f>
        <v/>
      </c>
      <c r="F162" s="72">
        <f>INDEX($F$5:$F$9,MATCH(D162,$C$5:$C$9,0))</f>
        <v/>
      </c>
      <c r="G162" s="72">
        <f>INDEX($G$5:$G$9,MATCH(D162,$C$5:$C$9,0))</f>
        <v/>
      </c>
      <c r="H162" s="72" t="inlineStr">
        <is>
          <t>131</t>
        </is>
      </c>
      <c r="I162" s="72" t="inlineStr">
        <is>
          <t>2 Bed 1 Bath</t>
        </is>
      </c>
      <c r="J162" s="80" t="n">
        <v>1334</v>
      </c>
      <c r="K162" s="72" t="inlineStr">
        <is>
          <t>Nance (RACB), Moesha</t>
        </is>
      </c>
      <c r="L162" s="81" t="n">
        <v>1350</v>
      </c>
      <c r="M162" s="81">
        <f>Y162</f>
        <v/>
      </c>
      <c r="N162" s="82" t="n">
        <v>45593</v>
      </c>
      <c r="O162" s="82" t="n">
        <v>45593</v>
      </c>
      <c r="P162" s="82" t="n">
        <v>46326</v>
      </c>
      <c r="R162" s="81">
        <f>SUM(AB162:AB162)</f>
        <v/>
      </c>
      <c r="S162" s="81" t="n">
        <v>0</v>
      </c>
      <c r="T162" s="81" t="n">
        <v>0</v>
      </c>
      <c r="Y162" s="81" t="n">
        <v>1350</v>
      </c>
    </row>
    <row r="163">
      <c r="A163" s="72">
        <f>$D$22</f>
        <v/>
      </c>
      <c r="B163" s="72">
        <f>B162+1</f>
        <v/>
      </c>
      <c r="C163" s="72">
        <f>IF(K163="Vacant","Vac",IF(K163="Model","Model",IF(K163="Admin","Admin",IF(K163="Down","Down",IF(K163="Super","Super","Occ")))))</f>
        <v/>
      </c>
      <c r="D163" s="72">
        <f>INDEX($C$5:$C$9,MATCH(I163,$D$5:$D$9,0))</f>
        <v/>
      </c>
      <c r="E163" s="72">
        <f>INDEX($E$5:$E$9,MATCH(D163,$C$5:$C$9,0))</f>
        <v/>
      </c>
      <c r="F163" s="72">
        <f>INDEX($F$5:$F$9,MATCH(D163,$C$5:$C$9,0))</f>
        <v/>
      </c>
      <c r="G163" s="72">
        <f>INDEX($G$5:$G$9,MATCH(D163,$C$5:$C$9,0))</f>
        <v/>
      </c>
      <c r="H163" s="72" t="inlineStr">
        <is>
          <t>132</t>
        </is>
      </c>
      <c r="I163" s="72" t="inlineStr">
        <is>
          <t>1 Bed 1 Bath</t>
        </is>
      </c>
      <c r="J163" s="80" t="n">
        <v>1149</v>
      </c>
      <c r="K163" s="72" t="inlineStr">
        <is>
          <t>Velez, Juan</t>
        </is>
      </c>
      <c r="L163" s="81" t="n">
        <v>1195</v>
      </c>
      <c r="M163" s="81">
        <f>Y163</f>
        <v/>
      </c>
      <c r="N163" s="82" t="n">
        <v>42522</v>
      </c>
      <c r="O163" s="82" t="n">
        <v>42522</v>
      </c>
      <c r="P163" s="82" t="n">
        <v>46173</v>
      </c>
      <c r="R163" s="81">
        <f>SUM(AB163:AB163)</f>
        <v/>
      </c>
      <c r="S163" s="81" t="n">
        <v>0</v>
      </c>
      <c r="T163" s="81" t="n">
        <v>0</v>
      </c>
      <c r="Y163" s="81" t="n">
        <v>950</v>
      </c>
    </row>
    <row r="164">
      <c r="A164" s="72">
        <f>$D$22</f>
        <v/>
      </c>
      <c r="B164" s="72">
        <f>B163+1</f>
        <v/>
      </c>
      <c r="C164" s="72">
        <f>IF(K164="Vacant","Vac",IF(K164="Model","Model",IF(K164="Admin","Admin",IF(K164="Down","Down",IF(K164="Super","Super","Occ")))))</f>
        <v/>
      </c>
      <c r="D164" s="72">
        <f>INDEX($C$5:$C$9,MATCH(I164,$D$5:$D$9,0))</f>
        <v/>
      </c>
      <c r="E164" s="72">
        <f>INDEX($E$5:$E$9,MATCH(D164,$C$5:$C$9,0))</f>
        <v/>
      </c>
      <c r="F164" s="72">
        <f>INDEX($F$5:$F$9,MATCH(D164,$C$5:$C$9,0))</f>
        <v/>
      </c>
      <c r="G164" s="72">
        <f>INDEX($G$5:$G$9,MATCH(D164,$C$5:$C$9,0))</f>
        <v/>
      </c>
      <c r="H164" s="72" t="inlineStr">
        <is>
          <t>133</t>
        </is>
      </c>
      <c r="I164" s="72" t="inlineStr">
        <is>
          <t>3 Bed/ 1Bath</t>
        </is>
      </c>
      <c r="J164" s="80" t="n">
        <v>1521</v>
      </c>
      <c r="K164" s="72" t="inlineStr">
        <is>
          <t>Ivy (BEL), Tiera</t>
        </is>
      </c>
      <c r="L164" s="81" t="n">
        <v>1350</v>
      </c>
      <c r="M164" s="81">
        <f>Y164</f>
        <v/>
      </c>
      <c r="N164" s="82" t="n">
        <v>45757</v>
      </c>
      <c r="O164" s="82" t="n">
        <v>45757</v>
      </c>
      <c r="P164" s="82" t="n">
        <v>46477</v>
      </c>
      <c r="Q164" s="82" t="n">
        <v>46295</v>
      </c>
      <c r="R164" s="81">
        <f>SUM(AB164:AB164)</f>
        <v/>
      </c>
      <c r="S164" s="81" t="n">
        <v>0</v>
      </c>
      <c r="T164" s="81" t="n">
        <v>0</v>
      </c>
      <c r="Y164" s="81" t="n">
        <v>1375</v>
      </c>
    </row>
    <row r="165">
      <c r="A165" s="72">
        <f>$D$22</f>
        <v/>
      </c>
      <c r="B165" s="72">
        <f>B164+1</f>
        <v/>
      </c>
      <c r="C165" s="72">
        <f>IF(K165="Vacant","Vac",IF(K165="Model","Model",IF(K165="Admin","Admin",IF(K165="Down","Down",IF(K165="Super","Super","Occ")))))</f>
        <v/>
      </c>
      <c r="D165" s="72">
        <f>INDEX($C$5:$C$9,MATCH(I165,$D$5:$D$9,0))</f>
        <v/>
      </c>
      <c r="E165" s="72">
        <f>INDEX($E$5:$E$9,MATCH(D165,$C$5:$C$9,0))</f>
        <v/>
      </c>
      <c r="F165" s="72">
        <f>INDEX($F$5:$F$9,MATCH(D165,$C$5:$C$9,0))</f>
        <v/>
      </c>
      <c r="G165" s="72">
        <f>INDEX($G$5:$G$9,MATCH(D165,$C$5:$C$9,0))</f>
        <v/>
      </c>
      <c r="H165" s="72" t="inlineStr">
        <is>
          <t>134</t>
        </is>
      </c>
      <c r="I165" s="72" t="inlineStr">
        <is>
          <t>1 Bed 1 Bath</t>
        </is>
      </c>
      <c r="J165" s="80" t="n">
        <v>1149</v>
      </c>
      <c r="K165" s="72" t="inlineStr">
        <is>
          <t>Miller, Victoria</t>
        </is>
      </c>
      <c r="L165" s="81" t="n">
        <v>1195</v>
      </c>
      <c r="M165" s="81">
        <f>Y165</f>
        <v/>
      </c>
      <c r="N165" s="82" t="n">
        <v>45289</v>
      </c>
      <c r="O165" s="82" t="n">
        <v>45289</v>
      </c>
      <c r="P165" s="82" t="n">
        <v>46387</v>
      </c>
      <c r="Q165" s="82" t="n">
        <v>46295</v>
      </c>
      <c r="R165" s="81">
        <f>SUM(AB165:AB165)</f>
        <v/>
      </c>
      <c r="S165" s="81" t="n">
        <v>0</v>
      </c>
      <c r="T165" s="81" t="n">
        <v>0</v>
      </c>
      <c r="Y165" s="81" t="n">
        <v>1075</v>
      </c>
    </row>
    <row r="166">
      <c r="A166" s="72">
        <f>$D$22</f>
        <v/>
      </c>
      <c r="B166" s="72">
        <f>B165+1</f>
        <v/>
      </c>
      <c r="C166" s="72">
        <f>IF(K166="Vacant","Vac",IF(K166="Model","Model",IF(K166="Admin","Admin",IF(K166="Down","Down",IF(K166="Super","Super","Occ")))))</f>
        <v/>
      </c>
      <c r="D166" s="72">
        <f>INDEX($C$5:$C$9,MATCH(I166,$D$5:$D$9,0))</f>
        <v/>
      </c>
      <c r="E166" s="72">
        <f>INDEX($E$5:$E$9,MATCH(D166,$C$5:$C$9,0))</f>
        <v/>
      </c>
      <c r="F166" s="72">
        <f>INDEX($F$5:$F$9,MATCH(D166,$C$5:$C$9,0))</f>
        <v/>
      </c>
      <c r="G166" s="72">
        <f>INDEX($G$5:$G$9,MATCH(D166,$C$5:$C$9,0))</f>
        <v/>
      </c>
      <c r="H166" s="72" t="inlineStr">
        <is>
          <t>135</t>
        </is>
      </c>
      <c r="I166" s="72" t="inlineStr">
        <is>
          <t>3 Bed/ 1Bath</t>
        </is>
      </c>
      <c r="J166" s="80" t="n">
        <v>1521</v>
      </c>
      <c r="K166" s="72" t="inlineStr">
        <is>
          <t>Thomas, Alisa</t>
        </is>
      </c>
      <c r="L166" s="81" t="n">
        <v>1495</v>
      </c>
      <c r="M166" s="81">
        <f>Y166</f>
        <v/>
      </c>
      <c r="N166" s="82" t="n">
        <v>45474</v>
      </c>
      <c r="O166" s="82" t="n">
        <v>45474</v>
      </c>
      <c r="P166" s="82" t="n">
        <v>46203</v>
      </c>
      <c r="R166" s="81">
        <f>SUM(AB166:AB166)</f>
        <v/>
      </c>
      <c r="S166" s="81" t="n">
        <v>0</v>
      </c>
      <c r="T166" s="81" t="n">
        <v>0</v>
      </c>
      <c r="Y166" s="81" t="n">
        <v>1500</v>
      </c>
    </row>
    <row r="167">
      <c r="A167" s="72">
        <f>$D$22</f>
        <v/>
      </c>
      <c r="B167" s="72">
        <f>B166+1</f>
        <v/>
      </c>
      <c r="C167" s="72">
        <f>IF(K167="Vacant","Vac",IF(K167="Model","Model",IF(K167="Admin","Admin",IF(K167="Down","Down",IF(K167="Super","Super","Occ")))))</f>
        <v/>
      </c>
      <c r="D167" s="72">
        <f>INDEX($C$5:$C$9,MATCH(I167,$D$5:$D$9,0))</f>
        <v/>
      </c>
      <c r="E167" s="72">
        <f>INDEX($E$5:$E$9,MATCH(D167,$C$5:$C$9,0))</f>
        <v/>
      </c>
      <c r="F167" s="72">
        <f>INDEX($F$5:$F$9,MATCH(D167,$C$5:$C$9,0))</f>
        <v/>
      </c>
      <c r="G167" s="72">
        <f>INDEX($G$5:$G$9,MATCH(D167,$C$5:$C$9,0))</f>
        <v/>
      </c>
      <c r="H167" s="72" t="inlineStr">
        <is>
          <t>136</t>
        </is>
      </c>
      <c r="I167" s="72" t="inlineStr">
        <is>
          <t>1 Bed 1 Bath</t>
        </is>
      </c>
      <c r="J167" s="80" t="n">
        <v>1149</v>
      </c>
      <c r="K167" s="72" t="inlineStr">
        <is>
          <t>Lopez, Carlos</t>
        </is>
      </c>
      <c r="L167" s="81" t="n">
        <v>1195</v>
      </c>
      <c r="M167" s="81">
        <f>Y167</f>
        <v/>
      </c>
      <c r="N167" s="82" t="n">
        <v>43987</v>
      </c>
      <c r="O167" s="82" t="n">
        <v>43987</v>
      </c>
      <c r="P167" s="82" t="n">
        <v>46507</v>
      </c>
      <c r="R167" s="81">
        <f>SUM(AB167:AB167)</f>
        <v/>
      </c>
      <c r="S167" s="81" t="n">
        <v>0</v>
      </c>
      <c r="T167" s="81" t="n">
        <v>0</v>
      </c>
      <c r="Y167" s="81" t="n">
        <v>1150</v>
      </c>
    </row>
    <row r="168">
      <c r="A168" s="72">
        <f>$D$22</f>
        <v/>
      </c>
      <c r="B168" s="72">
        <f>B167+1</f>
        <v/>
      </c>
      <c r="C168" s="72">
        <f>IF(K168="Vacant","Vac",IF(K168="Model","Model",IF(K168="Admin","Admin",IF(K168="Down","Down",IF(K168="Super","Super","Occ")))))</f>
        <v/>
      </c>
      <c r="D168" s="72">
        <f>INDEX($C$5:$C$9,MATCH(I168,$D$5:$D$9,0))</f>
        <v/>
      </c>
      <c r="E168" s="72">
        <f>INDEX($E$5:$E$9,MATCH(D168,$C$5:$C$9,0))</f>
        <v/>
      </c>
      <c r="F168" s="72">
        <f>INDEX($F$5:$F$9,MATCH(D168,$C$5:$C$9,0))</f>
        <v/>
      </c>
      <c r="G168" s="72">
        <f>INDEX($G$5:$G$9,MATCH(D168,$C$5:$C$9,0))</f>
        <v/>
      </c>
      <c r="H168" s="72" t="inlineStr">
        <is>
          <t>137</t>
        </is>
      </c>
      <c r="I168" s="72" t="inlineStr">
        <is>
          <t>3 Bed/ 1Bath</t>
        </is>
      </c>
      <c r="J168" s="80" t="n">
        <v>1521</v>
      </c>
      <c r="K168" s="72" t="inlineStr">
        <is>
          <t>Peete Sr, Tyshone</t>
        </is>
      </c>
      <c r="L168" s="81" t="n">
        <v>1475</v>
      </c>
      <c r="M168" s="81">
        <f>Y168</f>
        <v/>
      </c>
      <c r="N168" s="82" t="n">
        <v>45744</v>
      </c>
      <c r="O168" s="82" t="n">
        <v>45744</v>
      </c>
      <c r="P168" s="82" t="n">
        <v>46477</v>
      </c>
      <c r="R168" s="81">
        <f>SUM(AB168:AB168)</f>
        <v/>
      </c>
      <c r="S168" s="81" t="n">
        <v>0</v>
      </c>
      <c r="T168" s="81" t="n">
        <v>0</v>
      </c>
      <c r="Y168" s="81" t="n">
        <v>1400</v>
      </c>
      <c r="AB168" s="81" t="n">
        <v>35</v>
      </c>
    </row>
    <row r="169">
      <c r="A169" s="83">
        <f>$D$22</f>
        <v/>
      </c>
      <c r="B169" s="83">
        <f>B168+1</f>
        <v/>
      </c>
      <c r="C169" s="83">
        <f>IF(K169="Vacant","Vac",IF(K169="Model","Model",IF(K169="Admin","Admin",IF(K169="Down","Down",IF(K169="Super","Super","Occ")))))</f>
        <v/>
      </c>
      <c r="D169" s="83">
        <f>INDEX($C$5:$C$9,MATCH(I169,$D$5:$D$9,0))</f>
        <v/>
      </c>
      <c r="E169" s="83">
        <f>INDEX($E$5:$E$9,MATCH(D169,$C$5:$C$9,0))</f>
        <v/>
      </c>
      <c r="F169" s="83">
        <f>INDEX($F$5:$F$9,MATCH(D169,$C$5:$C$9,0))</f>
        <v/>
      </c>
      <c r="G169" s="83">
        <f>INDEX($G$5:$G$9,MATCH(D169,$C$5:$C$9,0))</f>
        <v/>
      </c>
      <c r="H169" s="83" t="inlineStr">
        <is>
          <t>138</t>
        </is>
      </c>
      <c r="I169" s="83" t="inlineStr">
        <is>
          <t>1 Bed 1 Bath</t>
        </is>
      </c>
      <c r="J169" s="84" t="n">
        <v>1149</v>
      </c>
      <c r="K169" s="83" t="inlineStr">
        <is>
          <t>Vacant</t>
        </is>
      </c>
      <c r="L169" s="85" t="n">
        <v>1150</v>
      </c>
      <c r="M169" s="85">
        <f>Y169</f>
        <v/>
      </c>
      <c r="N169" s="86" t="n"/>
      <c r="O169" s="86" t="n"/>
      <c r="P169" s="86" t="n"/>
      <c r="Q169" s="86" t="n"/>
      <c r="R169" s="85">
        <f>SUM(AB169:AB169)</f>
        <v/>
      </c>
      <c r="S169" s="85" t="n">
        <v>0</v>
      </c>
      <c r="T169" s="85" t="n">
        <v>0</v>
      </c>
      <c r="U169" s="86" t="n"/>
      <c r="V169" s="86" t="n"/>
      <c r="W169" s="86" t="n"/>
      <c r="X169" s="86" t="n"/>
      <c r="Y169" s="85" t="n">
        <v>0</v>
      </c>
      <c r="Z169" s="86" t="n"/>
      <c r="AA169" s="86" t="n"/>
      <c r="AB169" s="86" t="n"/>
    </row>
    <row r="170">
      <c r="A170" s="72">
        <f>$D$22</f>
        <v/>
      </c>
      <c r="B170" s="72">
        <f>B169+1</f>
        <v/>
      </c>
      <c r="C170" s="72">
        <f>IF(K170="Vacant","Vac",IF(K170="Model","Model",IF(K170="Admin","Admin",IF(K170="Down","Down",IF(K170="Super","Super","Occ")))))</f>
        <v/>
      </c>
      <c r="D170" s="72">
        <f>INDEX($C$5:$C$9,MATCH(I170,$D$5:$D$9,0))</f>
        <v/>
      </c>
      <c r="E170" s="72">
        <f>INDEX($E$5:$E$9,MATCH(D170,$C$5:$C$9,0))</f>
        <v/>
      </c>
      <c r="F170" s="72">
        <f>INDEX($F$5:$F$9,MATCH(D170,$C$5:$C$9,0))</f>
        <v/>
      </c>
      <c r="G170" s="72">
        <f>INDEX($G$5:$G$9,MATCH(D170,$C$5:$C$9,0))</f>
        <v/>
      </c>
      <c r="H170" s="72" t="inlineStr">
        <is>
          <t>139</t>
        </is>
      </c>
      <c r="I170" s="72" t="inlineStr">
        <is>
          <t>3 Bed/1Bath FP</t>
        </is>
      </c>
      <c r="J170" s="80" t="n">
        <v>1521</v>
      </c>
      <c r="K170" s="72" t="inlineStr">
        <is>
          <t>Caceres (RACB), Carmen</t>
        </is>
      </c>
      <c r="L170" s="81" t="n">
        <v>1350</v>
      </c>
      <c r="M170" s="81">
        <f>Y170</f>
        <v/>
      </c>
      <c r="N170" s="82" t="n">
        <v>41670</v>
      </c>
      <c r="O170" s="82" t="n">
        <v>41670</v>
      </c>
      <c r="P170" s="82" t="n">
        <v>46418</v>
      </c>
      <c r="R170" s="81">
        <f>SUM(AB170:AB170)</f>
        <v/>
      </c>
      <c r="S170" s="81" t="n">
        <v>0</v>
      </c>
      <c r="T170" s="81" t="n">
        <v>0</v>
      </c>
      <c r="Y170" s="81" t="n">
        <v>1100</v>
      </c>
    </row>
    <row r="171">
      <c r="A171" s="83">
        <f>$D$22</f>
        <v/>
      </c>
      <c r="B171" s="83">
        <f>B170+1</f>
        <v/>
      </c>
      <c r="C171" s="83">
        <f>IF(K171="Vacant","Vac",IF(K171="Model","Model",IF(K171="Admin","Admin",IF(K171="Down","Down",IF(K171="Super","Super","Occ")))))</f>
        <v/>
      </c>
      <c r="D171" s="83">
        <f>INDEX($C$5:$C$9,MATCH(I171,$D$5:$D$9,0))</f>
        <v/>
      </c>
      <c r="E171" s="83">
        <f>INDEX($E$5:$E$9,MATCH(D171,$C$5:$C$9,0))</f>
        <v/>
      </c>
      <c r="F171" s="83">
        <f>INDEX($F$5:$F$9,MATCH(D171,$C$5:$C$9,0))</f>
        <v/>
      </c>
      <c r="G171" s="83">
        <f>INDEX($G$5:$G$9,MATCH(D171,$C$5:$C$9,0))</f>
        <v/>
      </c>
      <c r="H171" s="83" t="inlineStr">
        <is>
          <t>140</t>
        </is>
      </c>
      <c r="I171" s="83" t="inlineStr">
        <is>
          <t>1 Bed 1 Bath</t>
        </is>
      </c>
      <c r="J171" s="84" t="n">
        <v>1149</v>
      </c>
      <c r="K171" s="83" t="inlineStr">
        <is>
          <t>Vacant</t>
        </is>
      </c>
      <c r="L171" s="85" t="n">
        <v>1150</v>
      </c>
      <c r="M171" s="85">
        <f>Y171</f>
        <v/>
      </c>
      <c r="N171" s="86" t="n"/>
      <c r="O171" s="86" t="n"/>
      <c r="P171" s="86" t="n"/>
      <c r="Q171" s="86" t="n"/>
      <c r="R171" s="85">
        <f>SUM(AB171:AB171)</f>
        <v/>
      </c>
      <c r="S171" s="85" t="n">
        <v>0</v>
      </c>
      <c r="T171" s="85" t="n">
        <v>0</v>
      </c>
      <c r="U171" s="86" t="n"/>
      <c r="V171" s="86" t="n"/>
      <c r="W171" s="86" t="n"/>
      <c r="X171" s="86" t="n"/>
      <c r="Y171" s="85" t="n">
        <v>0</v>
      </c>
      <c r="Z171" s="86" t="n"/>
      <c r="AA171" s="86" t="n"/>
      <c r="AB171" s="86" t="n"/>
    </row>
    <row r="172">
      <c r="A172" s="72">
        <f>$D$22</f>
        <v/>
      </c>
      <c r="B172" s="72">
        <f>B171+1</f>
        <v/>
      </c>
      <c r="C172" s="72">
        <f>IF(K172="Vacant","Vac",IF(K172="Model","Model",IF(K172="Admin","Admin",IF(K172="Down","Down",IF(K172="Super","Super","Occ")))))</f>
        <v/>
      </c>
      <c r="D172" s="72">
        <f>INDEX($C$5:$C$9,MATCH(I172,$D$5:$D$9,0))</f>
        <v/>
      </c>
      <c r="E172" s="72">
        <f>INDEX($E$5:$E$9,MATCH(D172,$C$5:$C$9,0))</f>
        <v/>
      </c>
      <c r="F172" s="72">
        <f>INDEX($F$5:$F$9,MATCH(D172,$C$5:$C$9,0))</f>
        <v/>
      </c>
      <c r="G172" s="72">
        <f>INDEX($G$5:$G$9,MATCH(D172,$C$5:$C$9,0))</f>
        <v/>
      </c>
      <c r="H172" s="72" t="inlineStr">
        <is>
          <t>141</t>
        </is>
      </c>
      <c r="I172" s="72" t="inlineStr">
        <is>
          <t>3 Bed/ 1Bath</t>
        </is>
      </c>
      <c r="J172" s="80" t="n">
        <v>1521</v>
      </c>
      <c r="K172" s="72" t="inlineStr">
        <is>
          <t>Miranda, Yamilex</t>
        </is>
      </c>
      <c r="L172" s="81" t="n">
        <v>1475</v>
      </c>
      <c r="M172" s="81">
        <f>Y172</f>
        <v/>
      </c>
      <c r="N172" s="82" t="n">
        <v>46023</v>
      </c>
      <c r="O172" s="82" t="n">
        <v>46023</v>
      </c>
      <c r="P172" s="82" t="n">
        <v>46418</v>
      </c>
      <c r="R172" s="81">
        <f>SUM(AB172:AB172)</f>
        <v/>
      </c>
      <c r="S172" s="81" t="n">
        <v>0</v>
      </c>
      <c r="T172" s="81" t="n">
        <v>0</v>
      </c>
      <c r="Y172" s="81" t="n">
        <v>1475</v>
      </c>
    </row>
    <row r="173">
      <c r="A173" s="72">
        <f>$D$22</f>
        <v/>
      </c>
      <c r="B173" s="72">
        <f>B172+1</f>
        <v/>
      </c>
      <c r="C173" s="72">
        <f>IF(K173="Vacant","Vac",IF(K173="Model","Model",IF(K173="Admin","Admin",IF(K173="Down","Down",IF(K173="Super","Super","Occ")))))</f>
        <v/>
      </c>
      <c r="D173" s="72">
        <f>INDEX($C$5:$C$9,MATCH(I173,$D$5:$D$9,0))</f>
        <v/>
      </c>
      <c r="E173" s="72">
        <f>INDEX($E$5:$E$9,MATCH(D173,$C$5:$C$9,0))</f>
        <v/>
      </c>
      <c r="F173" s="72">
        <f>INDEX($F$5:$F$9,MATCH(D173,$C$5:$C$9,0))</f>
        <v/>
      </c>
      <c r="G173" s="72">
        <f>INDEX($G$5:$G$9,MATCH(D173,$C$5:$C$9,0))</f>
        <v/>
      </c>
      <c r="H173" s="72" t="inlineStr">
        <is>
          <t>142</t>
        </is>
      </c>
      <c r="I173" s="72" t="inlineStr">
        <is>
          <t>1 Bed 1 Bath</t>
        </is>
      </c>
      <c r="J173" s="80" t="n">
        <v>1149</v>
      </c>
      <c r="K173" s="72" t="inlineStr">
        <is>
          <t>Robbins, Dewan</t>
        </is>
      </c>
      <c r="L173" s="81" t="n">
        <v>1195</v>
      </c>
      <c r="M173" s="81">
        <f>Y173</f>
        <v/>
      </c>
      <c r="N173" s="82" t="n">
        <v>45719</v>
      </c>
      <c r="O173" s="82" t="n">
        <v>45719</v>
      </c>
      <c r="P173" s="82" t="n">
        <v>46446</v>
      </c>
      <c r="R173" s="81">
        <f>SUM(AB173:AB173)</f>
        <v/>
      </c>
      <c r="S173" s="81" t="n">
        <v>0</v>
      </c>
      <c r="T173" s="81" t="n">
        <v>0</v>
      </c>
      <c r="Y173" s="81" t="n">
        <v>1145</v>
      </c>
    </row>
    <row r="174">
      <c r="A174" s="72">
        <f>$D$22</f>
        <v/>
      </c>
      <c r="B174" s="72">
        <f>B173+1</f>
        <v/>
      </c>
      <c r="C174" s="72">
        <f>IF(K174="Vacant","Vac",IF(K174="Model","Model",IF(K174="Admin","Admin",IF(K174="Down","Down",IF(K174="Super","Super","Occ")))))</f>
        <v/>
      </c>
      <c r="D174" s="72">
        <f>INDEX($C$5:$C$9,MATCH(I174,$D$5:$D$9,0))</f>
        <v/>
      </c>
      <c r="E174" s="72">
        <f>INDEX($E$5:$E$9,MATCH(D174,$C$5:$C$9,0))</f>
        <v/>
      </c>
      <c r="F174" s="72">
        <f>INDEX($F$5:$F$9,MATCH(D174,$C$5:$C$9,0))</f>
        <v/>
      </c>
      <c r="G174" s="72">
        <f>INDEX($G$5:$G$9,MATCH(D174,$C$5:$C$9,0))</f>
        <v/>
      </c>
      <c r="H174" s="72" t="inlineStr">
        <is>
          <t>143</t>
        </is>
      </c>
      <c r="I174" s="72" t="inlineStr">
        <is>
          <t>3 Bed/ 1Bath</t>
        </is>
      </c>
      <c r="J174" s="80" t="n">
        <v>1521</v>
      </c>
      <c r="K174" s="72" t="inlineStr">
        <is>
          <t>Hernandez (RACB), Vanessa</t>
        </is>
      </c>
      <c r="L174" s="81" t="n">
        <v>1475</v>
      </c>
      <c r="M174" s="81">
        <f>Y174</f>
        <v/>
      </c>
      <c r="N174" s="82" t="n">
        <v>45344</v>
      </c>
      <c r="O174" s="82" t="n">
        <v>45344</v>
      </c>
      <c r="P174" s="82" t="n">
        <v>46446</v>
      </c>
      <c r="Q174" s="82" t="n">
        <v>46296</v>
      </c>
      <c r="R174" s="81">
        <f>SUM(AB174:AB174)</f>
        <v/>
      </c>
      <c r="S174" s="81" t="n">
        <v>0</v>
      </c>
      <c r="T174" s="81" t="n">
        <v>0</v>
      </c>
      <c r="Y174" s="81" t="n">
        <v>1475</v>
      </c>
    </row>
    <row r="175">
      <c r="A175" s="72">
        <f>$D$22</f>
        <v/>
      </c>
      <c r="B175" s="72">
        <f>B174+1</f>
        <v/>
      </c>
      <c r="C175" s="72">
        <f>IF(K175="Vacant","Vac",IF(K175="Model","Model",IF(K175="Admin","Admin",IF(K175="Down","Down",IF(K175="Super","Super","Occ")))))</f>
        <v/>
      </c>
      <c r="D175" s="72">
        <f>INDEX($C$5:$C$9,MATCH(I175,$D$5:$D$9,0))</f>
        <v/>
      </c>
      <c r="E175" s="72">
        <f>INDEX($E$5:$E$9,MATCH(D175,$C$5:$C$9,0))</f>
        <v/>
      </c>
      <c r="F175" s="72">
        <f>INDEX($F$5:$F$9,MATCH(D175,$C$5:$C$9,0))</f>
        <v/>
      </c>
      <c r="G175" s="72">
        <f>INDEX($G$5:$G$9,MATCH(D175,$C$5:$C$9,0))</f>
        <v/>
      </c>
      <c r="H175" s="72" t="inlineStr">
        <is>
          <t>144</t>
        </is>
      </c>
      <c r="I175" s="72" t="inlineStr">
        <is>
          <t>1 Bed 1 Bath</t>
        </is>
      </c>
      <c r="J175" s="80" t="n">
        <v>1149</v>
      </c>
      <c r="K175" s="72" t="inlineStr">
        <is>
          <t>Edwards (BEL), Maureen</t>
        </is>
      </c>
      <c r="L175" s="81" t="n">
        <v>1195</v>
      </c>
      <c r="M175" s="81">
        <f>Y175</f>
        <v/>
      </c>
      <c r="N175" s="82" t="n">
        <v>45314</v>
      </c>
      <c r="O175" s="82" t="n">
        <v>45314</v>
      </c>
      <c r="P175" s="82" t="n">
        <v>46418</v>
      </c>
      <c r="R175" s="81">
        <f>SUM(AB175:AB175)</f>
        <v/>
      </c>
      <c r="S175" s="81" t="n">
        <v>0</v>
      </c>
      <c r="T175" s="81" t="n">
        <v>0</v>
      </c>
      <c r="Y175" s="81" t="n">
        <v>1100</v>
      </c>
    </row>
    <row r="176">
      <c r="A176" s="72">
        <f>$D$22</f>
        <v/>
      </c>
      <c r="B176" s="72">
        <f>B175+1</f>
        <v/>
      </c>
      <c r="C176" s="72">
        <f>IF(K176="Vacant","Vac",IF(K176="Model","Model",IF(K176="Admin","Admin",IF(K176="Down","Down",IF(K176="Super","Super","Occ")))))</f>
        <v/>
      </c>
      <c r="D176" s="72">
        <f>INDEX($C$5:$C$9,MATCH(I176,$D$5:$D$9,0))</f>
        <v/>
      </c>
      <c r="E176" s="72">
        <f>INDEX($E$5:$E$9,MATCH(D176,$C$5:$C$9,0))</f>
        <v/>
      </c>
      <c r="F176" s="72">
        <f>INDEX($F$5:$F$9,MATCH(D176,$C$5:$C$9,0))</f>
        <v/>
      </c>
      <c r="G176" s="72">
        <f>INDEX($G$5:$G$9,MATCH(D176,$C$5:$C$9,0))</f>
        <v/>
      </c>
      <c r="H176" s="72" t="inlineStr">
        <is>
          <t>145</t>
        </is>
      </c>
      <c r="I176" s="72" t="inlineStr">
        <is>
          <t>3 Bed/1Bath FP</t>
        </is>
      </c>
      <c r="J176" s="80" t="n">
        <v>1521</v>
      </c>
      <c r="K176" s="72" t="inlineStr">
        <is>
          <t>Williams, Jamelle</t>
        </is>
      </c>
      <c r="L176" s="81" t="n">
        <v>1475</v>
      </c>
      <c r="M176" s="81">
        <f>Y176</f>
        <v/>
      </c>
      <c r="N176" s="82" t="n">
        <v>46023</v>
      </c>
      <c r="O176" s="82" t="n">
        <v>46023</v>
      </c>
      <c r="P176" s="82" t="n">
        <v>46387</v>
      </c>
      <c r="R176" s="81">
        <f>SUM(AB176:AB176)</f>
        <v/>
      </c>
      <c r="S176" s="81" t="n">
        <v>0</v>
      </c>
      <c r="T176" s="81" t="n">
        <v>0</v>
      </c>
      <c r="Y176" s="81" t="n">
        <v>1400</v>
      </c>
    </row>
    <row r="177">
      <c r="A177" s="72">
        <f>$D$22</f>
        <v/>
      </c>
      <c r="B177" s="72">
        <f>B176+1</f>
        <v/>
      </c>
      <c r="C177" s="72">
        <f>IF(K177="Vacant","Vac",IF(K177="Model","Model",IF(K177="Admin","Admin",IF(K177="Down","Down",IF(K177="Super","Super","Occ")))))</f>
        <v/>
      </c>
      <c r="D177" s="72">
        <f>INDEX($C$5:$C$9,MATCH(I177,$D$5:$D$9,0))</f>
        <v/>
      </c>
      <c r="E177" s="72">
        <f>INDEX($E$5:$E$9,MATCH(D177,$C$5:$C$9,0))</f>
        <v/>
      </c>
      <c r="F177" s="72">
        <f>INDEX($F$5:$F$9,MATCH(D177,$C$5:$C$9,0))</f>
        <v/>
      </c>
      <c r="G177" s="72">
        <f>INDEX($G$5:$G$9,MATCH(D177,$C$5:$C$9,0))</f>
        <v/>
      </c>
      <c r="H177" s="72" t="inlineStr">
        <is>
          <t>146</t>
        </is>
      </c>
      <c r="I177" s="72" t="inlineStr">
        <is>
          <t>1 Bed 1 Bath</t>
        </is>
      </c>
      <c r="J177" s="80" t="n">
        <v>1149</v>
      </c>
      <c r="K177" s="72" t="inlineStr">
        <is>
          <t>Patterson, Christalee</t>
        </is>
      </c>
      <c r="L177" s="81" t="n">
        <v>1195</v>
      </c>
      <c r="M177" s="81">
        <f>Y177</f>
        <v/>
      </c>
      <c r="N177" s="82" t="n">
        <v>46204</v>
      </c>
      <c r="O177" s="82" t="n">
        <v>46204</v>
      </c>
      <c r="P177" s="82" t="n">
        <v>46568</v>
      </c>
      <c r="R177" s="81">
        <f>SUM(AB177:AB177)</f>
        <v/>
      </c>
      <c r="S177" s="81" t="n">
        <v>0</v>
      </c>
      <c r="T177" s="81" t="n">
        <v>0</v>
      </c>
      <c r="Y177" s="81" t="n">
        <v>1150</v>
      </c>
    </row>
    <row r="178">
      <c r="A178" s="72">
        <f>$D$22</f>
        <v/>
      </c>
      <c r="B178" s="72">
        <f>B177+1</f>
        <v/>
      </c>
      <c r="C178" s="72">
        <f>IF(K178="Vacant","Vac",IF(K178="Model","Model",IF(K178="Admin","Admin",IF(K178="Down","Down",IF(K178="Super","Super","Occ")))))</f>
        <v/>
      </c>
      <c r="D178" s="72">
        <f>INDEX($C$5:$C$9,MATCH(I178,$D$5:$D$9,0))</f>
        <v/>
      </c>
      <c r="E178" s="72">
        <f>INDEX($E$5:$E$9,MATCH(D178,$C$5:$C$9,0))</f>
        <v/>
      </c>
      <c r="F178" s="72">
        <f>INDEX($F$5:$F$9,MATCH(D178,$C$5:$C$9,0))</f>
        <v/>
      </c>
      <c r="G178" s="72">
        <f>INDEX($G$5:$G$9,MATCH(D178,$C$5:$C$9,0))</f>
        <v/>
      </c>
      <c r="H178" s="72" t="inlineStr">
        <is>
          <t>147</t>
        </is>
      </c>
      <c r="I178" s="72" t="inlineStr">
        <is>
          <t>3 Bed 1.5 Bath</t>
        </is>
      </c>
      <c r="J178" s="80" t="n">
        <v>1521</v>
      </c>
      <c r="K178" s="72" t="inlineStr">
        <is>
          <t>Tchassi Fotsing (JER), Gabriel</t>
        </is>
      </c>
      <c r="L178" s="81" t="n">
        <v>1495</v>
      </c>
      <c r="M178" s="81">
        <f>Y178</f>
        <v/>
      </c>
      <c r="N178" s="82" t="n">
        <v>45331</v>
      </c>
      <c r="O178" s="82" t="n">
        <v>45331</v>
      </c>
      <c r="P178" s="82" t="n">
        <v>46446</v>
      </c>
      <c r="R178" s="81">
        <f>SUM(AB178:AB178)</f>
        <v/>
      </c>
      <c r="S178" s="81" t="n">
        <v>0</v>
      </c>
      <c r="T178" s="81" t="n">
        <v>0</v>
      </c>
      <c r="Y178" s="81" t="n">
        <v>1475</v>
      </c>
    </row>
    <row r="179">
      <c r="A179" s="83">
        <f>$D$22</f>
        <v/>
      </c>
      <c r="B179" s="83">
        <f>B178+1</f>
        <v/>
      </c>
      <c r="C179" s="83">
        <f>IF(K179="Vacant","Vac",IF(K179="Model","Model",IF(K179="Admin","Admin",IF(K179="Down","Down",IF(K179="Super","Super","Occ")))))</f>
        <v/>
      </c>
      <c r="D179" s="83">
        <f>INDEX($C$5:$C$9,MATCH(I179,$D$5:$D$9,0))</f>
        <v/>
      </c>
      <c r="E179" s="83">
        <f>INDEX($E$5:$E$9,MATCH(D179,$C$5:$C$9,0))</f>
        <v/>
      </c>
      <c r="F179" s="83">
        <f>INDEX($F$5:$F$9,MATCH(D179,$C$5:$C$9,0))</f>
        <v/>
      </c>
      <c r="G179" s="83">
        <f>INDEX($G$5:$G$9,MATCH(D179,$C$5:$C$9,0))</f>
        <v/>
      </c>
      <c r="H179" s="83" t="inlineStr">
        <is>
          <t>148</t>
        </is>
      </c>
      <c r="I179" s="83" t="inlineStr">
        <is>
          <t>2 Bed 1 Bath</t>
        </is>
      </c>
      <c r="J179" s="84" t="n">
        <v>1334</v>
      </c>
      <c r="K179" s="83" t="inlineStr">
        <is>
          <t>Vacant</t>
        </is>
      </c>
      <c r="L179" s="85" t="n">
        <v>1200</v>
      </c>
      <c r="M179" s="85">
        <f>Y179</f>
        <v/>
      </c>
      <c r="N179" s="86" t="n"/>
      <c r="O179" s="86" t="n"/>
      <c r="P179" s="86" t="n"/>
      <c r="Q179" s="86" t="n"/>
      <c r="R179" s="85">
        <f>SUM(AB179:AB179)</f>
        <v/>
      </c>
      <c r="S179" s="85" t="n">
        <v>0</v>
      </c>
      <c r="T179" s="85" t="n">
        <v>0</v>
      </c>
      <c r="U179" s="86" t="n"/>
      <c r="V179" s="86" t="n"/>
      <c r="W179" s="86" t="n"/>
      <c r="X179" s="86" t="n"/>
      <c r="Y179" s="85" t="n">
        <v>0</v>
      </c>
      <c r="Z179" s="86" t="n"/>
      <c r="AA179" s="86" t="n"/>
      <c r="AB179" s="86" t="n"/>
    </row>
    <row r="180">
      <c r="A180" s="72">
        <f>$D$22</f>
        <v/>
      </c>
      <c r="B180" s="72">
        <f>B179+1</f>
        <v/>
      </c>
      <c r="C180" s="72">
        <f>IF(K180="Vacant","Vac",IF(K180="Model","Model",IF(K180="Admin","Admin",IF(K180="Down","Down",IF(K180="Super","Super","Occ")))))</f>
        <v/>
      </c>
      <c r="D180" s="72">
        <f>INDEX($C$5:$C$9,MATCH(I180,$D$5:$D$9,0))</f>
        <v/>
      </c>
      <c r="E180" s="72">
        <f>INDEX($E$5:$E$9,MATCH(D180,$C$5:$C$9,0))</f>
        <v/>
      </c>
      <c r="F180" s="72">
        <f>INDEX($F$5:$F$9,MATCH(D180,$C$5:$C$9,0))</f>
        <v/>
      </c>
      <c r="G180" s="72">
        <f>INDEX($G$5:$G$9,MATCH(D180,$C$5:$C$9,0))</f>
        <v/>
      </c>
      <c r="H180" s="72" t="inlineStr">
        <is>
          <t>149</t>
        </is>
      </c>
      <c r="I180" s="72" t="inlineStr">
        <is>
          <t>3 Bed 1.5 Bath</t>
        </is>
      </c>
      <c r="J180" s="80" t="n">
        <v>1541</v>
      </c>
      <c r="K180" s="72" t="inlineStr">
        <is>
          <t>Villamil (RACB), Karen</t>
        </is>
      </c>
      <c r="L180" s="81" t="n">
        <v>1495</v>
      </c>
      <c r="M180" s="81">
        <f>Y180</f>
        <v/>
      </c>
      <c r="N180" s="82" t="n">
        <v>43435</v>
      </c>
      <c r="O180" s="82" t="n">
        <v>43435</v>
      </c>
      <c r="P180" s="82" t="n">
        <v>46507</v>
      </c>
      <c r="R180" s="81">
        <f>SUM(AB180:AB180)</f>
        <v/>
      </c>
      <c r="S180" s="81" t="n">
        <v>0</v>
      </c>
      <c r="T180" s="81" t="n">
        <v>0</v>
      </c>
      <c r="Y180" s="81" t="n">
        <v>1275</v>
      </c>
      <c r="AB180" s="81" t="n">
        <v>50</v>
      </c>
    </row>
    <row r="181">
      <c r="A181" s="72">
        <f>$D$22</f>
        <v/>
      </c>
      <c r="B181" s="72">
        <f>B180+1</f>
        <v/>
      </c>
      <c r="C181" s="72">
        <f>IF(K181="Vacant","Vac",IF(K181="Model","Model",IF(K181="Admin","Admin",IF(K181="Down","Down",IF(K181="Super","Super","Occ")))))</f>
        <v/>
      </c>
      <c r="D181" s="72">
        <f>INDEX($C$5:$C$9,MATCH(I181,$D$5:$D$9,0))</f>
        <v/>
      </c>
      <c r="E181" s="72">
        <f>INDEX($E$5:$E$9,MATCH(D181,$C$5:$C$9,0))</f>
        <v/>
      </c>
      <c r="F181" s="72">
        <f>INDEX($F$5:$F$9,MATCH(D181,$C$5:$C$9,0))</f>
        <v/>
      </c>
      <c r="G181" s="72">
        <f>INDEX($G$5:$G$9,MATCH(D181,$C$5:$C$9,0))</f>
        <v/>
      </c>
      <c r="H181" s="72" t="inlineStr">
        <is>
          <t>150</t>
        </is>
      </c>
      <c r="I181" s="72" t="inlineStr">
        <is>
          <t>3 Bed 1.5 Bath</t>
        </is>
      </c>
      <c r="J181" s="80" t="n">
        <v>1541</v>
      </c>
      <c r="K181" s="72" t="inlineStr">
        <is>
          <t>Kawaya, Cynthia</t>
        </is>
      </c>
      <c r="L181" s="81" t="n">
        <v>1495</v>
      </c>
      <c r="M181" s="81">
        <f>Y181</f>
        <v/>
      </c>
      <c r="N181" s="82" t="n">
        <v>44900</v>
      </c>
      <c r="O181" s="82" t="n">
        <v>44900</v>
      </c>
      <c r="P181" s="82" t="n">
        <v>46387</v>
      </c>
      <c r="R181" s="81">
        <f>SUM(AB181:AB181)</f>
        <v/>
      </c>
      <c r="S181" s="81" t="n">
        <v>0</v>
      </c>
      <c r="T181" s="81" t="n">
        <v>0</v>
      </c>
      <c r="Y181" s="81" t="n">
        <v>1525</v>
      </c>
    </row>
    <row r="182">
      <c r="A182" s="72">
        <f>$D$22</f>
        <v/>
      </c>
      <c r="B182" s="72">
        <f>B181+1</f>
        <v/>
      </c>
      <c r="C182" s="72">
        <f>IF(K182="Vacant","Vac",IF(K182="Model","Model",IF(K182="Admin","Admin",IF(K182="Down","Down",IF(K182="Super","Super","Occ")))))</f>
        <v/>
      </c>
      <c r="D182" s="72">
        <f>INDEX($C$5:$C$9,MATCH(I182,$D$5:$D$9,0))</f>
        <v/>
      </c>
      <c r="E182" s="72">
        <f>INDEX($E$5:$E$9,MATCH(D182,$C$5:$C$9,0))</f>
        <v/>
      </c>
      <c r="F182" s="72">
        <f>INDEX($F$5:$F$9,MATCH(D182,$C$5:$C$9,0))</f>
        <v/>
      </c>
      <c r="G182" s="72">
        <f>INDEX($G$5:$G$9,MATCH(D182,$C$5:$C$9,0))</f>
        <v/>
      </c>
      <c r="H182" s="72" t="inlineStr">
        <is>
          <t>151</t>
        </is>
      </c>
      <c r="I182" s="72" t="inlineStr">
        <is>
          <t>2 Bed 1 Bath</t>
        </is>
      </c>
      <c r="J182" s="80" t="n">
        <v>1334</v>
      </c>
      <c r="K182" s="72" t="inlineStr">
        <is>
          <t>Lopez (RACB), Erica</t>
        </is>
      </c>
      <c r="L182" s="81" t="n">
        <v>1350</v>
      </c>
      <c r="M182" s="81">
        <f>Y182</f>
        <v/>
      </c>
      <c r="N182" s="82" t="n">
        <v>43420</v>
      </c>
      <c r="O182" s="82" t="n">
        <v>43420</v>
      </c>
      <c r="P182" s="82" t="n">
        <v>46356</v>
      </c>
      <c r="R182" s="81">
        <f>SUM(AB182:AB182)</f>
        <v/>
      </c>
      <c r="S182" s="81" t="n">
        <v>0</v>
      </c>
      <c r="T182" s="81" t="n">
        <v>0</v>
      </c>
      <c r="Y182" s="81" t="n">
        <v>1100</v>
      </c>
      <c r="AB182" s="81" t="n">
        <v>50</v>
      </c>
    </row>
    <row r="183">
      <c r="A183" s="72">
        <f>$D$22</f>
        <v/>
      </c>
      <c r="B183" s="72">
        <f>B182+1</f>
        <v/>
      </c>
      <c r="C183" s="72">
        <f>IF(K183="Vacant","Vac",IF(K183="Model","Model",IF(K183="Admin","Admin",IF(K183="Down","Down",IF(K183="Super","Super","Occ")))))</f>
        <v/>
      </c>
      <c r="D183" s="72">
        <f>INDEX($C$5:$C$9,MATCH(I183,$D$5:$D$9,0))</f>
        <v/>
      </c>
      <c r="E183" s="72">
        <f>INDEX($E$5:$E$9,MATCH(D183,$C$5:$C$9,0))</f>
        <v/>
      </c>
      <c r="F183" s="72">
        <f>INDEX($F$5:$F$9,MATCH(D183,$C$5:$C$9,0))</f>
        <v/>
      </c>
      <c r="G183" s="72">
        <f>INDEX($G$5:$G$9,MATCH(D183,$C$5:$C$9,0))</f>
        <v/>
      </c>
      <c r="H183" s="72" t="inlineStr">
        <is>
          <t>152</t>
        </is>
      </c>
      <c r="I183" s="72" t="inlineStr">
        <is>
          <t>1 Bed 1 Bath</t>
        </is>
      </c>
      <c r="J183" s="80" t="n">
        <v>1149</v>
      </c>
      <c r="K183" s="72" t="inlineStr">
        <is>
          <t>Banks, Najah</t>
        </is>
      </c>
      <c r="L183" s="81" t="n">
        <v>1195</v>
      </c>
      <c r="M183" s="81">
        <f>Y183</f>
        <v/>
      </c>
      <c r="N183" s="82" t="n">
        <v>46054</v>
      </c>
      <c r="O183" s="82" t="n">
        <v>46054</v>
      </c>
      <c r="P183" s="82" t="n">
        <v>46446</v>
      </c>
      <c r="R183" s="81">
        <f>SUM(AB183:AB183)</f>
        <v/>
      </c>
      <c r="S183" s="81" t="n">
        <v>0</v>
      </c>
      <c r="T183" s="81" t="n">
        <v>0</v>
      </c>
      <c r="Y183" s="81" t="n">
        <v>1195</v>
      </c>
    </row>
    <row r="184">
      <c r="A184" s="72">
        <f>$D$22</f>
        <v/>
      </c>
      <c r="B184" s="72">
        <f>B183+1</f>
        <v/>
      </c>
      <c r="C184" s="72">
        <f>IF(K184="Vacant","Vac",IF(K184="Model","Model",IF(K184="Admin","Admin",IF(K184="Down","Down",IF(K184="Super","Super","Occ")))))</f>
        <v/>
      </c>
      <c r="D184" s="72">
        <f>INDEX($C$5:$C$9,MATCH(I184,$D$5:$D$9,0))</f>
        <v/>
      </c>
      <c r="E184" s="72">
        <f>INDEX($E$5:$E$9,MATCH(D184,$C$5:$C$9,0))</f>
        <v/>
      </c>
      <c r="F184" s="72">
        <f>INDEX($F$5:$F$9,MATCH(D184,$C$5:$C$9,0))</f>
        <v/>
      </c>
      <c r="G184" s="72">
        <f>INDEX($G$5:$G$9,MATCH(D184,$C$5:$C$9,0))</f>
        <v/>
      </c>
      <c r="H184" s="72" t="inlineStr">
        <is>
          <t>153</t>
        </is>
      </c>
      <c r="I184" s="72" t="inlineStr">
        <is>
          <t>3 Bed/1Bath FP</t>
        </is>
      </c>
      <c r="J184" s="80" t="n">
        <v>1521</v>
      </c>
      <c r="K184" s="72" t="inlineStr">
        <is>
          <t>Pierantoni-Vazquez, Jennifer</t>
        </is>
      </c>
      <c r="L184" s="81" t="n">
        <v>1475</v>
      </c>
      <c r="M184" s="81">
        <f>Y184</f>
        <v/>
      </c>
      <c r="N184" s="82" t="n">
        <v>43160</v>
      </c>
      <c r="O184" s="82" t="n">
        <v>43160</v>
      </c>
      <c r="P184" s="82" t="n">
        <v>46446</v>
      </c>
      <c r="R184" s="81">
        <f>SUM(AB184:AB184)</f>
        <v/>
      </c>
      <c r="S184" s="81" t="n">
        <v>0</v>
      </c>
      <c r="T184" s="81" t="n">
        <v>0</v>
      </c>
      <c r="Y184" s="81" t="n">
        <v>1125</v>
      </c>
    </row>
    <row r="185">
      <c r="A185" s="72">
        <f>$D$22</f>
        <v/>
      </c>
      <c r="B185" s="72">
        <f>B184+1</f>
        <v/>
      </c>
      <c r="C185" s="72">
        <f>IF(K185="Vacant","Vac",IF(K185="Model","Model",IF(K185="Admin","Admin",IF(K185="Down","Down",IF(K185="Super","Super","Occ")))))</f>
        <v/>
      </c>
      <c r="D185" s="72">
        <f>INDEX($C$5:$C$9,MATCH(I185,$D$5:$D$9,0))</f>
        <v/>
      </c>
      <c r="E185" s="72">
        <f>INDEX($E$5:$E$9,MATCH(D185,$C$5:$C$9,0))</f>
        <v/>
      </c>
      <c r="F185" s="72">
        <f>INDEX($F$5:$F$9,MATCH(D185,$C$5:$C$9,0))</f>
        <v/>
      </c>
      <c r="G185" s="72">
        <f>INDEX($G$5:$G$9,MATCH(D185,$C$5:$C$9,0))</f>
        <v/>
      </c>
      <c r="H185" s="72" t="inlineStr">
        <is>
          <t>154</t>
        </is>
      </c>
      <c r="I185" s="72" t="inlineStr">
        <is>
          <t>1 Bed 1 Bath</t>
        </is>
      </c>
      <c r="J185" s="80" t="n">
        <v>1149</v>
      </c>
      <c r="K185" s="72" t="inlineStr">
        <is>
          <t>Phillips, Thomas</t>
        </is>
      </c>
      <c r="L185" s="81" t="n">
        <v>1195</v>
      </c>
      <c r="M185" s="81">
        <f>Y185</f>
        <v/>
      </c>
      <c r="N185" s="82" t="n">
        <v>46037</v>
      </c>
      <c r="O185" s="82" t="n">
        <v>46037</v>
      </c>
      <c r="P185" s="82" t="n">
        <v>46418</v>
      </c>
      <c r="R185" s="81">
        <f>SUM(AB185:AB185)</f>
        <v/>
      </c>
      <c r="S185" s="81" t="n">
        <v>0</v>
      </c>
      <c r="T185" s="81" t="n">
        <v>0</v>
      </c>
      <c r="Y185" s="81" t="n">
        <v>1100</v>
      </c>
    </row>
    <row r="186">
      <c r="A186" s="72">
        <f>$D$22</f>
        <v/>
      </c>
      <c r="B186" s="72">
        <f>B185+1</f>
        <v/>
      </c>
      <c r="C186" s="72">
        <f>IF(K186="Vacant","Vac",IF(K186="Model","Model",IF(K186="Admin","Admin",IF(K186="Down","Down",IF(K186="Super","Super","Occ")))))</f>
        <v/>
      </c>
      <c r="D186" s="72">
        <f>INDEX($C$5:$C$9,MATCH(I186,$D$5:$D$9,0))</f>
        <v/>
      </c>
      <c r="E186" s="72">
        <f>INDEX($E$5:$E$9,MATCH(D186,$C$5:$C$9,0))</f>
        <v/>
      </c>
      <c r="F186" s="72">
        <f>INDEX($F$5:$F$9,MATCH(D186,$C$5:$C$9,0))</f>
        <v/>
      </c>
      <c r="G186" s="72">
        <f>INDEX($G$5:$G$9,MATCH(D186,$C$5:$C$9,0))</f>
        <v/>
      </c>
      <c r="H186" s="72" t="inlineStr">
        <is>
          <t>155</t>
        </is>
      </c>
      <c r="I186" s="72" t="inlineStr">
        <is>
          <t>3 Bed/1Bath FP</t>
        </is>
      </c>
      <c r="J186" s="80" t="n">
        <v>1521</v>
      </c>
      <c r="K186" s="72" t="inlineStr">
        <is>
          <t>Harmon, Ashley</t>
        </is>
      </c>
      <c r="L186" s="81" t="n">
        <v>1475</v>
      </c>
      <c r="M186" s="81">
        <f>Y186</f>
        <v/>
      </c>
      <c r="N186" s="82" t="n">
        <v>42074</v>
      </c>
      <c r="O186" s="82" t="n">
        <v>42074</v>
      </c>
      <c r="P186" s="82" t="n">
        <v>46446</v>
      </c>
      <c r="R186" s="81">
        <f>SUM(AB186:AB186)</f>
        <v/>
      </c>
      <c r="S186" s="81" t="n">
        <v>0</v>
      </c>
      <c r="T186" s="81" t="n">
        <v>0</v>
      </c>
      <c r="Y186" s="81" t="n">
        <v>1125</v>
      </c>
    </row>
    <row r="187">
      <c r="A187" s="72">
        <f>$D$22</f>
        <v/>
      </c>
      <c r="B187" s="72">
        <f>B186+1</f>
        <v/>
      </c>
      <c r="C187" s="72">
        <f>IF(K187="Vacant","Vac",IF(K187="Model","Model",IF(K187="Admin","Admin",IF(K187="Down","Down",IF(K187="Super","Super","Occ")))))</f>
        <v/>
      </c>
      <c r="D187" s="72">
        <f>INDEX($C$5:$C$9,MATCH(I187,$D$5:$D$9,0))</f>
        <v/>
      </c>
      <c r="E187" s="72">
        <f>INDEX($E$5:$E$9,MATCH(D187,$C$5:$C$9,0))</f>
        <v/>
      </c>
      <c r="F187" s="72">
        <f>INDEX($F$5:$F$9,MATCH(D187,$C$5:$C$9,0))</f>
        <v/>
      </c>
      <c r="G187" s="72">
        <f>INDEX($G$5:$G$9,MATCH(D187,$C$5:$C$9,0))</f>
        <v/>
      </c>
      <c r="H187" s="72" t="inlineStr">
        <is>
          <t>156</t>
        </is>
      </c>
      <c r="I187" s="72" t="inlineStr">
        <is>
          <t>1 Bed 1 Bath</t>
        </is>
      </c>
      <c r="J187" s="80" t="n">
        <v>1149</v>
      </c>
      <c r="K187" s="72" t="inlineStr">
        <is>
          <t>Services, TSI, Transitional</t>
        </is>
      </c>
      <c r="L187" s="81" t="n">
        <v>1195</v>
      </c>
      <c r="M187" s="81">
        <f>Y187</f>
        <v/>
      </c>
      <c r="N187" s="82" t="n">
        <v>45364</v>
      </c>
      <c r="O187" s="82" t="n">
        <v>45364</v>
      </c>
      <c r="P187" s="82" t="n">
        <v>46477</v>
      </c>
      <c r="R187" s="81">
        <f>SUM(AB187:AB187)</f>
        <v/>
      </c>
      <c r="S187" s="81" t="n">
        <v>0</v>
      </c>
      <c r="T187" s="81" t="n">
        <v>0</v>
      </c>
      <c r="Y187" s="81" t="n">
        <v>1195</v>
      </c>
    </row>
    <row r="188">
      <c r="A188" s="72">
        <f>$D$22</f>
        <v/>
      </c>
      <c r="B188" s="72">
        <f>B187+1</f>
        <v/>
      </c>
      <c r="C188" s="72">
        <f>IF(K188="Vacant","Vac",IF(K188="Model","Model",IF(K188="Admin","Admin",IF(K188="Down","Down",IF(K188="Super","Super","Occ")))))</f>
        <v/>
      </c>
      <c r="D188" s="72">
        <f>INDEX($C$5:$C$9,MATCH(I188,$D$5:$D$9,0))</f>
        <v/>
      </c>
      <c r="E188" s="72">
        <f>INDEX($E$5:$E$9,MATCH(D188,$C$5:$C$9,0))</f>
        <v/>
      </c>
      <c r="F188" s="72">
        <f>INDEX($F$5:$F$9,MATCH(D188,$C$5:$C$9,0))</f>
        <v/>
      </c>
      <c r="G188" s="72">
        <f>INDEX($G$5:$G$9,MATCH(D188,$C$5:$C$9,0))</f>
        <v/>
      </c>
      <c r="H188" s="72" t="inlineStr">
        <is>
          <t>157</t>
        </is>
      </c>
      <c r="I188" s="72" t="inlineStr">
        <is>
          <t>3 Bed/1Bath FP</t>
        </is>
      </c>
      <c r="J188" s="80" t="n">
        <v>1521</v>
      </c>
      <c r="K188" s="72" t="inlineStr">
        <is>
          <t>Matos (RACB), Jade</t>
        </is>
      </c>
      <c r="L188" s="81" t="n">
        <v>1350</v>
      </c>
      <c r="M188" s="81">
        <f>Y188</f>
        <v/>
      </c>
      <c r="N188" s="82" t="n">
        <v>46143</v>
      </c>
      <c r="O188" s="82" t="n">
        <v>46143</v>
      </c>
      <c r="P188" s="82" t="n">
        <v>46507</v>
      </c>
      <c r="R188" s="81">
        <f>SUM(AB188:AB188)</f>
        <v/>
      </c>
      <c r="S188" s="81" t="n">
        <v>0</v>
      </c>
      <c r="T188" s="81" t="n">
        <v>0</v>
      </c>
      <c r="Y188" s="81" t="n">
        <v>1400</v>
      </c>
    </row>
    <row r="189">
      <c r="A189" s="72">
        <f>$D$22</f>
        <v/>
      </c>
      <c r="B189" s="72">
        <f>B188+1</f>
        <v/>
      </c>
      <c r="C189" s="72">
        <f>IF(K189="Vacant","Vac",IF(K189="Model","Model",IF(K189="Admin","Admin",IF(K189="Down","Down",IF(K189="Super","Super","Occ")))))</f>
        <v/>
      </c>
      <c r="D189" s="72">
        <f>INDEX($C$5:$C$9,MATCH(I189,$D$5:$D$9,0))</f>
        <v/>
      </c>
      <c r="E189" s="72">
        <f>INDEX($E$5:$E$9,MATCH(D189,$C$5:$C$9,0))</f>
        <v/>
      </c>
      <c r="F189" s="72">
        <f>INDEX($F$5:$F$9,MATCH(D189,$C$5:$C$9,0))</f>
        <v/>
      </c>
      <c r="G189" s="72">
        <f>INDEX($G$5:$G$9,MATCH(D189,$C$5:$C$9,0))</f>
        <v/>
      </c>
      <c r="H189" s="72" t="inlineStr">
        <is>
          <t>158</t>
        </is>
      </c>
      <c r="I189" s="72" t="inlineStr">
        <is>
          <t>2 Bed 1 Bath</t>
        </is>
      </c>
      <c r="J189" s="80" t="n">
        <v>1334</v>
      </c>
      <c r="K189" s="72" t="inlineStr">
        <is>
          <t>Brown, Angel</t>
        </is>
      </c>
      <c r="L189" s="81" t="n">
        <v>1350</v>
      </c>
      <c r="M189" s="81">
        <f>Y189</f>
        <v/>
      </c>
      <c r="N189" s="82" t="n">
        <v>40848</v>
      </c>
      <c r="O189" s="82" t="n">
        <v>40848</v>
      </c>
      <c r="P189" s="82" t="n">
        <v>46691</v>
      </c>
      <c r="R189" s="81">
        <f>SUM(AB189:AB189)</f>
        <v/>
      </c>
      <c r="S189" s="81" t="n">
        <v>0</v>
      </c>
      <c r="T189" s="81" t="n">
        <v>0</v>
      </c>
      <c r="Y189" s="81" t="n">
        <v>925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0"/>
  <sheetViews>
    <sheetView showGridLines="1" workbookViewId="0">
      <selection activeCell="A1" sqref="A1"/>
    </sheetView>
  </sheetViews>
  <sheetFormatPr baseColWidth="8" defaultRowHeight="15"/>
  <cols>
    <col width="2.5546875" customWidth="1" min="1" max="1"/>
    <col width="1.33203125" customWidth="1" min="2" max="2"/>
    <col width="3.44140625" customWidth="1" min="3" max="3"/>
    <col width="19" customWidth="1" min="4" max="4"/>
    <col width="8" customWidth="1" min="5" max="5"/>
    <col width="4.21875" customWidth="1" min="6" max="6"/>
    <col width="10.21875" customWidth="1" min="7" max="7"/>
    <col width="1.5546875" customWidth="1" min="8" max="8"/>
    <col width="5.88671875" customWidth="1" min="9" max="9"/>
    <col width="9" customWidth="1" min="10" max="10"/>
    <col width="8" customWidth="1" min="11" max="11"/>
    <col width="8.77734375" customWidth="1" min="12" max="12"/>
    <col width="1.44140625" customWidth="1" min="13" max="13"/>
    <col width="7" customWidth="1" min="14" max="14"/>
    <col width="8.44140625" customWidth="1" min="15" max="15"/>
    <col width="9" customWidth="1" min="16" max="16"/>
    <col width="8.44140625" customWidth="1" min="17" max="17"/>
    <col width="7.5546875" customWidth="1" min="18" max="18"/>
    <col width="5.5546875" customWidth="1" min="19" max="19"/>
    <col width="1.33203125" customWidth="1" min="21" max="21"/>
    <col width="4.21875" customWidth="1" min="22" max="22"/>
    <col width="5.6640625" customWidth="1" min="23" max="23"/>
  </cols>
  <sheetData>
    <row r="1">
      <c r="A1" s="87" t="inlineStr">
        <is>
          <t>Rent Roll Analysis</t>
        </is>
      </c>
    </row>
    <row r="2">
      <c r="A2" s="87" t="inlineStr">
        <is>
          <t>Property: Hertel Homes</t>
        </is>
      </c>
    </row>
    <row r="3">
      <c r="A3" s="87" t="inlineStr">
        <is>
          <t>As of 08/31/26</t>
        </is>
      </c>
    </row>
    <row r="5">
      <c r="B5" s="87" t="inlineStr">
        <is>
          <t>Tenant Name</t>
        </is>
      </c>
      <c r="E5" s="87" t="inlineStr">
        <is>
          <t>Unit</t>
        </is>
      </c>
      <c r="F5" s="87" t="inlineStr">
        <is>
          <t>Unit Type</t>
        </is>
      </c>
      <c r="I5" s="87" t="inlineStr">
        <is>
          <t>Sq Ft</t>
        </is>
      </c>
      <c r="J5" s="87" t="inlineStr">
        <is>
          <t>Market 
Rent</t>
        </is>
      </c>
      <c r="K5" s="87" t="inlineStr">
        <is>
          <t>Rent</t>
        </is>
      </c>
      <c r="L5" s="87" t="inlineStr">
        <is>
          <t>Vacancy 
Loss</t>
        </is>
      </c>
      <c r="M5" s="87" t="inlineStr">
        <is>
          <t>Misc 
Charges</t>
        </is>
      </c>
      <c r="O5" s="87" t="inlineStr">
        <is>
          <t>Total 
Charges</t>
        </is>
      </c>
      <c r="P5" s="87" t="inlineStr">
        <is>
          <t>Security 
Deposit</t>
        </is>
      </c>
      <c r="Q5" s="87" t="inlineStr">
        <is>
          <t>Increase 
Amount</t>
        </is>
      </c>
      <c r="R5" s="87" t="inlineStr">
        <is>
          <t>Last Rent 
Increase</t>
        </is>
      </c>
      <c r="S5" s="87" t="inlineStr">
        <is>
          <t>Move 
In</t>
        </is>
      </c>
      <c r="T5" s="87" t="inlineStr">
        <is>
          <t>Move 
Out</t>
        </is>
      </c>
      <c r="U5" s="87" t="inlineStr">
        <is>
          <t>Lease 
End</t>
        </is>
      </c>
    </row>
    <row r="6">
      <c r="A6" s="87" t="inlineStr">
        <is>
          <t>Hertel Homes</t>
        </is>
      </c>
    </row>
    <row r="7">
      <c r="C7" s="87" t="inlineStr">
        <is>
          <t>Echevarria, Amayrani</t>
        </is>
      </c>
      <c r="E7" s="87" t="inlineStr">
        <is>
          <t>1</t>
        </is>
      </c>
      <c r="F7" s="87" t="inlineStr">
        <is>
          <t>2 Bed 1 Bath</t>
        </is>
      </c>
      <c r="I7" s="88" t="n">
        <v>1340</v>
      </c>
      <c r="J7" s="89" t="n">
        <v>1350</v>
      </c>
      <c r="K7" s="89" t="n">
        <v>1295</v>
      </c>
      <c r="L7" s="89" t="n">
        <v>0</v>
      </c>
      <c r="M7" s="89" t="n">
        <v>0</v>
      </c>
      <c r="O7" s="89" t="n">
        <v>1295</v>
      </c>
      <c r="P7" s="89" t="n">
        <v>1200</v>
      </c>
      <c r="Q7" s="89" t="n">
        <v>95</v>
      </c>
      <c r="R7" s="87" t="inlineStr">
        <is>
          <t>11/01/25</t>
        </is>
      </c>
      <c r="S7" s="90" t="n">
        <v>45219</v>
      </c>
      <c r="U7" s="90" t="n">
        <v>46691</v>
      </c>
    </row>
    <row r="8">
      <c r="C8" s="87" t="inlineStr">
        <is>
          <t>Sanders (BEL), Lasyon</t>
        </is>
      </c>
      <c r="E8" s="87" t="inlineStr">
        <is>
          <t>2</t>
        </is>
      </c>
      <c r="F8" s="87" t="inlineStr">
        <is>
          <t>2 Bed 1 Bath</t>
        </is>
      </c>
      <c r="I8" s="88" t="n">
        <v>1340</v>
      </c>
      <c r="J8" s="89" t="n">
        <v>1350</v>
      </c>
      <c r="K8" s="89" t="n">
        <v>1150</v>
      </c>
      <c r="L8" s="89" t="n">
        <v>0</v>
      </c>
      <c r="M8" s="89" t="n">
        <v>35</v>
      </c>
      <c r="O8" s="89" t="n">
        <v>1185</v>
      </c>
      <c r="P8" s="89" t="n">
        <v>400</v>
      </c>
      <c r="Q8" s="89" t="n">
        <v>150</v>
      </c>
      <c r="R8" s="87" t="inlineStr">
        <is>
          <t>09/01/25</t>
        </is>
      </c>
      <c r="S8" s="90" t="n">
        <v>38443</v>
      </c>
      <c r="U8" s="90" t="n">
        <v>46265</v>
      </c>
    </row>
    <row r="9">
      <c r="C9" s="87" t="inlineStr">
        <is>
          <t>Terry, Daniele</t>
        </is>
      </c>
      <c r="E9" s="87" t="inlineStr">
        <is>
          <t>3</t>
        </is>
      </c>
      <c r="F9" s="87" t="inlineStr">
        <is>
          <t>2 Bed 1 Bath</t>
        </is>
      </c>
      <c r="I9" s="88" t="n">
        <v>1334</v>
      </c>
      <c r="J9" s="89" t="n">
        <v>1350</v>
      </c>
      <c r="K9" s="89" t="n">
        <v>1350</v>
      </c>
      <c r="L9" s="89" t="n">
        <v>0</v>
      </c>
      <c r="M9" s="89" t="n">
        <v>0</v>
      </c>
      <c r="O9" s="89" t="n">
        <v>1350</v>
      </c>
      <c r="P9" s="89" t="n">
        <v>1350</v>
      </c>
      <c r="Q9" s="89" t="n">
        <v>1350</v>
      </c>
      <c r="R9" s="87" t="inlineStr">
        <is>
          <t>11/12/25</t>
        </is>
      </c>
      <c r="S9" s="90" t="n">
        <v>45971</v>
      </c>
      <c r="U9" s="90" t="n">
        <v>46721</v>
      </c>
    </row>
    <row r="10">
      <c r="C10" s="87" t="inlineStr">
        <is>
          <t>Medina, Dylan</t>
        </is>
      </c>
      <c r="E10" s="87" t="inlineStr">
        <is>
          <t>4</t>
        </is>
      </c>
      <c r="F10" s="87" t="inlineStr">
        <is>
          <t>2 Bed 1 Bath</t>
        </is>
      </c>
      <c r="I10" s="88" t="n">
        <v>1334</v>
      </c>
      <c r="J10" s="89" t="n">
        <v>1350</v>
      </c>
      <c r="K10" s="89" t="n">
        <v>1500</v>
      </c>
      <c r="L10" s="89" t="n">
        <v>0</v>
      </c>
      <c r="M10" s="89" t="n">
        <v>0</v>
      </c>
      <c r="O10" s="89" t="n">
        <v>1500</v>
      </c>
      <c r="P10" s="89" t="n">
        <v>1300</v>
      </c>
      <c r="Q10" s="89" t="n">
        <v>50</v>
      </c>
      <c r="R10" s="87" t="inlineStr">
        <is>
          <t>06/01/25</t>
        </is>
      </c>
      <c r="S10" s="90" t="n">
        <v>44713</v>
      </c>
      <c r="U10" s="90" t="n">
        <v>46538</v>
      </c>
    </row>
    <row r="11">
      <c r="C11" s="87" t="inlineStr">
        <is>
          <t>Duffy, Denise</t>
        </is>
      </c>
      <c r="E11" s="87" t="inlineStr">
        <is>
          <t>5</t>
        </is>
      </c>
      <c r="F11" s="87" t="inlineStr">
        <is>
          <t>2 Bed 1 Bath</t>
        </is>
      </c>
      <c r="I11" s="88" t="n">
        <v>1334</v>
      </c>
      <c r="J11" s="89" t="n">
        <v>1350</v>
      </c>
      <c r="K11" s="89" t="n">
        <v>1375</v>
      </c>
      <c r="L11" s="89" t="n">
        <v>0</v>
      </c>
      <c r="M11" s="89" t="n">
        <v>0</v>
      </c>
      <c r="O11" s="89" t="n">
        <v>1375</v>
      </c>
      <c r="P11" s="89" t="n">
        <v>1295</v>
      </c>
      <c r="Q11" s="89" t="n">
        <v>50</v>
      </c>
      <c r="R11" s="87" t="inlineStr">
        <is>
          <t>04/01/25</t>
        </is>
      </c>
      <c r="S11" s="90" t="n">
        <v>45017</v>
      </c>
      <c r="U11" s="90" t="n">
        <v>46477</v>
      </c>
    </row>
    <row r="12">
      <c r="C12" s="87" t="inlineStr">
        <is>
          <t>Bellamy, Sade</t>
        </is>
      </c>
      <c r="E12" s="87" t="inlineStr">
        <is>
          <t>6</t>
        </is>
      </c>
      <c r="F12" s="87" t="inlineStr">
        <is>
          <t>2 Bed 1 Bath</t>
        </is>
      </c>
      <c r="I12" s="88" t="n">
        <v>1334</v>
      </c>
      <c r="J12" s="89" t="n">
        <v>1350</v>
      </c>
      <c r="K12" s="89" t="n">
        <v>1100</v>
      </c>
      <c r="L12" s="89" t="n">
        <v>0</v>
      </c>
      <c r="M12" s="89" t="n">
        <v>0</v>
      </c>
      <c r="O12" s="89" t="n">
        <v>1100</v>
      </c>
      <c r="P12" s="89" t="n">
        <v>575</v>
      </c>
      <c r="Q12" s="89" t="n">
        <v>100</v>
      </c>
      <c r="R12" s="87" t="inlineStr">
        <is>
          <t>06/01/25</t>
        </is>
      </c>
      <c r="S12" s="90" t="n">
        <v>43500</v>
      </c>
      <c r="U12" s="90" t="n">
        <v>46173</v>
      </c>
    </row>
    <row r="13">
      <c r="C13" s="87" t="inlineStr">
        <is>
          <t>Durham, Dawna</t>
        </is>
      </c>
      <c r="E13" s="87" t="inlineStr">
        <is>
          <t>7</t>
        </is>
      </c>
      <c r="F13" s="87" t="inlineStr">
        <is>
          <t>2 Bed 1 Bath</t>
        </is>
      </c>
      <c r="I13" s="88" t="n">
        <v>1334</v>
      </c>
      <c r="J13" s="89" t="n">
        <v>1350</v>
      </c>
      <c r="K13" s="89" t="n">
        <v>1300</v>
      </c>
      <c r="L13" s="89" t="n">
        <v>0</v>
      </c>
      <c r="M13" s="89" t="n">
        <v>0</v>
      </c>
      <c r="O13" s="89" t="n">
        <v>1300</v>
      </c>
      <c r="P13" s="89" t="n">
        <v>1300</v>
      </c>
      <c r="Q13" s="89" t="n">
        <v>1300</v>
      </c>
      <c r="R13" s="87" t="inlineStr">
        <is>
          <t>03/26/25</t>
        </is>
      </c>
      <c r="S13" s="90" t="n">
        <v>45748</v>
      </c>
      <c r="U13" s="90" t="n">
        <v>46507</v>
      </c>
    </row>
    <row r="14">
      <c r="C14" s="87" t="inlineStr">
        <is>
          <t>Chaney, Tamea</t>
        </is>
      </c>
      <c r="E14" s="87" t="inlineStr">
        <is>
          <t>8</t>
        </is>
      </c>
      <c r="F14" s="87" t="inlineStr">
        <is>
          <t>2 Bed 1 Bath</t>
        </is>
      </c>
      <c r="I14" s="88" t="n">
        <v>1334</v>
      </c>
      <c r="J14" s="89" t="n">
        <v>1350</v>
      </c>
      <c r="K14" s="89" t="n">
        <v>1300</v>
      </c>
      <c r="L14" s="89" t="n">
        <v>0</v>
      </c>
      <c r="M14" s="89" t="n">
        <v>0</v>
      </c>
      <c r="O14" s="89" t="n">
        <v>1300</v>
      </c>
      <c r="P14" s="89" t="n">
        <v>1300</v>
      </c>
      <c r="Q14" s="89" t="n">
        <v>1300</v>
      </c>
      <c r="R14" s="87" t="inlineStr">
        <is>
          <t>05/01/26</t>
        </is>
      </c>
      <c r="S14" s="90" t="n">
        <v>46174</v>
      </c>
      <c r="U14" s="90" t="n">
        <v>46538</v>
      </c>
    </row>
    <row r="15">
      <c r="C15" s="87" t="inlineStr">
        <is>
          <t>Lewis, Trendel</t>
        </is>
      </c>
      <c r="E15" s="87" t="inlineStr">
        <is>
          <t>9</t>
        </is>
      </c>
      <c r="F15" s="87" t="inlineStr">
        <is>
          <t>2 Bed 1 Bath</t>
        </is>
      </c>
      <c r="I15" s="88" t="n">
        <v>1334</v>
      </c>
      <c r="J15" s="89" t="n">
        <v>1350</v>
      </c>
      <c r="K15" s="89" t="n">
        <v>1225</v>
      </c>
      <c r="L15" s="89" t="n">
        <v>0</v>
      </c>
      <c r="M15" s="89" t="n">
        <v>200</v>
      </c>
      <c r="O15" s="89" t="n">
        <v>1425</v>
      </c>
      <c r="P15" s="89" t="n">
        <v>595</v>
      </c>
      <c r="Q15" s="89" t="n">
        <v>225</v>
      </c>
      <c r="R15" s="87" t="inlineStr">
        <is>
          <t>10/01/25</t>
        </is>
      </c>
      <c r="S15" s="90" t="n">
        <v>41183</v>
      </c>
      <c r="U15" s="90" t="n">
        <v>46660</v>
      </c>
    </row>
    <row r="16">
      <c r="C16" s="87" t="inlineStr">
        <is>
          <t>Kuzub (RACB), Marlene</t>
        </is>
      </c>
      <c r="E16" s="87" t="inlineStr">
        <is>
          <t>10</t>
        </is>
      </c>
      <c r="F16" s="87" t="inlineStr">
        <is>
          <t>2 Bed 1 Bath</t>
        </is>
      </c>
      <c r="I16" s="88" t="n">
        <v>1334</v>
      </c>
      <c r="J16" s="89" t="n">
        <v>1350</v>
      </c>
      <c r="K16" s="89" t="n">
        <v>1225</v>
      </c>
      <c r="L16" s="89" t="n">
        <v>0</v>
      </c>
      <c r="M16" s="89" t="n">
        <v>0</v>
      </c>
      <c r="O16" s="89" t="n">
        <v>1225</v>
      </c>
      <c r="P16" s="89" t="n">
        <v>595</v>
      </c>
      <c r="Q16" s="89" t="n">
        <v>100</v>
      </c>
      <c r="R16" s="87" t="inlineStr">
        <is>
          <t>05/01/25</t>
        </is>
      </c>
      <c r="S16" s="90" t="n">
        <v>40664</v>
      </c>
      <c r="U16" s="90" t="n">
        <v>46142</v>
      </c>
    </row>
    <row r="17">
      <c r="C17" s="87" t="inlineStr">
        <is>
          <t>Gamblin (BFNC), Kizzy</t>
        </is>
      </c>
      <c r="E17" s="87" t="inlineStr">
        <is>
          <t>11</t>
        </is>
      </c>
      <c r="F17" s="87" t="inlineStr">
        <is>
          <t>2 Bed 1 Bath</t>
        </is>
      </c>
      <c r="I17" s="88" t="n">
        <v>1334</v>
      </c>
      <c r="J17" s="89" t="n">
        <v>1350</v>
      </c>
      <c r="K17" s="89" t="n">
        <v>1000</v>
      </c>
      <c r="L17" s="89" t="n">
        <v>0</v>
      </c>
      <c r="M17" s="89" t="n">
        <v>25</v>
      </c>
      <c r="O17" s="89" t="n">
        <v>1025</v>
      </c>
      <c r="P17" s="89" t="n">
        <v>575</v>
      </c>
      <c r="Q17" s="89" t="n">
        <v>0</v>
      </c>
      <c r="S17" s="90" t="n">
        <v>42156</v>
      </c>
      <c r="U17" s="90" t="n">
        <v>46507</v>
      </c>
    </row>
    <row r="18">
      <c r="C18" s="87" t="inlineStr">
        <is>
          <t>Caseres, Yadrieliz</t>
        </is>
      </c>
      <c r="E18" s="87" t="inlineStr">
        <is>
          <t>12</t>
        </is>
      </c>
      <c r="F18" s="87" t="inlineStr">
        <is>
          <t>2 Bed 1 Bath</t>
        </is>
      </c>
      <c r="I18" s="88" t="n">
        <v>1334</v>
      </c>
      <c r="J18" s="89" t="n">
        <v>1350</v>
      </c>
      <c r="K18" s="89" t="n">
        <v>1450</v>
      </c>
      <c r="L18" s="89" t="n">
        <v>0</v>
      </c>
      <c r="M18" s="89" t="n">
        <v>0</v>
      </c>
      <c r="O18" s="89" t="n">
        <v>1450</v>
      </c>
      <c r="P18" s="89" t="n">
        <v>1395</v>
      </c>
      <c r="Q18" s="89" t="n">
        <v>25</v>
      </c>
      <c r="R18" s="87" t="inlineStr">
        <is>
          <t>02/01/25</t>
        </is>
      </c>
      <c r="S18" s="90" t="n">
        <v>44896</v>
      </c>
      <c r="U18" s="90" t="n">
        <v>46418</v>
      </c>
    </row>
    <row r="19">
      <c r="C19" s="87" t="inlineStr">
        <is>
          <t>Payne (BFNC), Ulysses</t>
        </is>
      </c>
      <c r="E19" s="87" t="inlineStr">
        <is>
          <t>13</t>
        </is>
      </c>
      <c r="F19" s="87" t="inlineStr">
        <is>
          <t>2 Bed 1 Bath</t>
        </is>
      </c>
      <c r="I19" s="88" t="n">
        <v>1334</v>
      </c>
      <c r="J19" s="89" t="n">
        <v>1350</v>
      </c>
      <c r="K19" s="89" t="n">
        <v>1350</v>
      </c>
      <c r="L19" s="89" t="n">
        <v>0</v>
      </c>
      <c r="M19" s="89" t="n">
        <v>0</v>
      </c>
      <c r="O19" s="89" t="n">
        <v>1350</v>
      </c>
      <c r="P19" s="89" t="n">
        <v>0</v>
      </c>
      <c r="Q19" s="89" t="n">
        <v>1350</v>
      </c>
      <c r="R19" s="87" t="inlineStr">
        <is>
          <t>10/06/25</t>
        </is>
      </c>
      <c r="S19" s="90" t="n">
        <v>45945</v>
      </c>
      <c r="U19" s="90" t="n">
        <v>46326</v>
      </c>
    </row>
    <row r="20">
      <c r="C20" s="87" t="inlineStr">
        <is>
          <t>Davis, Ebony</t>
        </is>
      </c>
      <c r="E20" s="87" t="inlineStr">
        <is>
          <t>14</t>
        </is>
      </c>
      <c r="F20" s="87" t="inlineStr">
        <is>
          <t>2 Bed 1 Bath</t>
        </is>
      </c>
      <c r="I20" s="88" t="n">
        <v>1334</v>
      </c>
      <c r="J20" s="89" t="n">
        <v>1350</v>
      </c>
      <c r="K20" s="89" t="n">
        <v>1325</v>
      </c>
      <c r="L20" s="89" t="n">
        <v>0</v>
      </c>
      <c r="M20" s="89" t="n">
        <v>0</v>
      </c>
      <c r="O20" s="89" t="n">
        <v>1325</v>
      </c>
      <c r="P20" s="89" t="n">
        <v>1325</v>
      </c>
      <c r="Q20" s="89" t="n">
        <v>1325</v>
      </c>
      <c r="R20" s="87" t="inlineStr">
        <is>
          <t>01/28/26</t>
        </is>
      </c>
      <c r="S20" s="90" t="n">
        <v>46053</v>
      </c>
      <c r="U20" s="90" t="n">
        <v>46446</v>
      </c>
    </row>
    <row r="21">
      <c r="C21" s="87" t="inlineStr">
        <is>
          <t>Barner, Ne'Quan</t>
        </is>
      </c>
      <c r="E21" s="87" t="inlineStr">
        <is>
          <t>15</t>
        </is>
      </c>
      <c r="F21" s="87" t="inlineStr">
        <is>
          <t>2 Bed 1 Bath</t>
        </is>
      </c>
      <c r="I21" s="88" t="n">
        <v>1334</v>
      </c>
      <c r="J21" s="89" t="n">
        <v>1350</v>
      </c>
      <c r="K21" s="89" t="n">
        <v>1325</v>
      </c>
      <c r="L21" s="89" t="n">
        <v>0</v>
      </c>
      <c r="M21" s="89" t="n">
        <v>0</v>
      </c>
      <c r="O21" s="89" t="n">
        <v>1325</v>
      </c>
      <c r="P21" s="89" t="n">
        <v>1325</v>
      </c>
      <c r="Q21" s="89" t="n">
        <v>1325</v>
      </c>
      <c r="R21" s="87" t="inlineStr">
        <is>
          <t>12/31/25</t>
        </is>
      </c>
      <c r="S21" s="90" t="n">
        <v>46023</v>
      </c>
      <c r="U21" s="90" t="n">
        <v>46418</v>
      </c>
    </row>
    <row r="22">
      <c r="C22" s="87" t="inlineStr">
        <is>
          <t>Showard, Brianna</t>
        </is>
      </c>
      <c r="E22" s="87" t="inlineStr">
        <is>
          <t>16</t>
        </is>
      </c>
      <c r="F22" s="87" t="inlineStr">
        <is>
          <t>2 Bed 1 Bath</t>
        </is>
      </c>
      <c r="I22" s="88" t="n">
        <v>1334</v>
      </c>
      <c r="J22" s="89" t="n">
        <v>1350</v>
      </c>
      <c r="K22" s="89" t="n">
        <v>1325</v>
      </c>
      <c r="L22" s="89" t="n">
        <v>0</v>
      </c>
      <c r="M22" s="89" t="n">
        <v>0</v>
      </c>
      <c r="O22" s="89" t="n">
        <v>1325</v>
      </c>
      <c r="P22" s="89" t="n">
        <v>0</v>
      </c>
      <c r="Q22" s="89" t="n">
        <v>1325</v>
      </c>
      <c r="R22" s="87" t="inlineStr">
        <is>
          <t>02/06/26</t>
        </is>
      </c>
      <c r="S22" s="90" t="n">
        <v>46037</v>
      </c>
      <c r="U22" s="90" t="n">
        <v>46418</v>
      </c>
    </row>
    <row r="23">
      <c r="C23" s="87" t="inlineStr">
        <is>
          <t>&lt;VACANT&gt;</t>
        </is>
      </c>
      <c r="E23" s="87" t="inlineStr">
        <is>
          <t>17</t>
        </is>
      </c>
      <c r="F23" s="87" t="inlineStr">
        <is>
          <t>2 Bed 1 Bath</t>
        </is>
      </c>
      <c r="I23" s="88" t="n">
        <v>1334</v>
      </c>
      <c r="J23" s="89" t="n">
        <v>1350</v>
      </c>
      <c r="K23" s="89" t="n">
        <v>1350</v>
      </c>
      <c r="L23" s="89" t="n">
        <v>1350</v>
      </c>
      <c r="M23" s="89" t="n">
        <v>0</v>
      </c>
      <c r="O23" s="89" t="n">
        <v>0</v>
      </c>
      <c r="P23" s="89" t="n">
        <v>0</v>
      </c>
      <c r="Q23" s="89" t="n">
        <v>0</v>
      </c>
    </row>
    <row r="24">
      <c r="C24" s="87" t="inlineStr">
        <is>
          <t>Cash, Najah</t>
        </is>
      </c>
      <c r="E24" s="87" t="inlineStr">
        <is>
          <t>18</t>
        </is>
      </c>
      <c r="F24" s="87" t="inlineStr">
        <is>
          <t>2 Bed 1 Bath</t>
        </is>
      </c>
      <c r="I24" s="88" t="n">
        <v>1334</v>
      </c>
      <c r="J24" s="89" t="n">
        <v>1350</v>
      </c>
      <c r="K24" s="89" t="n">
        <v>1350</v>
      </c>
      <c r="L24" s="89" t="n">
        <v>0</v>
      </c>
      <c r="M24" s="89" t="n">
        <v>0</v>
      </c>
      <c r="O24" s="89" t="n">
        <v>1350</v>
      </c>
      <c r="P24" s="89" t="n">
        <v>1350</v>
      </c>
      <c r="Q24" s="89" t="n">
        <v>1350</v>
      </c>
      <c r="R24" s="87" t="inlineStr">
        <is>
          <t>09/25/25</t>
        </is>
      </c>
      <c r="S24" s="90" t="n">
        <v>45931</v>
      </c>
      <c r="U24" s="90" t="n">
        <v>46295</v>
      </c>
    </row>
    <row r="25">
      <c r="C25" s="87" t="inlineStr">
        <is>
          <t>Correa (BEL), Carlin</t>
        </is>
      </c>
      <c r="E25" s="87" t="inlineStr">
        <is>
          <t>19</t>
        </is>
      </c>
      <c r="F25" s="87" t="inlineStr">
        <is>
          <t>3 Bed 1.5 Bath</t>
        </is>
      </c>
      <c r="I25" s="88" t="n">
        <v>1334</v>
      </c>
      <c r="J25" s="89" t="n">
        <v>1495</v>
      </c>
      <c r="K25" s="89" t="n">
        <v>1150</v>
      </c>
      <c r="L25" s="89" t="n">
        <v>0</v>
      </c>
      <c r="M25" s="89" t="n">
        <v>0</v>
      </c>
      <c r="O25" s="89" t="n">
        <v>1150</v>
      </c>
      <c r="P25" s="89" t="n">
        <v>1050</v>
      </c>
      <c r="Q25" s="89" t="n">
        <v>-1150</v>
      </c>
      <c r="R25" s="87" t="inlineStr">
        <is>
          <t>07/03/25</t>
        </is>
      </c>
      <c r="S25" s="90" t="n">
        <v>43888</v>
      </c>
      <c r="U25" s="90" t="n">
        <v>46568</v>
      </c>
    </row>
    <row r="26">
      <c r="C26" s="87" t="inlineStr">
        <is>
          <t>Crawford, Lori</t>
        </is>
      </c>
      <c r="E26" s="87" t="inlineStr">
        <is>
          <t>20</t>
        </is>
      </c>
      <c r="F26" s="87" t="inlineStr">
        <is>
          <t>3 Bed 1.5 Bath</t>
        </is>
      </c>
      <c r="I26" s="88" t="n">
        <v>1521</v>
      </c>
      <c r="J26" s="89" t="n">
        <v>1495</v>
      </c>
      <c r="K26" s="89" t="n">
        <v>1450</v>
      </c>
      <c r="L26" s="89" t="n">
        <v>0</v>
      </c>
      <c r="M26" s="89" t="n">
        <v>105</v>
      </c>
      <c r="O26" s="89" t="n">
        <v>1555</v>
      </c>
      <c r="P26" s="89" t="n">
        <v>1450</v>
      </c>
      <c r="Q26" s="89" t="n">
        <v>1450</v>
      </c>
      <c r="R26" s="87" t="inlineStr">
        <is>
          <t>09/23/24</t>
        </is>
      </c>
      <c r="S26" s="90" t="n">
        <v>45565</v>
      </c>
      <c r="U26" s="90" t="n">
        <v>46295</v>
      </c>
    </row>
    <row r="27">
      <c r="C27" s="87" t="inlineStr">
        <is>
          <t>Coffey, Duane</t>
        </is>
      </c>
      <c r="E27" s="87" t="inlineStr">
        <is>
          <t>21</t>
        </is>
      </c>
      <c r="F27" s="87" t="inlineStr">
        <is>
          <t>2 Bed 1 Bath</t>
        </is>
      </c>
      <c r="I27" s="88" t="n">
        <v>1334</v>
      </c>
      <c r="J27" s="89" t="n">
        <v>1325</v>
      </c>
      <c r="K27" s="89" t="n">
        <v>800</v>
      </c>
      <c r="L27" s="89" t="n">
        <v>0</v>
      </c>
      <c r="M27" s="89" t="n">
        <v>0</v>
      </c>
      <c r="O27" s="89" t="n">
        <v>800</v>
      </c>
      <c r="P27" s="89" t="n">
        <v>575</v>
      </c>
      <c r="Q27" s="89" t="n">
        <v>200</v>
      </c>
      <c r="R27" s="87" t="inlineStr">
        <is>
          <t>11/01/25</t>
        </is>
      </c>
      <c r="S27" s="90" t="n">
        <v>40299</v>
      </c>
      <c r="U27" s="90" t="n">
        <v>46326</v>
      </c>
    </row>
    <row r="28">
      <c r="C28" s="87" t="inlineStr">
        <is>
          <t>Miller, Richelle</t>
        </is>
      </c>
      <c r="E28" s="87" t="inlineStr">
        <is>
          <t>22</t>
        </is>
      </c>
      <c r="F28" s="87" t="inlineStr">
        <is>
          <t>1 Bed 1 Bath</t>
        </is>
      </c>
      <c r="I28" s="88" t="n">
        <v>1149</v>
      </c>
      <c r="J28" s="89" t="n">
        <v>1195</v>
      </c>
      <c r="K28" s="89" t="n">
        <v>1195</v>
      </c>
      <c r="L28" s="89" t="n">
        <v>0</v>
      </c>
      <c r="M28" s="89" t="n">
        <v>0</v>
      </c>
      <c r="O28" s="89" t="n">
        <v>1195</v>
      </c>
      <c r="P28" s="89" t="n">
        <v>1195</v>
      </c>
      <c r="Q28" s="89" t="n">
        <v>1195</v>
      </c>
      <c r="R28" s="87" t="inlineStr">
        <is>
          <t>03/09/26</t>
        </is>
      </c>
      <c r="S28" s="90" t="n">
        <v>46106</v>
      </c>
      <c r="U28" s="90" t="n">
        <v>46477</v>
      </c>
    </row>
    <row r="29">
      <c r="C29" s="87" t="inlineStr">
        <is>
          <t>McDuffie, Adaysha</t>
        </is>
      </c>
      <c r="E29" s="87" t="inlineStr">
        <is>
          <t>23</t>
        </is>
      </c>
      <c r="F29" s="87" t="inlineStr">
        <is>
          <t>3 Bed/ 1Bath</t>
        </is>
      </c>
      <c r="I29" s="88" t="n">
        <v>1521</v>
      </c>
      <c r="J29" s="89" t="n">
        <v>1495</v>
      </c>
      <c r="K29" s="89" t="n">
        <v>1600</v>
      </c>
      <c r="L29" s="89" t="n">
        <v>0</v>
      </c>
      <c r="M29" s="89" t="n">
        <v>0</v>
      </c>
      <c r="O29" s="89" t="n">
        <v>1600</v>
      </c>
      <c r="P29" s="89" t="n">
        <v>1495</v>
      </c>
      <c r="Q29" s="89" t="n">
        <v>50</v>
      </c>
      <c r="R29" s="87" t="inlineStr">
        <is>
          <t>06/01/25</t>
        </is>
      </c>
      <c r="S29" s="90" t="n">
        <v>45078</v>
      </c>
      <c r="U29" s="90" t="n">
        <v>46173</v>
      </c>
    </row>
    <row r="30">
      <c r="C30" s="87" t="inlineStr">
        <is>
          <t>Dandridge, Maria</t>
        </is>
      </c>
      <c r="E30" s="87" t="inlineStr">
        <is>
          <t>24</t>
        </is>
      </c>
      <c r="F30" s="87" t="inlineStr">
        <is>
          <t>2 Bed 1 Bath</t>
        </is>
      </c>
      <c r="I30" s="88" t="n">
        <v>1334</v>
      </c>
      <c r="J30" s="89" t="n">
        <v>1325</v>
      </c>
      <c r="K30" s="89" t="n">
        <v>1325</v>
      </c>
      <c r="L30" s="89" t="n">
        <v>0</v>
      </c>
      <c r="M30" s="89" t="n">
        <v>0</v>
      </c>
      <c r="O30" s="89" t="n">
        <v>1325</v>
      </c>
      <c r="P30" s="89" t="n">
        <v>1325</v>
      </c>
      <c r="Q30" s="89" t="n">
        <v>1325</v>
      </c>
      <c r="R30" s="87" t="inlineStr">
        <is>
          <t>01/21/26</t>
        </is>
      </c>
      <c r="S30" s="90" t="n">
        <v>46045</v>
      </c>
      <c r="U30" s="90" t="n">
        <v>46418</v>
      </c>
    </row>
    <row r="31">
      <c r="C31" s="87" t="inlineStr">
        <is>
          <t>Hudson, Tanya</t>
        </is>
      </c>
      <c r="E31" s="87" t="inlineStr">
        <is>
          <t>25</t>
        </is>
      </c>
      <c r="F31" s="87" t="inlineStr">
        <is>
          <t>2 Bed 1 Bath</t>
        </is>
      </c>
      <c r="I31" s="88" t="n">
        <v>1334</v>
      </c>
      <c r="J31" s="89" t="n">
        <v>1325</v>
      </c>
      <c r="K31" s="89" t="n">
        <v>1300</v>
      </c>
      <c r="L31" s="89" t="n">
        <v>0</v>
      </c>
      <c r="M31" s="89" t="n">
        <v>0</v>
      </c>
      <c r="O31" s="89" t="n">
        <v>1300</v>
      </c>
      <c r="P31" s="89" t="n">
        <v>1300</v>
      </c>
      <c r="Q31" s="89" t="n">
        <v>1300</v>
      </c>
      <c r="R31" s="87" t="inlineStr">
        <is>
          <t>05/08/26</t>
        </is>
      </c>
      <c r="S31" s="90" t="n">
        <v>46174</v>
      </c>
      <c r="U31" s="90" t="n">
        <v>46538</v>
      </c>
    </row>
    <row r="32">
      <c r="C32" s="87" t="inlineStr">
        <is>
          <t>Cramer, Mary</t>
        </is>
      </c>
      <c r="E32" s="87" t="inlineStr">
        <is>
          <t>26</t>
        </is>
      </c>
      <c r="F32" s="87" t="inlineStr">
        <is>
          <t>3 Bed/1Bath FP</t>
        </is>
      </c>
      <c r="I32" s="88" t="n">
        <v>1521</v>
      </c>
      <c r="J32" s="89" t="n">
        <v>1325</v>
      </c>
      <c r="K32" s="89" t="n">
        <v>1400</v>
      </c>
      <c r="L32" s="89" t="n">
        <v>0</v>
      </c>
      <c r="M32" s="89" t="n">
        <v>0</v>
      </c>
      <c r="O32" s="89" t="n">
        <v>1400</v>
      </c>
      <c r="P32" s="89" t="n">
        <v>1400</v>
      </c>
      <c r="Q32" s="89" t="n">
        <v>1400</v>
      </c>
      <c r="R32" s="87" t="inlineStr">
        <is>
          <t>02/19/26</t>
        </is>
      </c>
      <c r="S32" s="90" t="n">
        <v>46096</v>
      </c>
      <c r="U32" s="90" t="n">
        <v>46477</v>
      </c>
    </row>
    <row r="33">
      <c r="C33" s="87" t="inlineStr">
        <is>
          <t>Dittrich, Ashley</t>
        </is>
      </c>
      <c r="E33" s="87" t="inlineStr">
        <is>
          <t>27</t>
        </is>
      </c>
      <c r="F33" s="87" t="inlineStr">
        <is>
          <t>1 Bed 1 Bath</t>
        </is>
      </c>
      <c r="I33" s="88" t="n">
        <v>1149</v>
      </c>
      <c r="J33" s="89" t="n">
        <v>1195</v>
      </c>
      <c r="K33" s="89" t="n">
        <v>1195</v>
      </c>
      <c r="L33" s="89" t="n">
        <v>0</v>
      </c>
      <c r="M33" s="89" t="n">
        <v>0</v>
      </c>
      <c r="O33" s="89" t="n">
        <v>1195</v>
      </c>
      <c r="P33" s="89" t="n">
        <v>1050</v>
      </c>
      <c r="Q33" s="89" t="n">
        <v>70</v>
      </c>
      <c r="R33" s="87" t="inlineStr">
        <is>
          <t>12/01/25</t>
        </is>
      </c>
      <c r="S33" s="90" t="n">
        <v>45258</v>
      </c>
      <c r="U33" s="90" t="n">
        <v>46356</v>
      </c>
    </row>
    <row r="34">
      <c r="C34" s="87" t="inlineStr">
        <is>
          <t>Pena, Deja</t>
        </is>
      </c>
      <c r="E34" s="87" t="inlineStr">
        <is>
          <t>28</t>
        </is>
      </c>
      <c r="F34" s="87" t="inlineStr">
        <is>
          <t>2 Bed 1 Bath</t>
        </is>
      </c>
      <c r="I34" s="88" t="n">
        <v>1334</v>
      </c>
      <c r="J34" s="89" t="n">
        <v>1325</v>
      </c>
      <c r="K34" s="89" t="n">
        <v>1150</v>
      </c>
      <c r="L34" s="89" t="n">
        <v>0</v>
      </c>
      <c r="M34" s="89" t="n">
        <v>0</v>
      </c>
      <c r="O34" s="89" t="n">
        <v>1150</v>
      </c>
      <c r="P34" s="89" t="n">
        <v>900</v>
      </c>
      <c r="Q34" s="89" t="n">
        <v>100</v>
      </c>
      <c r="R34" s="87" t="inlineStr">
        <is>
          <t>06/01/25</t>
        </is>
      </c>
      <c r="S34" s="90" t="n">
        <v>43763</v>
      </c>
      <c r="U34" s="90" t="n">
        <v>46173</v>
      </c>
    </row>
    <row r="35">
      <c r="C35" s="87" t="inlineStr">
        <is>
          <t>Berry (BEL), Delores</t>
        </is>
      </c>
      <c r="E35" s="87" t="inlineStr">
        <is>
          <t>29</t>
        </is>
      </c>
      <c r="F35" s="87" t="inlineStr">
        <is>
          <t>2 Bed 1 Bath</t>
        </is>
      </c>
      <c r="I35" s="88" t="n">
        <v>1334</v>
      </c>
      <c r="J35" s="89" t="n">
        <v>1325</v>
      </c>
      <c r="K35" s="89" t="n">
        <v>1175</v>
      </c>
      <c r="L35" s="89" t="n">
        <v>0</v>
      </c>
      <c r="M35" s="89" t="n">
        <v>200</v>
      </c>
      <c r="O35" s="89" t="n">
        <v>1375</v>
      </c>
      <c r="P35" s="89" t="n">
        <v>575</v>
      </c>
      <c r="Q35" s="89" t="n">
        <v>150</v>
      </c>
      <c r="R35" s="87" t="inlineStr">
        <is>
          <t>08/01/25</t>
        </is>
      </c>
      <c r="S35" s="90" t="n">
        <v>43419</v>
      </c>
      <c r="U35" s="90" t="n">
        <v>46599</v>
      </c>
    </row>
    <row r="36">
      <c r="C36" s="87" t="inlineStr">
        <is>
          <t>&lt;VACANT&gt;</t>
        </is>
      </c>
      <c r="E36" s="87" t="inlineStr">
        <is>
          <t>30</t>
        </is>
      </c>
      <c r="F36" s="87" t="inlineStr">
        <is>
          <t>2 Bed 1 Bath</t>
        </is>
      </c>
      <c r="I36" s="88" t="n">
        <v>1334</v>
      </c>
      <c r="J36" s="89" t="n">
        <v>1325</v>
      </c>
      <c r="K36" s="89" t="n">
        <v>1325</v>
      </c>
      <c r="L36" s="89" t="n">
        <v>1325</v>
      </c>
      <c r="M36" s="89" t="n">
        <v>0</v>
      </c>
      <c r="O36" s="89" t="n">
        <v>0</v>
      </c>
      <c r="P36" s="89" t="n">
        <v>0</v>
      </c>
      <c r="Q36" s="89" t="n">
        <v>0</v>
      </c>
    </row>
    <row r="37">
      <c r="C37" s="87" t="inlineStr">
        <is>
          <t>Nemi-Mack (BFNC), Jaiana</t>
        </is>
      </c>
      <c r="E37" s="87" t="inlineStr">
        <is>
          <t>31</t>
        </is>
      </c>
      <c r="F37" s="87" t="inlineStr">
        <is>
          <t>2 Bed 1 Bath</t>
        </is>
      </c>
      <c r="I37" s="88" t="n">
        <v>1334</v>
      </c>
      <c r="J37" s="89" t="n">
        <v>1325</v>
      </c>
      <c r="K37" s="89" t="n">
        <v>1325</v>
      </c>
      <c r="L37" s="89" t="n">
        <v>0</v>
      </c>
      <c r="M37" s="89" t="n">
        <v>0</v>
      </c>
      <c r="O37" s="89" t="n">
        <v>1325</v>
      </c>
      <c r="P37" s="89" t="n">
        <v>0</v>
      </c>
      <c r="Q37" s="89" t="n">
        <v>1325</v>
      </c>
      <c r="R37" s="87" t="inlineStr">
        <is>
          <t>10/06/25</t>
        </is>
      </c>
      <c r="S37" s="90" t="n">
        <v>45945</v>
      </c>
      <c r="U37" s="90" t="n">
        <v>46326</v>
      </c>
    </row>
    <row r="38">
      <c r="C38" s="87" t="inlineStr">
        <is>
          <t>Parker-Hall, Alma</t>
        </is>
      </c>
      <c r="E38" s="87" t="inlineStr">
        <is>
          <t>32</t>
        </is>
      </c>
      <c r="F38" s="87" t="inlineStr">
        <is>
          <t>2 Bed 1 Bath</t>
        </is>
      </c>
      <c r="I38" s="88" t="n">
        <v>1334</v>
      </c>
      <c r="J38" s="89" t="n">
        <v>1325</v>
      </c>
      <c r="K38" s="89" t="n">
        <v>1000</v>
      </c>
      <c r="L38" s="89" t="n">
        <v>0</v>
      </c>
      <c r="M38" s="89" t="n">
        <v>0</v>
      </c>
      <c r="O38" s="89" t="n">
        <v>1000</v>
      </c>
      <c r="P38" s="89" t="n">
        <v>0</v>
      </c>
      <c r="Q38" s="89" t="n">
        <v>100</v>
      </c>
      <c r="R38" s="87" t="inlineStr">
        <is>
          <t>05/01/25</t>
        </is>
      </c>
      <c r="S38" s="90" t="n">
        <v>43363</v>
      </c>
      <c r="U38" s="90" t="n">
        <v>46142</v>
      </c>
    </row>
    <row r="39">
      <c r="C39" s="87" t="inlineStr">
        <is>
          <t>Alexander, Jennell</t>
        </is>
      </c>
      <c r="E39" s="87" t="inlineStr">
        <is>
          <t>33</t>
        </is>
      </c>
      <c r="F39" s="87" t="inlineStr">
        <is>
          <t>2 Bed 1 Bath</t>
        </is>
      </c>
      <c r="I39" s="88" t="n">
        <v>1334</v>
      </c>
      <c r="J39" s="89" t="n">
        <v>1325</v>
      </c>
      <c r="K39" s="89" t="n">
        <v>1050</v>
      </c>
      <c r="L39" s="89" t="n">
        <v>0</v>
      </c>
      <c r="M39" s="89" t="n">
        <v>0</v>
      </c>
      <c r="O39" s="89" t="n">
        <v>1050</v>
      </c>
      <c r="P39" s="89" t="n">
        <v>575</v>
      </c>
      <c r="Q39" s="89" t="n">
        <v>25</v>
      </c>
      <c r="R39" s="87" t="inlineStr">
        <is>
          <t>05/01/26</t>
        </is>
      </c>
      <c r="S39" s="90" t="n">
        <v>43195</v>
      </c>
      <c r="U39" s="90" t="n">
        <v>46507</v>
      </c>
    </row>
    <row r="40">
      <c r="C40" s="87" t="inlineStr">
        <is>
          <t>Colon (BMHA), Jami'lis</t>
        </is>
      </c>
      <c r="E40" s="87" t="inlineStr">
        <is>
          <t>34</t>
        </is>
      </c>
      <c r="F40" s="87" t="inlineStr">
        <is>
          <t>2 Bed 1 Bath</t>
        </is>
      </c>
      <c r="I40" s="88" t="n">
        <v>1334</v>
      </c>
      <c r="J40" s="89" t="n">
        <v>1325</v>
      </c>
      <c r="K40" s="89" t="n">
        <v>950</v>
      </c>
      <c r="L40" s="89" t="n">
        <v>0</v>
      </c>
      <c r="M40" s="89" t="n">
        <v>0</v>
      </c>
      <c r="O40" s="89" t="n">
        <v>950</v>
      </c>
      <c r="P40" s="89" t="n">
        <v>0</v>
      </c>
      <c r="Q40" s="89" t="n">
        <v>150</v>
      </c>
      <c r="R40" s="87" t="inlineStr">
        <is>
          <t>09/01/24</t>
        </is>
      </c>
      <c r="S40" s="90" t="n">
        <v>42614</v>
      </c>
      <c r="U40" s="90" t="n">
        <v>45900</v>
      </c>
    </row>
    <row r="41">
      <c r="C41" s="87" t="inlineStr">
        <is>
          <t>Santiago (RACB), Maria</t>
        </is>
      </c>
      <c r="E41" s="87" t="inlineStr">
        <is>
          <t>35</t>
        </is>
      </c>
      <c r="F41" s="87" t="inlineStr">
        <is>
          <t>2 Bed 1 Bath</t>
        </is>
      </c>
      <c r="I41" s="88" t="n">
        <v>1334</v>
      </c>
      <c r="J41" s="89" t="n">
        <v>1325</v>
      </c>
      <c r="K41" s="89" t="n">
        <v>1050</v>
      </c>
      <c r="L41" s="89" t="n">
        <v>0</v>
      </c>
      <c r="M41" s="89" t="n">
        <v>50</v>
      </c>
      <c r="O41" s="89" t="n">
        <v>1100</v>
      </c>
      <c r="P41" s="89" t="n">
        <v>405</v>
      </c>
      <c r="Q41" s="89" t="n">
        <v>150</v>
      </c>
      <c r="R41" s="87" t="inlineStr">
        <is>
          <t>03/01/25</t>
        </is>
      </c>
      <c r="S41" s="90" t="n">
        <v>38777</v>
      </c>
      <c r="U41" s="90" t="n">
        <v>46446</v>
      </c>
    </row>
    <row r="42">
      <c r="C42" s="87" t="inlineStr">
        <is>
          <t>Mangier Parra, Luis</t>
        </is>
      </c>
      <c r="E42" s="87" t="inlineStr">
        <is>
          <t>36</t>
        </is>
      </c>
      <c r="F42" s="87" t="inlineStr">
        <is>
          <t>3 Bed/ 1Bath</t>
        </is>
      </c>
      <c r="I42" s="88" t="n">
        <v>1521</v>
      </c>
      <c r="J42" s="89" t="n">
        <v>1475</v>
      </c>
      <c r="K42" s="89" t="n">
        <v>1375</v>
      </c>
      <c r="L42" s="89" t="n">
        <v>0</v>
      </c>
      <c r="M42" s="89" t="n">
        <v>0</v>
      </c>
      <c r="O42" s="89" t="n">
        <v>1375</v>
      </c>
      <c r="P42" s="89" t="n">
        <v>1375</v>
      </c>
      <c r="Q42" s="89" t="n">
        <v>1375</v>
      </c>
      <c r="R42" s="87" t="inlineStr">
        <is>
          <t>02/01/24</t>
        </is>
      </c>
      <c r="S42" s="90" t="n">
        <v>45328</v>
      </c>
      <c r="U42" s="90" t="n">
        <v>46446</v>
      </c>
    </row>
    <row r="43">
      <c r="C43" s="87" t="inlineStr">
        <is>
          <t>Kennelly, Brooke</t>
        </is>
      </c>
      <c r="E43" s="87" t="inlineStr">
        <is>
          <t>37</t>
        </is>
      </c>
      <c r="F43" s="87" t="inlineStr">
        <is>
          <t>1 Bed 1 Bath</t>
        </is>
      </c>
      <c r="I43" s="88" t="n">
        <v>1149</v>
      </c>
      <c r="J43" s="89" t="n">
        <v>1195</v>
      </c>
      <c r="K43" s="89" t="n">
        <v>1150</v>
      </c>
      <c r="L43" s="89" t="n">
        <v>0</v>
      </c>
      <c r="M43" s="89" t="n">
        <v>0</v>
      </c>
      <c r="O43" s="89" t="n">
        <v>1150</v>
      </c>
      <c r="P43" s="89" t="n">
        <v>1150</v>
      </c>
      <c r="Q43" s="89" t="n">
        <v>1150</v>
      </c>
      <c r="R43" s="87" t="inlineStr">
        <is>
          <t>06/04/26</t>
        </is>
      </c>
      <c r="S43" s="90" t="n">
        <v>46193</v>
      </c>
      <c r="U43" s="90" t="n">
        <v>46568</v>
      </c>
    </row>
    <row r="44">
      <c r="C44" s="87" t="inlineStr">
        <is>
          <t>Brown, Katlyn</t>
        </is>
      </c>
      <c r="E44" s="87" t="inlineStr">
        <is>
          <t>38</t>
        </is>
      </c>
      <c r="F44" s="87" t="inlineStr">
        <is>
          <t>2 Bed 1 Bath</t>
        </is>
      </c>
      <c r="I44" s="88" t="n">
        <v>1334</v>
      </c>
      <c r="J44" s="89" t="n">
        <v>1325</v>
      </c>
      <c r="K44" s="89" t="n">
        <v>1275</v>
      </c>
      <c r="L44" s="89" t="n">
        <v>0</v>
      </c>
      <c r="M44" s="89" t="n">
        <v>0</v>
      </c>
      <c r="O44" s="89" t="n">
        <v>1275</v>
      </c>
      <c r="P44" s="89" t="n">
        <v>1275</v>
      </c>
      <c r="Q44" s="89" t="n">
        <v>1275</v>
      </c>
      <c r="R44" s="87" t="inlineStr">
        <is>
          <t>04/13/26</t>
        </is>
      </c>
      <c r="S44" s="90" t="n">
        <v>46143</v>
      </c>
      <c r="U44" s="90" t="n">
        <v>46507</v>
      </c>
    </row>
    <row r="45">
      <c r="C45" s="87" t="inlineStr">
        <is>
          <t>Lopez (RACB), Chantel</t>
        </is>
      </c>
      <c r="E45" s="87" t="inlineStr">
        <is>
          <t>39</t>
        </is>
      </c>
      <c r="F45" s="87" t="inlineStr">
        <is>
          <t>3 Bed 1.5 Bath</t>
        </is>
      </c>
      <c r="I45" s="88" t="n">
        <v>1521</v>
      </c>
      <c r="J45" s="89" t="n">
        <v>1495</v>
      </c>
      <c r="K45" s="89" t="n">
        <v>1400</v>
      </c>
      <c r="L45" s="89" t="n">
        <v>0</v>
      </c>
      <c r="M45" s="89" t="n">
        <v>0</v>
      </c>
      <c r="O45" s="89" t="n">
        <v>1400</v>
      </c>
      <c r="P45" s="89" t="n">
        <v>1400</v>
      </c>
      <c r="Q45" s="89" t="n">
        <v>1400</v>
      </c>
      <c r="R45" s="87" t="inlineStr">
        <is>
          <t>03/16/26</t>
        </is>
      </c>
      <c r="S45" s="90" t="n">
        <v>46113</v>
      </c>
      <c r="U45" s="90" t="n">
        <v>46507</v>
      </c>
    </row>
    <row r="46">
      <c r="C46" s="87" t="inlineStr">
        <is>
          <t>Falcon, Alejandra</t>
        </is>
      </c>
      <c r="E46" s="87" t="inlineStr">
        <is>
          <t>40</t>
        </is>
      </c>
      <c r="F46" s="87" t="inlineStr">
        <is>
          <t>3 Bed 1.5 Bath</t>
        </is>
      </c>
      <c r="I46" s="88" t="n">
        <v>1521</v>
      </c>
      <c r="J46" s="89" t="n">
        <v>1495</v>
      </c>
      <c r="K46" s="89" t="n">
        <v>1500</v>
      </c>
      <c r="L46" s="89" t="n">
        <v>0</v>
      </c>
      <c r="M46" s="89" t="n">
        <v>0</v>
      </c>
      <c r="O46" s="89" t="n">
        <v>1500</v>
      </c>
      <c r="P46" s="89" t="n">
        <v>1475</v>
      </c>
      <c r="Q46" s="89" t="n">
        <v>25</v>
      </c>
      <c r="R46" s="87" t="inlineStr">
        <is>
          <t>07/01/25</t>
        </is>
      </c>
      <c r="S46" s="90" t="n">
        <v>45443</v>
      </c>
      <c r="U46" s="90" t="n">
        <v>46203</v>
      </c>
    </row>
    <row r="47">
      <c r="C47" s="87" t="inlineStr">
        <is>
          <t>Beasley/Solomon, Christine/Dorothy</t>
        </is>
      </c>
      <c r="E47" s="87" t="inlineStr">
        <is>
          <t>41</t>
        </is>
      </c>
      <c r="F47" s="87" t="inlineStr">
        <is>
          <t>2 Bed 1 Bath</t>
        </is>
      </c>
      <c r="I47" s="88" t="n">
        <v>1334</v>
      </c>
      <c r="J47" s="89" t="n">
        <v>1325</v>
      </c>
      <c r="K47" s="89" t="n">
        <v>1200</v>
      </c>
      <c r="L47" s="89" t="n">
        <v>0</v>
      </c>
      <c r="M47" s="89" t="n">
        <v>200</v>
      </c>
      <c r="O47" s="89" t="n">
        <v>1400</v>
      </c>
      <c r="P47" s="89" t="n">
        <v>200</v>
      </c>
      <c r="Q47" s="89" t="n">
        <v>75</v>
      </c>
      <c r="R47" s="87" t="inlineStr">
        <is>
          <t>09/01/25</t>
        </is>
      </c>
      <c r="S47" s="90" t="n">
        <v>37987</v>
      </c>
      <c r="U47" s="90" t="n">
        <v>46265</v>
      </c>
    </row>
    <row r="48">
      <c r="C48" s="87" t="inlineStr">
        <is>
          <t>Lozada, Jessica</t>
        </is>
      </c>
      <c r="E48" s="87" t="inlineStr">
        <is>
          <t>42</t>
        </is>
      </c>
      <c r="F48" s="87" t="inlineStr">
        <is>
          <t>2 Bed 1 Bath</t>
        </is>
      </c>
      <c r="I48" s="88" t="n">
        <v>1334</v>
      </c>
      <c r="J48" s="89" t="n">
        <v>1325</v>
      </c>
      <c r="K48" s="89" t="n">
        <v>1250</v>
      </c>
      <c r="L48" s="89" t="n">
        <v>0</v>
      </c>
      <c r="M48" s="89" t="n">
        <v>0</v>
      </c>
      <c r="O48" s="89" t="n">
        <v>1250</v>
      </c>
      <c r="P48" s="89" t="n">
        <v>0</v>
      </c>
      <c r="Q48" s="89" t="n">
        <v>125</v>
      </c>
      <c r="R48" s="87" t="inlineStr">
        <is>
          <t>09/01/25</t>
        </is>
      </c>
      <c r="S48" s="90" t="n">
        <v>40770</v>
      </c>
      <c r="U48" s="90" t="n">
        <v>46630</v>
      </c>
    </row>
    <row r="49">
      <c r="C49" s="87" t="inlineStr">
        <is>
          <t>Ridgeway, Jayce</t>
        </is>
      </c>
      <c r="E49" s="87" t="inlineStr">
        <is>
          <t>43</t>
        </is>
      </c>
      <c r="F49" s="87" t="inlineStr">
        <is>
          <t>2 Bed 1 Bath</t>
        </is>
      </c>
      <c r="I49" s="88" t="n">
        <v>1334</v>
      </c>
      <c r="J49" s="89" t="n">
        <v>1325</v>
      </c>
      <c r="K49" s="89" t="n">
        <v>1300</v>
      </c>
      <c r="L49" s="89" t="n">
        <v>0</v>
      </c>
      <c r="M49" s="89" t="n">
        <v>0</v>
      </c>
      <c r="O49" s="89" t="n">
        <v>1300</v>
      </c>
      <c r="P49" s="89" t="n">
        <v>1300</v>
      </c>
      <c r="Q49" s="89" t="n">
        <v>1300</v>
      </c>
      <c r="R49" s="87" t="inlineStr">
        <is>
          <t>04/02/26</t>
        </is>
      </c>
      <c r="S49" s="90" t="n">
        <v>46127</v>
      </c>
      <c r="U49" s="90" t="n">
        <v>46507</v>
      </c>
    </row>
    <row r="50">
      <c r="C50" s="87" t="inlineStr">
        <is>
          <t>Jefferson (BEL), Kenneth</t>
        </is>
      </c>
      <c r="E50" s="87" t="inlineStr">
        <is>
          <t>44</t>
        </is>
      </c>
      <c r="F50" s="87" t="inlineStr">
        <is>
          <t>2 Bed 1 Bath</t>
        </is>
      </c>
      <c r="I50" s="88" t="n">
        <v>1334</v>
      </c>
      <c r="J50" s="89" t="n">
        <v>1325</v>
      </c>
      <c r="K50" s="89" t="n">
        <v>1198</v>
      </c>
      <c r="L50" s="89" t="n">
        <v>0</v>
      </c>
      <c r="M50" s="89" t="n">
        <v>0</v>
      </c>
      <c r="O50" s="89" t="n">
        <v>1198</v>
      </c>
      <c r="P50" s="89" t="n">
        <v>1185</v>
      </c>
      <c r="Q50" s="89" t="n">
        <v>13</v>
      </c>
      <c r="R50" s="87" t="inlineStr">
        <is>
          <t>03/01/25</t>
        </is>
      </c>
      <c r="S50" s="90" t="n">
        <v>45331</v>
      </c>
      <c r="U50" s="90" t="n">
        <v>46446</v>
      </c>
    </row>
    <row r="51">
      <c r="C51" s="87" t="inlineStr">
        <is>
          <t>Bowens, Dana</t>
        </is>
      </c>
      <c r="E51" s="87" t="inlineStr">
        <is>
          <t>45</t>
        </is>
      </c>
      <c r="F51" s="87" t="inlineStr">
        <is>
          <t>2 Bed 1 Bath</t>
        </is>
      </c>
      <c r="I51" s="88" t="n">
        <v>1334</v>
      </c>
      <c r="J51" s="89" t="n">
        <v>1325</v>
      </c>
      <c r="K51" s="89" t="n">
        <v>1125</v>
      </c>
      <c r="L51" s="89" t="n">
        <v>0</v>
      </c>
      <c r="M51" s="89" t="n">
        <v>0</v>
      </c>
      <c r="O51" s="89" t="n">
        <v>1125</v>
      </c>
      <c r="P51" s="89" t="n">
        <v>575</v>
      </c>
      <c r="Q51" s="89" t="n">
        <v>100</v>
      </c>
      <c r="R51" s="87" t="inlineStr">
        <is>
          <t>07/01/25</t>
        </is>
      </c>
      <c r="S51" s="90" t="n">
        <v>42551</v>
      </c>
      <c r="U51" s="90" t="n">
        <v>46568</v>
      </c>
    </row>
    <row r="52">
      <c r="C52" s="87" t="inlineStr">
        <is>
          <t>Thurman, Tyler</t>
        </is>
      </c>
      <c r="E52" s="87" t="inlineStr">
        <is>
          <t>46</t>
        </is>
      </c>
      <c r="F52" s="87" t="inlineStr">
        <is>
          <t>2 Bed 1 Bath</t>
        </is>
      </c>
      <c r="I52" s="88" t="n">
        <v>1334</v>
      </c>
      <c r="J52" s="89" t="n">
        <v>1325</v>
      </c>
      <c r="K52" s="89" t="n">
        <v>1325</v>
      </c>
      <c r="L52" s="89" t="n">
        <v>0</v>
      </c>
      <c r="M52" s="89" t="n">
        <v>0</v>
      </c>
      <c r="O52" s="89" t="n">
        <v>1325</v>
      </c>
      <c r="P52" s="89" t="n">
        <v>1325</v>
      </c>
      <c r="Q52" s="89" t="n">
        <v>1325</v>
      </c>
      <c r="R52" s="87" t="inlineStr">
        <is>
          <t>03/24/26</t>
        </is>
      </c>
      <c r="S52" s="90" t="n">
        <v>46111</v>
      </c>
      <c r="U52" s="90" t="n">
        <v>46477</v>
      </c>
    </row>
    <row r="53">
      <c r="C53" s="87" t="inlineStr">
        <is>
          <t>Hampton, Kayla</t>
        </is>
      </c>
      <c r="E53" s="87" t="inlineStr">
        <is>
          <t>47</t>
        </is>
      </c>
      <c r="F53" s="87" t="inlineStr">
        <is>
          <t>2 Bed 1 Bath</t>
        </is>
      </c>
      <c r="I53" s="88" t="n">
        <v>1334</v>
      </c>
      <c r="J53" s="89" t="n">
        <v>1325</v>
      </c>
      <c r="K53" s="89" t="n">
        <v>1295</v>
      </c>
      <c r="L53" s="89" t="n">
        <v>0</v>
      </c>
      <c r="M53" s="89" t="n">
        <v>0</v>
      </c>
      <c r="O53" s="89" t="n">
        <v>1295</v>
      </c>
      <c r="P53" s="89" t="n">
        <v>0</v>
      </c>
      <c r="Q53" s="89" t="n">
        <v>1295</v>
      </c>
      <c r="R53" s="87" t="inlineStr">
        <is>
          <t>03/12/26</t>
        </is>
      </c>
      <c r="S53" s="90" t="n">
        <v>46113</v>
      </c>
      <c r="U53" s="90" t="n">
        <v>46477</v>
      </c>
    </row>
    <row r="54">
      <c r="C54" s="87" t="inlineStr">
        <is>
          <t>Febles, Miguel</t>
        </is>
      </c>
      <c r="E54" s="87" t="inlineStr">
        <is>
          <t>48</t>
        </is>
      </c>
      <c r="F54" s="87" t="inlineStr">
        <is>
          <t>2 Bed 1 Bath</t>
        </is>
      </c>
      <c r="I54" s="88" t="n">
        <v>1334</v>
      </c>
      <c r="J54" s="89" t="n">
        <v>1325</v>
      </c>
      <c r="K54" s="89" t="n">
        <v>1425</v>
      </c>
      <c r="L54" s="89" t="n">
        <v>0</v>
      </c>
      <c r="M54" s="89" t="n">
        <v>0</v>
      </c>
      <c r="O54" s="89" t="n">
        <v>1425</v>
      </c>
      <c r="P54" s="89" t="n">
        <v>1350</v>
      </c>
      <c r="Q54" s="89" t="n">
        <v>75</v>
      </c>
      <c r="R54" s="87" t="inlineStr">
        <is>
          <t>10/01/25</t>
        </is>
      </c>
      <c r="S54" s="90" t="n">
        <v>45565</v>
      </c>
      <c r="U54" s="90" t="n">
        <v>46295</v>
      </c>
    </row>
    <row r="55">
      <c r="C55" s="87" t="inlineStr">
        <is>
          <t>Clarke, Brandon</t>
        </is>
      </c>
      <c r="E55" s="87" t="inlineStr">
        <is>
          <t>49</t>
        </is>
      </c>
      <c r="F55" s="87" t="inlineStr">
        <is>
          <t>2 Bed 1 Bath</t>
        </is>
      </c>
      <c r="I55" s="88" t="n">
        <v>1334</v>
      </c>
      <c r="J55" s="89" t="n">
        <v>1325</v>
      </c>
      <c r="K55" s="89" t="n">
        <v>1325</v>
      </c>
      <c r="L55" s="89" t="n">
        <v>0</v>
      </c>
      <c r="M55" s="89" t="n">
        <v>25</v>
      </c>
      <c r="O55" s="89" t="n">
        <v>1350</v>
      </c>
      <c r="P55" s="89" t="n">
        <v>1325</v>
      </c>
      <c r="Q55" s="89" t="n">
        <v>1325</v>
      </c>
      <c r="R55" s="87" t="inlineStr">
        <is>
          <t>02/06/26</t>
        </is>
      </c>
      <c r="S55" s="90" t="n">
        <v>46051</v>
      </c>
      <c r="U55" s="90" t="n">
        <v>46418</v>
      </c>
    </row>
    <row r="56">
      <c r="C56" s="87" t="inlineStr">
        <is>
          <t>Cardoza, Patricia</t>
        </is>
      </c>
      <c r="E56" s="87" t="inlineStr">
        <is>
          <t>50</t>
        </is>
      </c>
      <c r="F56" s="87" t="inlineStr">
        <is>
          <t>2 Bed 1 Bath</t>
        </is>
      </c>
      <c r="I56" s="88" t="n">
        <v>1334</v>
      </c>
      <c r="J56" s="89" t="n">
        <v>1325</v>
      </c>
      <c r="K56" s="89" t="n">
        <v>1200</v>
      </c>
      <c r="L56" s="89" t="n">
        <v>0</v>
      </c>
      <c r="M56" s="89" t="n">
        <v>0</v>
      </c>
      <c r="O56" s="89" t="n">
        <v>1200</v>
      </c>
      <c r="P56" s="89" t="n">
        <v>1200</v>
      </c>
      <c r="Q56" s="89" t="n">
        <v>1200</v>
      </c>
      <c r="R56" s="87" t="inlineStr">
        <is>
          <t>06/18/26</t>
        </is>
      </c>
      <c r="S56" s="90" t="n">
        <v>46204</v>
      </c>
      <c r="U56" s="90" t="n">
        <v>46568</v>
      </c>
    </row>
    <row r="57">
      <c r="C57" s="87" t="inlineStr">
        <is>
          <t>Services Inc., Transitional</t>
        </is>
      </c>
      <c r="E57" s="87" t="inlineStr">
        <is>
          <t>51</t>
        </is>
      </c>
      <c r="F57" s="87" t="inlineStr">
        <is>
          <t>2 Bed 1 Bath</t>
        </is>
      </c>
      <c r="I57" s="88" t="n">
        <v>1334</v>
      </c>
      <c r="J57" s="89" t="n">
        <v>1325</v>
      </c>
      <c r="K57" s="89" t="n">
        <v>1225</v>
      </c>
      <c r="L57" s="89" t="n">
        <v>0</v>
      </c>
      <c r="M57" s="89" t="n">
        <v>0</v>
      </c>
      <c r="O57" s="89" t="n">
        <v>1225</v>
      </c>
      <c r="P57" s="89" t="n">
        <v>650</v>
      </c>
      <c r="Q57" s="89" t="n">
        <v>125</v>
      </c>
      <c r="R57" s="87" t="inlineStr">
        <is>
          <t>07/01/25</t>
        </is>
      </c>
      <c r="S57" s="90" t="n">
        <v>41091</v>
      </c>
      <c r="U57" s="90" t="n">
        <v>46568</v>
      </c>
    </row>
    <row r="58">
      <c r="C58" s="87" t="inlineStr">
        <is>
          <t>&lt;VACANT&gt;</t>
        </is>
      </c>
      <c r="E58" s="87" t="inlineStr">
        <is>
          <t>52</t>
        </is>
      </c>
      <c r="F58" s="87" t="inlineStr">
        <is>
          <t>2 Bed 1 Bath</t>
        </is>
      </c>
      <c r="I58" s="88" t="n">
        <v>1334</v>
      </c>
      <c r="J58" s="89" t="n">
        <v>1325</v>
      </c>
      <c r="K58" s="89" t="n">
        <v>1325</v>
      </c>
      <c r="L58" s="89" t="n">
        <v>1325</v>
      </c>
      <c r="M58" s="89" t="n">
        <v>0</v>
      </c>
      <c r="O58" s="89" t="n">
        <v>0</v>
      </c>
      <c r="P58" s="89" t="n">
        <v>0</v>
      </c>
      <c r="Q58" s="89" t="n">
        <v>0</v>
      </c>
    </row>
    <row r="59">
      <c r="C59" s="87" t="inlineStr">
        <is>
          <t>Alvarez Pinero, Kathy</t>
        </is>
      </c>
      <c r="E59" s="87" t="inlineStr">
        <is>
          <t>53</t>
        </is>
      </c>
      <c r="F59" s="87" t="inlineStr">
        <is>
          <t>2 Bed 1 Bath</t>
        </is>
      </c>
      <c r="I59" s="88" t="n">
        <v>1334</v>
      </c>
      <c r="J59" s="89" t="n">
        <v>1325</v>
      </c>
      <c r="K59" s="89" t="n">
        <v>1325</v>
      </c>
      <c r="L59" s="89" t="n">
        <v>0</v>
      </c>
      <c r="M59" s="89" t="n">
        <v>0</v>
      </c>
      <c r="O59" s="89" t="n">
        <v>1325</v>
      </c>
      <c r="P59" s="89" t="n">
        <v>1325</v>
      </c>
      <c r="Q59" s="89" t="n">
        <v>1325</v>
      </c>
      <c r="R59" s="87" t="inlineStr">
        <is>
          <t>01/20/26</t>
        </is>
      </c>
      <c r="S59" s="90" t="n">
        <v>46057</v>
      </c>
      <c r="U59" s="90" t="n">
        <v>46446</v>
      </c>
    </row>
    <row r="60">
      <c r="C60" s="87" t="inlineStr">
        <is>
          <t>Jaycox, Alfred</t>
        </is>
      </c>
      <c r="E60" s="87" t="inlineStr">
        <is>
          <t>54</t>
        </is>
      </c>
      <c r="F60" s="87" t="inlineStr">
        <is>
          <t>2 Bed 1 Bath</t>
        </is>
      </c>
      <c r="I60" s="88" t="n">
        <v>1334</v>
      </c>
      <c r="J60" s="89" t="n">
        <v>1325</v>
      </c>
      <c r="K60" s="89" t="n">
        <v>1200</v>
      </c>
      <c r="L60" s="89" t="n">
        <v>0</v>
      </c>
      <c r="M60" s="89" t="n">
        <v>50</v>
      </c>
      <c r="O60" s="89" t="n">
        <v>1250</v>
      </c>
      <c r="P60" s="89" t="n">
        <v>900</v>
      </c>
      <c r="Q60" s="89" t="n">
        <v>50</v>
      </c>
      <c r="R60" s="87" t="inlineStr">
        <is>
          <t>05/01/25</t>
        </is>
      </c>
      <c r="S60" s="90" t="n">
        <v>44215</v>
      </c>
      <c r="U60" s="90" t="n">
        <v>46142</v>
      </c>
    </row>
    <row r="61">
      <c r="C61" s="87" t="inlineStr">
        <is>
          <t>Brown, John</t>
        </is>
      </c>
      <c r="E61" s="87" t="inlineStr">
        <is>
          <t>55</t>
        </is>
      </c>
      <c r="F61" s="87" t="inlineStr">
        <is>
          <t>2 Bed 1 Bath</t>
        </is>
      </c>
      <c r="I61" s="88" t="n">
        <v>1334</v>
      </c>
      <c r="J61" s="89" t="n">
        <v>1325</v>
      </c>
      <c r="K61" s="89" t="n">
        <v>1095</v>
      </c>
      <c r="L61" s="89" t="n">
        <v>0</v>
      </c>
      <c r="M61" s="89" t="n">
        <v>0</v>
      </c>
      <c r="O61" s="89" t="n">
        <v>1095</v>
      </c>
      <c r="P61" s="89" t="n">
        <v>405</v>
      </c>
      <c r="Q61" s="89" t="n">
        <v>95</v>
      </c>
      <c r="R61" s="87" t="inlineStr">
        <is>
          <t>03/01/25</t>
        </is>
      </c>
      <c r="S61" s="90" t="n">
        <v>38764</v>
      </c>
      <c r="U61" s="90" t="n">
        <v>46446</v>
      </c>
    </row>
    <row r="62">
      <c r="C62" s="87" t="inlineStr">
        <is>
          <t>Arroyo, Feridinand</t>
        </is>
      </c>
      <c r="E62" s="87" t="inlineStr">
        <is>
          <t>56</t>
        </is>
      </c>
      <c r="F62" s="87" t="inlineStr">
        <is>
          <t>1 Bed 1 Bath</t>
        </is>
      </c>
      <c r="I62" s="88" t="n">
        <v>1149</v>
      </c>
      <c r="J62" s="89" t="n">
        <v>1195</v>
      </c>
      <c r="K62" s="89" t="n">
        <v>1195</v>
      </c>
      <c r="L62" s="89" t="n">
        <v>0</v>
      </c>
      <c r="M62" s="89" t="n">
        <v>50</v>
      </c>
      <c r="O62" s="89" t="n">
        <v>1245</v>
      </c>
      <c r="P62" s="89" t="n">
        <v>1195</v>
      </c>
      <c r="Q62" s="89" t="n">
        <v>1195</v>
      </c>
      <c r="R62" s="87" t="inlineStr">
        <is>
          <t>02/19/26</t>
        </is>
      </c>
      <c r="S62" s="90" t="n">
        <v>46082</v>
      </c>
      <c r="U62" s="90" t="n">
        <v>46446</v>
      </c>
    </row>
    <row r="63">
      <c r="C63" s="87" t="inlineStr">
        <is>
          <t>Woodfork, Alex</t>
        </is>
      </c>
      <c r="E63" s="87" t="inlineStr">
        <is>
          <t>57</t>
        </is>
      </c>
      <c r="F63" s="87" t="inlineStr">
        <is>
          <t>3 Bed/1Bath FP</t>
        </is>
      </c>
      <c r="I63" s="88" t="n">
        <v>1521</v>
      </c>
      <c r="J63" s="89" t="n">
        <v>1325</v>
      </c>
      <c r="K63" s="89" t="n">
        <v>1325</v>
      </c>
      <c r="L63" s="89" t="n">
        <v>0</v>
      </c>
      <c r="M63" s="89" t="n">
        <v>0</v>
      </c>
      <c r="O63" s="89" t="n">
        <v>1325</v>
      </c>
      <c r="P63" s="89" t="n">
        <v>1325</v>
      </c>
      <c r="Q63" s="89" t="n">
        <v>1325</v>
      </c>
      <c r="R63" s="87" t="inlineStr">
        <is>
          <t>08/05/25</t>
        </is>
      </c>
      <c r="S63" s="90" t="n">
        <v>45898</v>
      </c>
      <c r="U63" s="90" t="n">
        <v>46265</v>
      </c>
    </row>
    <row r="64">
      <c r="C64" s="87" t="inlineStr">
        <is>
          <t>Thomas, Marie Magdala</t>
        </is>
      </c>
      <c r="E64" s="87" t="inlineStr">
        <is>
          <t>58</t>
        </is>
      </c>
      <c r="F64" s="87" t="inlineStr">
        <is>
          <t>2 Bed 1 Bath</t>
        </is>
      </c>
      <c r="I64" s="88" t="n">
        <v>1334</v>
      </c>
      <c r="J64" s="89" t="n">
        <v>1325</v>
      </c>
      <c r="K64" s="89" t="n">
        <v>1300</v>
      </c>
      <c r="L64" s="89" t="n">
        <v>0</v>
      </c>
      <c r="M64" s="89" t="n">
        <v>0</v>
      </c>
      <c r="O64" s="89" t="n">
        <v>1300</v>
      </c>
      <c r="P64" s="89" t="n">
        <v>1300</v>
      </c>
      <c r="Q64" s="89" t="n">
        <v>1300</v>
      </c>
      <c r="R64" s="87" t="inlineStr">
        <is>
          <t>04/04/25</t>
        </is>
      </c>
      <c r="S64" s="90" t="n">
        <v>45754</v>
      </c>
      <c r="U64" s="90" t="n">
        <v>46507</v>
      </c>
    </row>
    <row r="65">
      <c r="C65" s="87" t="inlineStr">
        <is>
          <t>Smith, Carla</t>
        </is>
      </c>
      <c r="E65" s="87" t="inlineStr">
        <is>
          <t>59</t>
        </is>
      </c>
      <c r="F65" s="87" t="inlineStr">
        <is>
          <t>3 Bed 1.5 Bath</t>
        </is>
      </c>
      <c r="I65" s="88" t="n">
        <v>1521</v>
      </c>
      <c r="J65" s="89" t="n">
        <v>1495</v>
      </c>
      <c r="K65" s="89" t="n">
        <v>1225</v>
      </c>
      <c r="L65" s="89" t="n">
        <v>0</v>
      </c>
      <c r="M65" s="89" t="n">
        <v>0</v>
      </c>
      <c r="O65" s="89" t="n">
        <v>1225</v>
      </c>
      <c r="P65" s="89" t="n">
        <v>710</v>
      </c>
      <c r="Q65" s="89" t="n">
        <v>125</v>
      </c>
      <c r="R65" s="87" t="inlineStr">
        <is>
          <t>08/01/25</t>
        </is>
      </c>
      <c r="S65" s="90" t="n">
        <v>41487</v>
      </c>
      <c r="U65" s="90" t="n">
        <v>46234</v>
      </c>
    </row>
    <row r="66">
      <c r="C66" s="87" t="inlineStr">
        <is>
          <t>Herby (BMHA), Leah</t>
        </is>
      </c>
      <c r="E66" s="87" t="inlineStr">
        <is>
          <t>60</t>
        </is>
      </c>
      <c r="F66" s="87" t="inlineStr">
        <is>
          <t>3 Bed 1.5 Bath</t>
        </is>
      </c>
      <c r="I66" s="88" t="n">
        <v>1521</v>
      </c>
      <c r="J66" s="89" t="n">
        <v>1495</v>
      </c>
      <c r="K66" s="89" t="n">
        <v>1495</v>
      </c>
      <c r="L66" s="89" t="n">
        <v>0</v>
      </c>
      <c r="M66" s="89" t="n">
        <v>0</v>
      </c>
      <c r="O66" s="89" t="n">
        <v>1495</v>
      </c>
      <c r="P66" s="89" t="n">
        <v>0</v>
      </c>
      <c r="Q66" s="89" t="n">
        <v>1495</v>
      </c>
      <c r="R66" s="87" t="inlineStr">
        <is>
          <t>04/15/26</t>
        </is>
      </c>
      <c r="S66" s="90" t="n">
        <v>46143</v>
      </c>
      <c r="U66" s="90" t="n">
        <v>46507</v>
      </c>
    </row>
    <row r="67">
      <c r="C67" s="87" t="inlineStr">
        <is>
          <t>Perez (RACB), Carmen</t>
        </is>
      </c>
      <c r="E67" s="87" t="inlineStr">
        <is>
          <t>61</t>
        </is>
      </c>
      <c r="F67" s="87" t="inlineStr">
        <is>
          <t>2 Bed 1 Bath</t>
        </is>
      </c>
      <c r="I67" s="88" t="n">
        <v>1334</v>
      </c>
      <c r="J67" s="89" t="n">
        <v>1325</v>
      </c>
      <c r="K67" s="89" t="n">
        <v>1250</v>
      </c>
      <c r="L67" s="89" t="n">
        <v>0</v>
      </c>
      <c r="M67" s="89" t="n">
        <v>50</v>
      </c>
      <c r="O67" s="89" t="n">
        <v>1300</v>
      </c>
      <c r="P67" s="89" t="n">
        <v>50</v>
      </c>
      <c r="Q67" s="89" t="n">
        <v>150</v>
      </c>
      <c r="R67" s="87" t="inlineStr">
        <is>
          <t>12/01/24</t>
        </is>
      </c>
      <c r="S67" s="90" t="n">
        <v>40878</v>
      </c>
      <c r="U67" s="90" t="n">
        <v>46721</v>
      </c>
    </row>
    <row r="68">
      <c r="C68" s="87" t="inlineStr">
        <is>
          <t>&lt;VACANT&gt;</t>
        </is>
      </c>
      <c r="E68" s="87" t="inlineStr">
        <is>
          <t>62</t>
        </is>
      </c>
      <c r="F68" s="87" t="inlineStr">
        <is>
          <t>2 Bed 1 Bath</t>
        </is>
      </c>
      <c r="I68" s="88" t="n">
        <v>1334</v>
      </c>
      <c r="J68" s="89" t="n">
        <v>1325</v>
      </c>
      <c r="K68" s="89" t="n">
        <v>1325</v>
      </c>
      <c r="L68" s="89" t="n">
        <v>1325</v>
      </c>
      <c r="M68" s="89" t="n">
        <v>0</v>
      </c>
      <c r="O68" s="89" t="n">
        <v>0</v>
      </c>
      <c r="P68" s="89" t="n">
        <v>0</v>
      </c>
      <c r="Q68" s="89" t="n">
        <v>0</v>
      </c>
    </row>
    <row r="69">
      <c r="C69" s="87" t="inlineStr">
        <is>
          <t>Leon Rodriguez (RACB), Jose Luis</t>
        </is>
      </c>
      <c r="E69" s="87" t="inlineStr">
        <is>
          <t>63</t>
        </is>
      </c>
      <c r="F69" s="87" t="inlineStr">
        <is>
          <t>2 Bed 1 Bath</t>
        </is>
      </c>
      <c r="I69" s="88" t="n">
        <v>1334</v>
      </c>
      <c r="J69" s="89" t="n">
        <v>1325</v>
      </c>
      <c r="K69" s="89" t="n">
        <v>1000</v>
      </c>
      <c r="L69" s="89" t="n">
        <v>0</v>
      </c>
      <c r="M69" s="89" t="n">
        <v>0</v>
      </c>
      <c r="O69" s="89" t="n">
        <v>1000</v>
      </c>
      <c r="P69" s="89" t="n">
        <v>0</v>
      </c>
      <c r="Q69" s="89" t="n">
        <v>150</v>
      </c>
      <c r="R69" s="87" t="inlineStr">
        <is>
          <t>05/01/25</t>
        </is>
      </c>
      <c r="S69" s="90" t="n">
        <v>42829</v>
      </c>
      <c r="U69" s="90" t="n">
        <v>46507</v>
      </c>
    </row>
    <row r="70">
      <c r="C70" s="87" t="inlineStr">
        <is>
          <t>Myers, Ty</t>
        </is>
      </c>
      <c r="E70" s="87" t="inlineStr">
        <is>
          <t>64</t>
        </is>
      </c>
      <c r="F70" s="87" t="inlineStr">
        <is>
          <t>2 Bed 1 Bath</t>
        </is>
      </c>
      <c r="I70" s="88" t="n">
        <v>1334</v>
      </c>
      <c r="J70" s="89" t="n">
        <v>1325</v>
      </c>
      <c r="K70" s="89" t="n">
        <v>1000</v>
      </c>
      <c r="L70" s="89" t="n">
        <v>0</v>
      </c>
      <c r="M70" s="89" t="n">
        <v>0</v>
      </c>
      <c r="O70" s="89" t="n">
        <v>1000</v>
      </c>
      <c r="P70" s="89" t="n">
        <v>575</v>
      </c>
      <c r="Q70" s="89" t="n">
        <v>75</v>
      </c>
      <c r="R70" s="87" t="inlineStr">
        <is>
          <t>04/01/25</t>
        </is>
      </c>
      <c r="S70" s="90" t="n">
        <v>40589</v>
      </c>
      <c r="U70" s="90" t="n">
        <v>46477</v>
      </c>
    </row>
    <row r="71">
      <c r="C71" s="87" t="inlineStr">
        <is>
          <t>Carson (BEL), Joyce</t>
        </is>
      </c>
      <c r="E71" s="87" t="inlineStr">
        <is>
          <t>65</t>
        </is>
      </c>
      <c r="F71" s="87" t="inlineStr">
        <is>
          <t>2 Bed 1 Bath</t>
        </is>
      </c>
      <c r="I71" s="88" t="n">
        <v>1334</v>
      </c>
      <c r="J71" s="89" t="n">
        <v>1325</v>
      </c>
      <c r="K71" s="89" t="n">
        <v>1150</v>
      </c>
      <c r="L71" s="89" t="n">
        <v>0</v>
      </c>
      <c r="M71" s="89" t="n">
        <v>50</v>
      </c>
      <c r="O71" s="89" t="n">
        <v>1200</v>
      </c>
      <c r="P71" s="89" t="n">
        <v>500</v>
      </c>
      <c r="Q71" s="89" t="n">
        <v>100</v>
      </c>
      <c r="R71" s="87" t="inlineStr">
        <is>
          <t>05/01/25</t>
        </is>
      </c>
      <c r="S71" s="90" t="n">
        <v>39731</v>
      </c>
      <c r="U71" s="90" t="n">
        <v>46142</v>
      </c>
    </row>
    <row r="72">
      <c r="C72" s="87" t="inlineStr">
        <is>
          <t>Chesson (BEL), Amuniquee</t>
        </is>
      </c>
      <c r="E72" s="87" t="inlineStr">
        <is>
          <t>66</t>
        </is>
      </c>
      <c r="F72" s="87" t="inlineStr">
        <is>
          <t>2 Bed 1 Bath</t>
        </is>
      </c>
      <c r="I72" s="88" t="n">
        <v>1149</v>
      </c>
      <c r="J72" s="89" t="n">
        <v>1325</v>
      </c>
      <c r="K72" s="89" t="n">
        <v>1200</v>
      </c>
      <c r="L72" s="89" t="n">
        <v>0</v>
      </c>
      <c r="M72" s="89" t="n">
        <v>0</v>
      </c>
      <c r="O72" s="89" t="n">
        <v>1200</v>
      </c>
      <c r="P72" s="89" t="n">
        <v>1200</v>
      </c>
      <c r="Q72" s="89" t="n">
        <v>61</v>
      </c>
      <c r="R72" s="87" t="inlineStr">
        <is>
          <t>11/01/24</t>
        </is>
      </c>
      <c r="S72" s="90" t="n">
        <v>45245</v>
      </c>
      <c r="U72" s="90" t="n">
        <v>46326</v>
      </c>
    </row>
    <row r="73">
      <c r="C73" s="87" t="inlineStr">
        <is>
          <t>Roland, Mildred</t>
        </is>
      </c>
      <c r="E73" s="87" t="inlineStr">
        <is>
          <t>67</t>
        </is>
      </c>
      <c r="F73" s="87" t="inlineStr">
        <is>
          <t>2 Bed 1 Bath</t>
        </is>
      </c>
      <c r="I73" s="88" t="n">
        <v>1334</v>
      </c>
      <c r="J73" s="89" t="n">
        <v>1325</v>
      </c>
      <c r="K73" s="89" t="n">
        <v>900</v>
      </c>
      <c r="L73" s="89" t="n">
        <v>0</v>
      </c>
      <c r="M73" s="89" t="n">
        <v>0</v>
      </c>
      <c r="O73" s="89" t="n">
        <v>900</v>
      </c>
      <c r="P73" s="89" t="n">
        <v>0</v>
      </c>
      <c r="Q73" s="89" t="n">
        <v>5</v>
      </c>
      <c r="R73" s="87" t="inlineStr">
        <is>
          <t>06/01/25</t>
        </is>
      </c>
      <c r="S73" s="90" t="n">
        <v>42307</v>
      </c>
      <c r="U73" s="90" t="n">
        <v>46173</v>
      </c>
    </row>
    <row r="74">
      <c r="C74" s="87" t="inlineStr">
        <is>
          <t>Lewis, Earlisa</t>
        </is>
      </c>
      <c r="E74" s="87" t="inlineStr">
        <is>
          <t>68</t>
        </is>
      </c>
      <c r="F74" s="87" t="inlineStr">
        <is>
          <t>2 Bed 1 Bath</t>
        </is>
      </c>
      <c r="I74" s="88" t="n">
        <v>1334</v>
      </c>
      <c r="J74" s="89" t="n">
        <v>1325</v>
      </c>
      <c r="K74" s="89" t="n">
        <v>1425</v>
      </c>
      <c r="L74" s="89" t="n">
        <v>0</v>
      </c>
      <c r="M74" s="89" t="n">
        <v>0</v>
      </c>
      <c r="O74" s="89" t="n">
        <v>1425</v>
      </c>
      <c r="P74" s="89" t="n">
        <v>0</v>
      </c>
      <c r="Q74" s="89" t="n">
        <v>75</v>
      </c>
      <c r="R74" s="87" t="inlineStr">
        <is>
          <t>08/01/25</t>
        </is>
      </c>
      <c r="S74" s="90" t="n">
        <v>45139</v>
      </c>
      <c r="U74" s="90" t="n">
        <v>46234</v>
      </c>
    </row>
    <row r="75">
      <c r="C75" s="87" t="inlineStr">
        <is>
          <t>&lt;VACANT&gt;</t>
        </is>
      </c>
      <c r="E75" s="87" t="inlineStr">
        <is>
          <t>69</t>
        </is>
      </c>
      <c r="F75" s="87" t="inlineStr">
        <is>
          <t>2 Bed 1 Bath</t>
        </is>
      </c>
      <c r="I75" s="88" t="n">
        <v>1334</v>
      </c>
      <c r="J75" s="89" t="n">
        <v>1325</v>
      </c>
      <c r="K75" s="89" t="n">
        <v>1325</v>
      </c>
      <c r="L75" s="89" t="n">
        <v>1325</v>
      </c>
      <c r="M75" s="89" t="n">
        <v>0</v>
      </c>
      <c r="O75" s="89" t="n">
        <v>0</v>
      </c>
      <c r="P75" s="89" t="n">
        <v>0</v>
      </c>
      <c r="Q75" s="89" t="n">
        <v>0</v>
      </c>
    </row>
    <row r="76">
      <c r="C76" s="87" t="inlineStr">
        <is>
          <t>Ball, Ruby</t>
        </is>
      </c>
      <c r="E76" s="87" t="inlineStr">
        <is>
          <t>70</t>
        </is>
      </c>
      <c r="F76" s="87" t="inlineStr">
        <is>
          <t>2 Bed 1 Bath</t>
        </is>
      </c>
      <c r="I76" s="88" t="n">
        <v>1334</v>
      </c>
      <c r="J76" s="89" t="n">
        <v>1325</v>
      </c>
      <c r="K76" s="89" t="n">
        <v>1425</v>
      </c>
      <c r="L76" s="89" t="n">
        <v>0</v>
      </c>
      <c r="M76" s="89" t="n">
        <v>25</v>
      </c>
      <c r="O76" s="89" t="n">
        <v>1450</v>
      </c>
      <c r="P76" s="89" t="n">
        <v>1000</v>
      </c>
      <c r="Q76" s="89" t="n">
        <v>100</v>
      </c>
      <c r="R76" s="87" t="inlineStr">
        <is>
          <t>08/01/25</t>
        </is>
      </c>
      <c r="S76" s="90" t="n">
        <v>44372</v>
      </c>
      <c r="U76" s="90" t="n">
        <v>46599</v>
      </c>
    </row>
    <row r="77">
      <c r="C77" s="87" t="inlineStr">
        <is>
          <t>Williams (BEL), Earl</t>
        </is>
      </c>
      <c r="E77" s="87" t="inlineStr">
        <is>
          <t>71</t>
        </is>
      </c>
      <c r="F77" s="87" t="inlineStr">
        <is>
          <t>2 Bed 1 Bath</t>
        </is>
      </c>
      <c r="I77" s="88" t="n">
        <v>1334</v>
      </c>
      <c r="J77" s="89" t="n">
        <v>1325</v>
      </c>
      <c r="K77" s="89" t="n">
        <v>1200</v>
      </c>
      <c r="L77" s="89" t="n">
        <v>0</v>
      </c>
      <c r="M77" s="89" t="n">
        <v>0</v>
      </c>
      <c r="O77" s="89" t="n">
        <v>1200</v>
      </c>
      <c r="P77" s="89" t="n">
        <v>575</v>
      </c>
      <c r="Q77" s="89" t="n">
        <v>300</v>
      </c>
      <c r="R77" s="87" t="inlineStr">
        <is>
          <t>01/01/26</t>
        </is>
      </c>
      <c r="S77" s="90" t="n">
        <v>43332</v>
      </c>
      <c r="U77" s="90" t="n">
        <v>46387</v>
      </c>
    </row>
    <row r="78">
      <c r="C78" s="87" t="inlineStr">
        <is>
          <t>Services, TSI, Transitional</t>
        </is>
      </c>
      <c r="E78" s="87" t="inlineStr">
        <is>
          <t>72</t>
        </is>
      </c>
      <c r="F78" s="87" t="inlineStr">
        <is>
          <t>2 Bed 1 Bath</t>
        </is>
      </c>
      <c r="I78" s="88" t="n">
        <v>1334</v>
      </c>
      <c r="J78" s="89" t="n">
        <v>1325</v>
      </c>
      <c r="K78" s="89" t="n">
        <v>1425</v>
      </c>
      <c r="L78" s="89" t="n">
        <v>0</v>
      </c>
      <c r="M78" s="89" t="n">
        <v>0</v>
      </c>
      <c r="O78" s="89" t="n">
        <v>1425</v>
      </c>
      <c r="P78" s="89" t="n">
        <v>1350</v>
      </c>
      <c r="Q78" s="89" t="n">
        <v>75</v>
      </c>
      <c r="R78" s="87" t="inlineStr">
        <is>
          <t>07/01/25</t>
        </is>
      </c>
      <c r="S78" s="90" t="n">
        <v>45467</v>
      </c>
      <c r="U78" s="90" t="n">
        <v>46568</v>
      </c>
    </row>
    <row r="79">
      <c r="C79" s="87" t="inlineStr">
        <is>
          <t>Matos (RACB), Alida</t>
        </is>
      </c>
      <c r="E79" s="87" t="inlineStr">
        <is>
          <t>73</t>
        </is>
      </c>
      <c r="F79" s="87" t="inlineStr">
        <is>
          <t>2 Bed 1 Bath</t>
        </is>
      </c>
      <c r="I79" s="88" t="n">
        <v>1334</v>
      </c>
      <c r="J79" s="89" t="n">
        <v>1325</v>
      </c>
      <c r="K79" s="89" t="n">
        <v>1350</v>
      </c>
      <c r="L79" s="89" t="n">
        <v>0</v>
      </c>
      <c r="M79" s="89" t="n">
        <v>0</v>
      </c>
      <c r="O79" s="89" t="n">
        <v>1350</v>
      </c>
      <c r="P79" s="89" t="n">
        <v>300</v>
      </c>
      <c r="Q79" s="89" t="n">
        <v>125</v>
      </c>
      <c r="R79" s="87" t="inlineStr">
        <is>
          <t>06/01/25</t>
        </is>
      </c>
      <c r="S79" s="90" t="n">
        <v>37986</v>
      </c>
      <c r="U79" s="90" t="n">
        <v>46173</v>
      </c>
    </row>
    <row r="80">
      <c r="C80" s="87" t="inlineStr">
        <is>
          <t>Robinson, Felicia</t>
        </is>
      </c>
      <c r="E80" s="87" t="inlineStr">
        <is>
          <t>74</t>
        </is>
      </c>
      <c r="F80" s="87" t="inlineStr">
        <is>
          <t>2 Bed 1 Bath</t>
        </is>
      </c>
      <c r="I80" s="88" t="n">
        <v>1334</v>
      </c>
      <c r="J80" s="89" t="n">
        <v>1325</v>
      </c>
      <c r="K80" s="89" t="n">
        <v>1100</v>
      </c>
      <c r="L80" s="89" t="n">
        <v>0</v>
      </c>
      <c r="M80" s="89" t="n">
        <v>0</v>
      </c>
      <c r="O80" s="89" t="n">
        <v>1100</v>
      </c>
      <c r="P80" s="89" t="n">
        <v>575</v>
      </c>
      <c r="Q80" s="89" t="n">
        <v>75</v>
      </c>
      <c r="R80" s="87" t="inlineStr">
        <is>
          <t>10/01/25</t>
        </is>
      </c>
      <c r="S80" s="90" t="n">
        <v>43347</v>
      </c>
      <c r="U80" s="90" t="n">
        <v>46295</v>
      </c>
    </row>
    <row r="81">
      <c r="C81" s="87" t="inlineStr">
        <is>
          <t>Rodriguez, Juan</t>
        </is>
      </c>
      <c r="E81" s="87" t="inlineStr">
        <is>
          <t>75</t>
        </is>
      </c>
      <c r="F81" s="87" t="inlineStr">
        <is>
          <t>2 Bed 1 Bath</t>
        </is>
      </c>
      <c r="I81" s="88" t="n">
        <v>1334</v>
      </c>
      <c r="J81" s="89" t="n">
        <v>1325</v>
      </c>
      <c r="K81" s="89" t="n">
        <v>1400</v>
      </c>
      <c r="L81" s="89" t="n">
        <v>0</v>
      </c>
      <c r="M81" s="89" t="n">
        <v>0</v>
      </c>
      <c r="O81" s="89" t="n">
        <v>1400</v>
      </c>
      <c r="P81" s="89" t="n">
        <v>1350</v>
      </c>
      <c r="Q81" s="89" t="n">
        <v>50</v>
      </c>
      <c r="R81" s="87" t="inlineStr">
        <is>
          <t>10/01/25</t>
        </is>
      </c>
      <c r="S81" s="90" t="n">
        <v>45547</v>
      </c>
      <c r="U81" s="90" t="n">
        <v>46295</v>
      </c>
    </row>
    <row r="82">
      <c r="C82" s="87" t="inlineStr">
        <is>
          <t>Rodriguez (BMHA), Betsy</t>
        </is>
      </c>
      <c r="E82" s="87" t="inlineStr">
        <is>
          <t>76</t>
        </is>
      </c>
      <c r="F82" s="87" t="inlineStr">
        <is>
          <t>2 Bed 1 Bath</t>
        </is>
      </c>
      <c r="I82" s="88" t="n">
        <v>1334</v>
      </c>
      <c r="J82" s="89" t="n">
        <v>1325</v>
      </c>
      <c r="K82" s="89" t="n">
        <v>1200</v>
      </c>
      <c r="L82" s="89" t="n">
        <v>0</v>
      </c>
      <c r="M82" s="89" t="n">
        <v>0</v>
      </c>
      <c r="O82" s="89" t="n">
        <v>1200</v>
      </c>
      <c r="P82" s="89" t="n">
        <v>500</v>
      </c>
      <c r="Q82" s="89" t="n">
        <v>100</v>
      </c>
      <c r="R82" s="87" t="inlineStr">
        <is>
          <t>02/01/26</t>
        </is>
      </c>
      <c r="S82" s="90" t="n">
        <v>39783</v>
      </c>
      <c r="U82" s="90" t="n">
        <v>46418</v>
      </c>
    </row>
    <row r="83">
      <c r="C83" s="87" t="inlineStr">
        <is>
          <t>Clemons, Shandy</t>
        </is>
      </c>
      <c r="E83" s="87" t="inlineStr">
        <is>
          <t>77</t>
        </is>
      </c>
      <c r="F83" s="87" t="inlineStr">
        <is>
          <t>2 Bed 1 Bath</t>
        </is>
      </c>
      <c r="I83" s="88" t="n">
        <v>1334</v>
      </c>
      <c r="J83" s="89" t="n">
        <v>1325</v>
      </c>
      <c r="K83" s="89" t="n">
        <v>1300</v>
      </c>
      <c r="L83" s="89" t="n">
        <v>0</v>
      </c>
      <c r="M83" s="89" t="n">
        <v>0</v>
      </c>
      <c r="O83" s="89" t="n">
        <v>1300</v>
      </c>
      <c r="P83" s="89" t="n">
        <v>1300</v>
      </c>
      <c r="Q83" s="89" t="n">
        <v>1300</v>
      </c>
      <c r="R83" s="87" t="inlineStr">
        <is>
          <t>05/14/26</t>
        </is>
      </c>
      <c r="S83" s="90" t="n">
        <v>46188</v>
      </c>
      <c r="U83" s="90" t="n">
        <v>46568</v>
      </c>
    </row>
    <row r="84">
      <c r="C84" s="87" t="inlineStr">
        <is>
          <t>Green, Taylor</t>
        </is>
      </c>
      <c r="E84" s="87" t="inlineStr">
        <is>
          <t>78</t>
        </is>
      </c>
      <c r="F84" s="87" t="inlineStr">
        <is>
          <t>1 Bed 1 Bath</t>
        </is>
      </c>
      <c r="I84" s="88" t="n">
        <v>1149</v>
      </c>
      <c r="J84" s="89" t="n">
        <v>1195</v>
      </c>
      <c r="K84" s="89" t="n">
        <v>1195</v>
      </c>
      <c r="L84" s="89" t="n">
        <v>0</v>
      </c>
      <c r="M84" s="89" t="n">
        <v>0</v>
      </c>
      <c r="O84" s="89" t="n">
        <v>1195</v>
      </c>
      <c r="P84" s="89" t="n">
        <v>0</v>
      </c>
      <c r="Q84" s="89" t="n">
        <v>1195</v>
      </c>
      <c r="R84" s="87" t="inlineStr">
        <is>
          <t>11/05/25</t>
        </is>
      </c>
      <c r="S84" s="90" t="n">
        <v>46006</v>
      </c>
      <c r="U84" s="90" t="n">
        <v>46387</v>
      </c>
    </row>
    <row r="85">
      <c r="C85" s="87" t="inlineStr">
        <is>
          <t>Walker (RACB), Teniel</t>
        </is>
      </c>
      <c r="E85" s="87" t="inlineStr">
        <is>
          <t>79</t>
        </is>
      </c>
      <c r="F85" s="87" t="inlineStr">
        <is>
          <t>3 Bed/1Bath FP</t>
        </is>
      </c>
      <c r="I85" s="88" t="n">
        <v>1334</v>
      </c>
      <c r="J85" s="89" t="n">
        <v>1475</v>
      </c>
      <c r="K85" s="89" t="n">
        <v>1325</v>
      </c>
      <c r="L85" s="89" t="n">
        <v>0</v>
      </c>
      <c r="M85" s="89" t="n">
        <v>0</v>
      </c>
      <c r="O85" s="89" t="n">
        <v>1325</v>
      </c>
      <c r="P85" s="89" t="n">
        <v>900</v>
      </c>
      <c r="Q85" s="89" t="n">
        <v>125</v>
      </c>
      <c r="R85" s="87" t="inlineStr">
        <is>
          <t>05/01/25</t>
        </is>
      </c>
      <c r="S85" s="90" t="n">
        <v>43556</v>
      </c>
      <c r="U85" s="90" t="n">
        <v>46142</v>
      </c>
    </row>
    <row r="86">
      <c r="C86" s="87" t="inlineStr">
        <is>
          <t>Whittle, Wanda</t>
        </is>
      </c>
      <c r="E86" s="87" t="inlineStr">
        <is>
          <t>80</t>
        </is>
      </c>
      <c r="F86" s="87" t="inlineStr">
        <is>
          <t>3 Bed 1.5 Bath</t>
        </is>
      </c>
      <c r="I86" s="88" t="n">
        <v>1521</v>
      </c>
      <c r="J86" s="89" t="n">
        <v>1495</v>
      </c>
      <c r="K86" s="89" t="n">
        <v>1000</v>
      </c>
      <c r="L86" s="89" t="n">
        <v>0</v>
      </c>
      <c r="M86" s="89" t="n">
        <v>0</v>
      </c>
      <c r="O86" s="89" t="n">
        <v>1000</v>
      </c>
      <c r="P86" s="89" t="n">
        <v>0</v>
      </c>
      <c r="Q86" s="89" t="n">
        <v>25</v>
      </c>
      <c r="R86" s="87" t="inlineStr">
        <is>
          <t>11/01/24</t>
        </is>
      </c>
      <c r="S86" s="90" t="n">
        <v>42328</v>
      </c>
      <c r="U86" s="90" t="n">
        <v>46326</v>
      </c>
    </row>
    <row r="87">
      <c r="C87" s="87" t="inlineStr">
        <is>
          <t>Anderson, Eric</t>
        </is>
      </c>
      <c r="E87" s="87" t="inlineStr">
        <is>
          <t>81</t>
        </is>
      </c>
      <c r="F87" s="87" t="inlineStr">
        <is>
          <t>3 Bed 1.5 Bath</t>
        </is>
      </c>
      <c r="I87" s="88" t="n">
        <v>1521</v>
      </c>
      <c r="J87" s="89" t="n">
        <v>1495</v>
      </c>
      <c r="K87" s="89" t="n">
        <v>1400</v>
      </c>
      <c r="L87" s="89" t="n">
        <v>0</v>
      </c>
      <c r="M87" s="89" t="n">
        <v>0</v>
      </c>
      <c r="O87" s="89" t="n">
        <v>1400</v>
      </c>
      <c r="P87" s="89" t="n">
        <v>1400</v>
      </c>
      <c r="Q87" s="89" t="n">
        <v>1400</v>
      </c>
      <c r="R87" s="87" t="inlineStr">
        <is>
          <t>04/14/25</t>
        </is>
      </c>
      <c r="S87" s="90" t="n">
        <v>45762</v>
      </c>
      <c r="U87" s="90" t="n">
        <v>46507</v>
      </c>
    </row>
    <row r="88">
      <c r="C88" s="87" t="inlineStr">
        <is>
          <t>Sosa-Hearn, Griselida</t>
        </is>
      </c>
      <c r="E88" s="87" t="inlineStr">
        <is>
          <t>82</t>
        </is>
      </c>
      <c r="F88" s="87" t="inlineStr">
        <is>
          <t>3 Bed/ 1Bath</t>
        </is>
      </c>
      <c r="I88" s="88" t="n">
        <v>1334</v>
      </c>
      <c r="J88" s="89" t="n">
        <v>1325</v>
      </c>
      <c r="K88" s="89" t="n">
        <v>1400</v>
      </c>
      <c r="L88" s="89" t="n">
        <v>0</v>
      </c>
      <c r="M88" s="89" t="n">
        <v>50</v>
      </c>
      <c r="O88" s="89" t="n">
        <v>1450</v>
      </c>
      <c r="P88" s="89" t="n">
        <v>1400</v>
      </c>
      <c r="Q88" s="89" t="n">
        <v>1400</v>
      </c>
      <c r="R88" s="87" t="inlineStr">
        <is>
          <t>02/19/26</t>
        </is>
      </c>
      <c r="S88" s="90" t="n">
        <v>46096</v>
      </c>
      <c r="U88" s="90" t="n">
        <v>46507</v>
      </c>
    </row>
    <row r="89">
      <c r="C89" s="87" t="inlineStr">
        <is>
          <t>Wortman, Patrick</t>
        </is>
      </c>
      <c r="E89" s="87" t="inlineStr">
        <is>
          <t>83</t>
        </is>
      </c>
      <c r="F89" s="87" t="inlineStr">
        <is>
          <t>1 Bed 1 Bath</t>
        </is>
      </c>
      <c r="I89" s="88" t="n">
        <v>1149</v>
      </c>
      <c r="J89" s="89" t="n">
        <v>1195</v>
      </c>
      <c r="K89" s="89" t="n">
        <v>1195</v>
      </c>
      <c r="L89" s="89" t="n">
        <v>0</v>
      </c>
      <c r="M89" s="89" t="n">
        <v>0</v>
      </c>
      <c r="O89" s="89" t="n">
        <v>1195</v>
      </c>
      <c r="P89" s="89" t="n">
        <v>1195</v>
      </c>
      <c r="Q89" s="89" t="n">
        <v>1195</v>
      </c>
      <c r="R89" s="87" t="inlineStr">
        <is>
          <t>08/05/25</t>
        </is>
      </c>
      <c r="S89" s="90" t="n">
        <v>45884</v>
      </c>
      <c r="U89" s="90" t="n">
        <v>46265</v>
      </c>
    </row>
    <row r="90">
      <c r="C90" s="87" t="inlineStr">
        <is>
          <t>Turner, William</t>
        </is>
      </c>
      <c r="E90" s="87" t="inlineStr">
        <is>
          <t>84</t>
        </is>
      </c>
      <c r="F90" s="87" t="inlineStr">
        <is>
          <t>2 Bed 1 Bath</t>
        </is>
      </c>
      <c r="I90" s="88" t="n">
        <v>1334</v>
      </c>
      <c r="J90" s="89" t="n">
        <v>1325</v>
      </c>
      <c r="K90" s="89" t="n">
        <v>1200</v>
      </c>
      <c r="L90" s="89" t="n">
        <v>0</v>
      </c>
      <c r="M90" s="89" t="n">
        <v>200</v>
      </c>
      <c r="O90" s="89" t="n">
        <v>1400</v>
      </c>
      <c r="P90" s="89" t="n">
        <v>1200</v>
      </c>
      <c r="Q90" s="89" t="n">
        <v>1200</v>
      </c>
      <c r="R90" s="87" t="inlineStr">
        <is>
          <t>10/27/23</t>
        </is>
      </c>
      <c r="S90" s="90" t="n">
        <v>45229</v>
      </c>
      <c r="U90" s="90" t="n">
        <v>45596</v>
      </c>
    </row>
    <row r="91">
      <c r="C91" s="87" t="inlineStr">
        <is>
          <t>Williams, Erik</t>
        </is>
      </c>
      <c r="E91" s="87" t="inlineStr">
        <is>
          <t>85</t>
        </is>
      </c>
      <c r="F91" s="87" t="inlineStr">
        <is>
          <t>2 Bed 1 Bath</t>
        </is>
      </c>
      <c r="I91" s="88" t="n">
        <v>1334</v>
      </c>
      <c r="J91" s="89" t="n">
        <v>1325</v>
      </c>
      <c r="K91" s="89" t="n">
        <v>1100</v>
      </c>
      <c r="L91" s="89" t="n">
        <v>0</v>
      </c>
      <c r="M91" s="89" t="n">
        <v>0</v>
      </c>
      <c r="O91" s="89" t="n">
        <v>1100</v>
      </c>
      <c r="P91" s="89" t="n">
        <v>650</v>
      </c>
      <c r="Q91" s="89" t="n">
        <v>75</v>
      </c>
      <c r="R91" s="87" t="inlineStr">
        <is>
          <t>04/01/25</t>
        </is>
      </c>
      <c r="S91" s="90" t="n">
        <v>43539</v>
      </c>
      <c r="U91" s="90" t="n">
        <v>46477</v>
      </c>
    </row>
    <row r="92">
      <c r="C92" s="87" t="inlineStr">
        <is>
          <t>Brown, Marland</t>
        </is>
      </c>
      <c r="E92" s="87" t="inlineStr">
        <is>
          <t>86</t>
        </is>
      </c>
      <c r="F92" s="87" t="inlineStr">
        <is>
          <t>3 Bed 1.5 Bath</t>
        </is>
      </c>
      <c r="I92" s="88" t="n">
        <v>1521</v>
      </c>
      <c r="J92" s="89" t="n">
        <v>1495</v>
      </c>
      <c r="K92" s="89" t="n">
        <v>1495</v>
      </c>
      <c r="L92" s="89" t="n">
        <v>0</v>
      </c>
      <c r="M92" s="89" t="n">
        <v>0</v>
      </c>
      <c r="O92" s="89" t="n">
        <v>1495</v>
      </c>
      <c r="P92" s="89" t="n">
        <v>1495</v>
      </c>
      <c r="Q92" s="89" t="n">
        <v>1495</v>
      </c>
      <c r="R92" s="87" t="inlineStr">
        <is>
          <t>09/16/25</t>
        </is>
      </c>
      <c r="S92" s="90" t="n">
        <v>45931</v>
      </c>
      <c r="U92" s="90" t="n">
        <v>46660</v>
      </c>
    </row>
    <row r="93">
      <c r="C93" s="87" t="inlineStr">
        <is>
          <t>Harper, Sheontra</t>
        </is>
      </c>
      <c r="E93" s="87" t="inlineStr">
        <is>
          <t>87</t>
        </is>
      </c>
      <c r="F93" s="87" t="inlineStr">
        <is>
          <t>3 Bed 1.5 Bath</t>
        </is>
      </c>
      <c r="I93" s="88" t="n">
        <v>1521</v>
      </c>
      <c r="J93" s="89" t="n">
        <v>1495</v>
      </c>
      <c r="K93" s="89" t="n">
        <v>1400</v>
      </c>
      <c r="L93" s="89" t="n">
        <v>0</v>
      </c>
      <c r="M93" s="89" t="n">
        <v>0</v>
      </c>
      <c r="O93" s="89" t="n">
        <v>1400</v>
      </c>
      <c r="P93" s="89" t="n">
        <v>1400</v>
      </c>
      <c r="Q93" s="89" t="n">
        <v>1400</v>
      </c>
      <c r="R93" s="87" t="inlineStr">
        <is>
          <t>02/26/26</t>
        </is>
      </c>
      <c r="S93" s="90" t="n">
        <v>46081</v>
      </c>
      <c r="U93" s="90" t="n">
        <v>46446</v>
      </c>
    </row>
    <row r="94">
      <c r="C94" s="87" t="inlineStr">
        <is>
          <t>Walker, Jeanette</t>
        </is>
      </c>
      <c r="E94" s="87" t="inlineStr">
        <is>
          <t>88</t>
        </is>
      </c>
      <c r="F94" s="87" t="inlineStr">
        <is>
          <t>2 Bed 1 Bath</t>
        </is>
      </c>
      <c r="I94" s="88" t="n">
        <v>1334</v>
      </c>
      <c r="J94" s="89" t="n">
        <v>1325</v>
      </c>
      <c r="K94" s="89" t="n">
        <v>995</v>
      </c>
      <c r="L94" s="89" t="n">
        <v>0</v>
      </c>
      <c r="M94" s="89" t="n">
        <v>0</v>
      </c>
      <c r="O94" s="89" t="n">
        <v>995</v>
      </c>
      <c r="P94" s="89" t="n">
        <v>287.5</v>
      </c>
      <c r="Q94" s="89" t="n">
        <v>95</v>
      </c>
      <c r="R94" s="87" t="inlineStr">
        <is>
          <t>11/01/25</t>
        </is>
      </c>
      <c r="S94" s="90" t="n">
        <v>42984</v>
      </c>
      <c r="U94" s="90" t="n">
        <v>46691</v>
      </c>
    </row>
    <row r="95">
      <c r="C95" s="87" t="inlineStr">
        <is>
          <t>elmore, clintonia</t>
        </is>
      </c>
      <c r="E95" s="87" t="inlineStr">
        <is>
          <t>89</t>
        </is>
      </c>
      <c r="F95" s="87" t="inlineStr">
        <is>
          <t>2 Bed 1 Bath</t>
        </is>
      </c>
      <c r="I95" s="88" t="n">
        <v>1334</v>
      </c>
      <c r="J95" s="89" t="n">
        <v>1325</v>
      </c>
      <c r="K95" s="89" t="n">
        <v>1200</v>
      </c>
      <c r="L95" s="89" t="n">
        <v>0</v>
      </c>
      <c r="M95" s="89" t="n">
        <v>0</v>
      </c>
      <c r="O95" s="89" t="n">
        <v>1200</v>
      </c>
      <c r="P95" s="89" t="n">
        <v>1051</v>
      </c>
      <c r="Q95" s="89" t="n">
        <v>50</v>
      </c>
      <c r="R95" s="87" t="inlineStr">
        <is>
          <t>11/01/24</t>
        </is>
      </c>
      <c r="S95" s="90" t="n">
        <v>44270</v>
      </c>
      <c r="U95" s="90" t="n">
        <v>45961</v>
      </c>
    </row>
    <row r="96">
      <c r="C96" s="87" t="inlineStr">
        <is>
          <t>Lin, Henry</t>
        </is>
      </c>
      <c r="E96" s="87" t="inlineStr">
        <is>
          <t>90</t>
        </is>
      </c>
      <c r="F96" s="87" t="inlineStr">
        <is>
          <t>1 Bed 1 Bath</t>
        </is>
      </c>
      <c r="I96" s="88" t="n">
        <v>1149</v>
      </c>
      <c r="J96" s="89" t="n">
        <v>1195</v>
      </c>
      <c r="K96" s="89" t="n">
        <v>1145</v>
      </c>
      <c r="L96" s="89" t="n">
        <v>0</v>
      </c>
      <c r="M96" s="89" t="n">
        <v>0</v>
      </c>
      <c r="O96" s="89" t="n">
        <v>1145</v>
      </c>
      <c r="P96" s="89" t="n">
        <v>1145</v>
      </c>
      <c r="Q96" s="89" t="n">
        <v>1145</v>
      </c>
      <c r="R96" s="87" t="inlineStr">
        <is>
          <t>06/17/25</t>
        </is>
      </c>
      <c r="S96" s="90" t="n">
        <v>45831</v>
      </c>
      <c r="U96" s="90" t="n">
        <v>46568</v>
      </c>
    </row>
    <row r="97">
      <c r="C97" s="87" t="inlineStr">
        <is>
          <t>Neasman, Tionisha</t>
        </is>
      </c>
      <c r="E97" s="87" t="inlineStr">
        <is>
          <t>91</t>
        </is>
      </c>
      <c r="F97" s="87" t="inlineStr">
        <is>
          <t>3 Bed/ 1Bath</t>
        </is>
      </c>
      <c r="I97" s="88" t="n">
        <v>1541</v>
      </c>
      <c r="J97" s="89" t="n">
        <v>1495</v>
      </c>
      <c r="K97" s="89" t="n">
        <v>1400</v>
      </c>
      <c r="L97" s="89" t="n">
        <v>0</v>
      </c>
      <c r="M97" s="89" t="n">
        <v>0</v>
      </c>
      <c r="O97" s="89" t="n">
        <v>1400</v>
      </c>
      <c r="P97" s="89" t="n">
        <v>1400</v>
      </c>
      <c r="Q97" s="89" t="n">
        <v>1400</v>
      </c>
      <c r="R97" s="87" t="inlineStr">
        <is>
          <t>12/28/23</t>
        </is>
      </c>
      <c r="S97" s="90" t="n">
        <v>45267</v>
      </c>
      <c r="U97" s="90" t="n">
        <v>46387</v>
      </c>
    </row>
    <row r="98">
      <c r="C98" s="87" t="inlineStr">
        <is>
          <t>&lt;VACANT&gt;</t>
        </is>
      </c>
      <c r="E98" s="87" t="inlineStr">
        <is>
          <t>92</t>
        </is>
      </c>
      <c r="F98" s="87" t="inlineStr">
        <is>
          <t>1 Bed 1 Bath</t>
        </is>
      </c>
      <c r="I98" s="88" t="n">
        <v>1149</v>
      </c>
      <c r="J98" s="89" t="n">
        <v>1195</v>
      </c>
      <c r="K98" s="89" t="n">
        <v>1195</v>
      </c>
      <c r="L98" s="89" t="n">
        <v>1195</v>
      </c>
      <c r="M98" s="89" t="n">
        <v>0</v>
      </c>
      <c r="O98" s="89" t="n">
        <v>0</v>
      </c>
      <c r="P98" s="89" t="n">
        <v>0</v>
      </c>
      <c r="Q98" s="89" t="n">
        <v>0</v>
      </c>
    </row>
    <row r="99">
      <c r="C99" s="87" t="inlineStr">
        <is>
          <t>Hussein, Mohamud</t>
        </is>
      </c>
      <c r="E99" s="87" t="inlineStr">
        <is>
          <t>93</t>
        </is>
      </c>
      <c r="F99" s="87" t="inlineStr">
        <is>
          <t>3 Bed/ 1Bath</t>
        </is>
      </c>
      <c r="I99" s="88" t="n">
        <v>1521</v>
      </c>
      <c r="J99" s="89" t="n">
        <v>1495</v>
      </c>
      <c r="K99" s="89" t="n">
        <v>1400</v>
      </c>
      <c r="L99" s="89" t="n">
        <v>0</v>
      </c>
      <c r="M99" s="89" t="n">
        <v>0</v>
      </c>
      <c r="O99" s="89" t="n">
        <v>1400</v>
      </c>
      <c r="P99" s="89" t="n">
        <v>1400</v>
      </c>
      <c r="Q99" s="89" t="n">
        <v>1400</v>
      </c>
      <c r="R99" s="87" t="inlineStr">
        <is>
          <t>01/09/26</t>
        </is>
      </c>
      <c r="S99" s="90" t="n">
        <v>46038</v>
      </c>
      <c r="U99" s="90" t="n">
        <v>46418</v>
      </c>
    </row>
    <row r="100">
      <c r="C100" s="87" t="inlineStr">
        <is>
          <t>Jenifer, Poshine</t>
        </is>
      </c>
      <c r="E100" s="87" t="inlineStr">
        <is>
          <t>94</t>
        </is>
      </c>
      <c r="F100" s="87" t="inlineStr">
        <is>
          <t>2 Bed 1 Bath</t>
        </is>
      </c>
      <c r="I100" s="88" t="n">
        <v>1334</v>
      </c>
      <c r="J100" s="89" t="n">
        <v>1325</v>
      </c>
      <c r="K100" s="89" t="n">
        <v>1325</v>
      </c>
      <c r="L100" s="89" t="n">
        <v>0</v>
      </c>
      <c r="M100" s="89" t="n">
        <v>0</v>
      </c>
      <c r="O100" s="89" t="n">
        <v>1325</v>
      </c>
      <c r="P100" s="89" t="n">
        <v>1325</v>
      </c>
      <c r="Q100" s="89" t="n">
        <v>1325</v>
      </c>
      <c r="R100" s="87" t="inlineStr">
        <is>
          <t>02/13/25</t>
        </is>
      </c>
      <c r="S100" s="90" t="n">
        <v>45702</v>
      </c>
      <c r="U100" s="90" t="n">
        <v>46446</v>
      </c>
    </row>
    <row r="101">
      <c r="C101" s="87" t="inlineStr">
        <is>
          <t>&lt;VACANT&gt;</t>
        </is>
      </c>
      <c r="E101" s="87" t="inlineStr">
        <is>
          <t>95</t>
        </is>
      </c>
      <c r="F101" s="87" t="inlineStr">
        <is>
          <t>2 Bed 1 Bath</t>
        </is>
      </c>
      <c r="I101" s="88" t="n">
        <v>1334</v>
      </c>
      <c r="J101" s="89" t="n">
        <v>1325</v>
      </c>
      <c r="K101" s="89" t="n">
        <v>1325</v>
      </c>
      <c r="L101" s="89" t="n">
        <v>1325</v>
      </c>
      <c r="M101" s="89" t="n">
        <v>0</v>
      </c>
      <c r="O101" s="89" t="n">
        <v>0</v>
      </c>
      <c r="P101" s="89" t="n">
        <v>0</v>
      </c>
      <c r="Q101" s="89" t="n">
        <v>0</v>
      </c>
    </row>
    <row r="102">
      <c r="C102" s="87" t="inlineStr">
        <is>
          <t>Smith (BMHA), Jacqualyn</t>
        </is>
      </c>
      <c r="E102" s="87" t="inlineStr">
        <is>
          <t>96</t>
        </is>
      </c>
      <c r="F102" s="87" t="inlineStr">
        <is>
          <t>2 Bed 1 Bath</t>
        </is>
      </c>
      <c r="I102" s="88" t="n">
        <v>1334</v>
      </c>
      <c r="J102" s="89" t="n">
        <v>1325</v>
      </c>
      <c r="K102" s="89" t="n">
        <v>1000</v>
      </c>
      <c r="L102" s="89" t="n">
        <v>0</v>
      </c>
      <c r="M102" s="89" t="n">
        <v>0</v>
      </c>
      <c r="O102" s="89" t="n">
        <v>1000</v>
      </c>
      <c r="P102" s="89" t="n">
        <v>0</v>
      </c>
      <c r="Q102" s="89" t="n">
        <v>50</v>
      </c>
      <c r="R102" s="87" t="inlineStr">
        <is>
          <t>06/01/25</t>
        </is>
      </c>
      <c r="S102" s="90" t="n">
        <v>42783</v>
      </c>
      <c r="U102" s="90" t="n">
        <v>46173</v>
      </c>
    </row>
    <row r="103">
      <c r="C103" s="87" t="inlineStr">
        <is>
          <t>Coleman, Joseph</t>
        </is>
      </c>
      <c r="E103" s="87" t="inlineStr">
        <is>
          <t>97</t>
        </is>
      </c>
      <c r="F103" s="87" t="inlineStr">
        <is>
          <t>2 Bed 1 Bath</t>
        </is>
      </c>
      <c r="I103" s="88" t="n">
        <v>1334</v>
      </c>
      <c r="J103" s="89" t="n">
        <v>1325</v>
      </c>
      <c r="K103" s="89" t="n">
        <v>825</v>
      </c>
      <c r="L103" s="89" t="n">
        <v>0</v>
      </c>
      <c r="M103" s="89" t="n">
        <v>0</v>
      </c>
      <c r="O103" s="89" t="n">
        <v>825</v>
      </c>
      <c r="P103" s="89" t="n">
        <v>595</v>
      </c>
      <c r="Q103" s="89" t="n">
        <v>75</v>
      </c>
      <c r="R103" s="87" t="inlineStr">
        <is>
          <t>01/01/25</t>
        </is>
      </c>
      <c r="S103" s="90" t="n">
        <v>43433</v>
      </c>
      <c r="U103" s="90" t="n">
        <v>46022</v>
      </c>
    </row>
    <row r="104">
      <c r="C104" s="87" t="inlineStr">
        <is>
          <t>Bennett, Dezarai</t>
        </is>
      </c>
      <c r="E104" s="87" t="inlineStr">
        <is>
          <t>98</t>
        </is>
      </c>
      <c r="F104" s="87" t="inlineStr">
        <is>
          <t>2 Bed 1 Bath</t>
        </is>
      </c>
      <c r="I104" s="88" t="n">
        <v>1334</v>
      </c>
      <c r="J104" s="89" t="n">
        <v>1325</v>
      </c>
      <c r="K104" s="89" t="n">
        <v>1325</v>
      </c>
      <c r="L104" s="89" t="n">
        <v>0</v>
      </c>
      <c r="M104" s="89" t="n">
        <v>0</v>
      </c>
      <c r="O104" s="89" t="n">
        <v>1325</v>
      </c>
      <c r="P104" s="89" t="n">
        <v>1325</v>
      </c>
      <c r="Q104" s="89" t="n">
        <v>1325</v>
      </c>
      <c r="R104" s="87" t="inlineStr">
        <is>
          <t>10/25/24</t>
        </is>
      </c>
      <c r="S104" s="90" t="n">
        <v>45593</v>
      </c>
      <c r="U104" s="90" t="n">
        <v>46326</v>
      </c>
    </row>
    <row r="105">
      <c r="C105" s="87" t="inlineStr">
        <is>
          <t>Harper, Robert</t>
        </is>
      </c>
      <c r="E105" s="87" t="inlineStr">
        <is>
          <t>99</t>
        </is>
      </c>
      <c r="F105" s="87" t="inlineStr">
        <is>
          <t>2 Bed 1 Bath</t>
        </is>
      </c>
      <c r="I105" s="88" t="n">
        <v>1334</v>
      </c>
      <c r="J105" s="89" t="n">
        <v>1325</v>
      </c>
      <c r="K105" s="89" t="n">
        <v>1075</v>
      </c>
      <c r="L105" s="89" t="n">
        <v>0</v>
      </c>
      <c r="M105" s="89" t="n">
        <v>0</v>
      </c>
      <c r="O105" s="89" t="n">
        <v>1075</v>
      </c>
      <c r="P105" s="89" t="n">
        <v>575</v>
      </c>
      <c r="Q105" s="89" t="n">
        <v>75</v>
      </c>
      <c r="R105" s="87" t="inlineStr">
        <is>
          <t>11/01/25</t>
        </is>
      </c>
      <c r="S105" s="90" t="n">
        <v>41974</v>
      </c>
      <c r="U105" s="90" t="n">
        <v>46326</v>
      </c>
    </row>
    <row r="106">
      <c r="C106" s="87" t="inlineStr">
        <is>
          <t>Spencer, Gerry</t>
        </is>
      </c>
      <c r="E106" s="87" t="inlineStr">
        <is>
          <t>100</t>
        </is>
      </c>
      <c r="F106" s="87" t="inlineStr">
        <is>
          <t>2 Bed 1 Bath</t>
        </is>
      </c>
      <c r="I106" s="88" t="n">
        <v>1334</v>
      </c>
      <c r="J106" s="89" t="n">
        <v>1325</v>
      </c>
      <c r="K106" s="89" t="n">
        <v>1475</v>
      </c>
      <c r="L106" s="89" t="n">
        <v>0</v>
      </c>
      <c r="M106" s="89" t="n">
        <v>0</v>
      </c>
      <c r="O106" s="89" t="n">
        <v>1475</v>
      </c>
      <c r="P106" s="89" t="n">
        <v>1300</v>
      </c>
      <c r="Q106" s="89" t="n">
        <v>50</v>
      </c>
      <c r="R106" s="87" t="inlineStr">
        <is>
          <t>08/01/25</t>
        </is>
      </c>
      <c r="S106" s="90" t="n">
        <v>44769</v>
      </c>
      <c r="U106" s="90" t="n">
        <v>46599</v>
      </c>
    </row>
    <row r="107">
      <c r="C107" s="87" t="inlineStr">
        <is>
          <t>&lt;VACANT&gt;</t>
        </is>
      </c>
      <c r="E107" s="87" t="inlineStr">
        <is>
          <t>101</t>
        </is>
      </c>
      <c r="F107" s="87" t="inlineStr">
        <is>
          <t>2 Bed 1 Bath</t>
        </is>
      </c>
      <c r="I107" s="88" t="n">
        <v>1334</v>
      </c>
      <c r="J107" s="89" t="n">
        <v>1325</v>
      </c>
      <c r="K107" s="89" t="n">
        <v>1325</v>
      </c>
      <c r="L107" s="89" t="n">
        <v>1325</v>
      </c>
      <c r="M107" s="89" t="n">
        <v>0</v>
      </c>
      <c r="O107" s="89" t="n">
        <v>0</v>
      </c>
      <c r="P107" s="89" t="n">
        <v>0</v>
      </c>
      <c r="Q107" s="89" t="n">
        <v>0</v>
      </c>
    </row>
    <row r="108">
      <c r="C108" s="87" t="inlineStr">
        <is>
          <t>Perez (RACB), Estralita</t>
        </is>
      </c>
      <c r="E108" s="87" t="inlineStr">
        <is>
          <t>102</t>
        </is>
      </c>
      <c r="F108" s="87" t="inlineStr">
        <is>
          <t>2 Bed 1 Bath</t>
        </is>
      </c>
      <c r="I108" s="88" t="n">
        <v>1334</v>
      </c>
      <c r="J108" s="89" t="n">
        <v>1325</v>
      </c>
      <c r="K108" s="89" t="n">
        <v>1225</v>
      </c>
      <c r="L108" s="89" t="n">
        <v>0</v>
      </c>
      <c r="M108" s="89" t="n">
        <v>0</v>
      </c>
      <c r="O108" s="89" t="n">
        <v>1225</v>
      </c>
      <c r="P108" s="89" t="n">
        <v>320</v>
      </c>
      <c r="Q108" s="89" t="n">
        <v>100</v>
      </c>
      <c r="R108" s="87" t="inlineStr">
        <is>
          <t>06/01/25</t>
        </is>
      </c>
      <c r="S108" s="90" t="n">
        <v>36831</v>
      </c>
      <c r="U108" s="90" t="n">
        <v>46538</v>
      </c>
    </row>
    <row r="109">
      <c r="C109" s="87" t="inlineStr">
        <is>
          <t>Santiago (RACB), Grace</t>
        </is>
      </c>
      <c r="E109" s="87" t="inlineStr">
        <is>
          <t>103</t>
        </is>
      </c>
      <c r="F109" s="87" t="inlineStr">
        <is>
          <t>2 Bed 1 Bath</t>
        </is>
      </c>
      <c r="I109" s="88" t="n">
        <v>1334</v>
      </c>
      <c r="J109" s="89" t="n">
        <v>1325</v>
      </c>
      <c r="K109" s="89" t="n">
        <v>1050</v>
      </c>
      <c r="L109" s="89" t="n">
        <v>0</v>
      </c>
      <c r="M109" s="89" t="n">
        <v>0</v>
      </c>
      <c r="O109" s="89" t="n">
        <v>1050</v>
      </c>
      <c r="P109" s="89" t="n">
        <v>0</v>
      </c>
      <c r="Q109" s="89" t="n">
        <v>100</v>
      </c>
      <c r="R109" s="87" t="inlineStr">
        <is>
          <t>05/01/24</t>
        </is>
      </c>
      <c r="S109" s="90" t="n">
        <v>43192</v>
      </c>
      <c r="U109" s="90" t="n">
        <v>46507</v>
      </c>
    </row>
    <row r="110">
      <c r="C110" s="87" t="inlineStr">
        <is>
          <t>Sanchez, Melissa</t>
        </is>
      </c>
      <c r="E110" s="87" t="inlineStr">
        <is>
          <t>104</t>
        </is>
      </c>
      <c r="F110" s="87" t="inlineStr">
        <is>
          <t>2 Bed 1 Bath</t>
        </is>
      </c>
      <c r="I110" s="88" t="n">
        <v>1334</v>
      </c>
      <c r="J110" s="89" t="n">
        <v>1325</v>
      </c>
      <c r="K110" s="89" t="n">
        <v>1300</v>
      </c>
      <c r="L110" s="89" t="n">
        <v>0</v>
      </c>
      <c r="M110" s="89" t="n">
        <v>0</v>
      </c>
      <c r="O110" s="89" t="n">
        <v>1300</v>
      </c>
      <c r="P110" s="89" t="n">
        <v>925</v>
      </c>
      <c r="Q110" s="89" t="n">
        <v>50</v>
      </c>
      <c r="R110" s="87" t="inlineStr">
        <is>
          <t>02/01/26</t>
        </is>
      </c>
      <c r="S110" s="90" t="n">
        <v>44216</v>
      </c>
      <c r="U110" s="90" t="n">
        <v>46418</v>
      </c>
    </row>
    <row r="111">
      <c r="C111" s="87" t="inlineStr">
        <is>
          <t>Fair, Babette</t>
        </is>
      </c>
      <c r="E111" s="87" t="inlineStr">
        <is>
          <t>105</t>
        </is>
      </c>
      <c r="F111" s="87" t="inlineStr">
        <is>
          <t>2 Bed 1 Bath</t>
        </is>
      </c>
      <c r="I111" s="88" t="n">
        <v>1334</v>
      </c>
      <c r="J111" s="89" t="n">
        <v>1325</v>
      </c>
      <c r="K111" s="89" t="n">
        <v>1095</v>
      </c>
      <c r="L111" s="89" t="n">
        <v>0</v>
      </c>
      <c r="M111" s="89" t="n">
        <v>0</v>
      </c>
      <c r="O111" s="89" t="n">
        <v>1095</v>
      </c>
      <c r="P111" s="89" t="n">
        <v>575</v>
      </c>
      <c r="Q111" s="89" t="n">
        <v>95</v>
      </c>
      <c r="R111" s="87" t="inlineStr">
        <is>
          <t>08/01/25</t>
        </is>
      </c>
      <c r="S111" s="90" t="n">
        <v>40756</v>
      </c>
      <c r="U111" s="90" t="n">
        <v>46599</v>
      </c>
    </row>
    <row r="112">
      <c r="C112" s="87" t="inlineStr">
        <is>
          <t>Harris (BEL), Willette</t>
        </is>
      </c>
      <c r="E112" s="87" t="inlineStr">
        <is>
          <t>106</t>
        </is>
      </c>
      <c r="F112" s="87" t="inlineStr">
        <is>
          <t>2 Bed 1 Bath</t>
        </is>
      </c>
      <c r="I112" s="88" t="n">
        <v>1334</v>
      </c>
      <c r="J112" s="89" t="n">
        <v>1275</v>
      </c>
      <c r="K112" s="89" t="n">
        <v>1209</v>
      </c>
      <c r="L112" s="89" t="n">
        <v>0</v>
      </c>
      <c r="M112" s="89" t="n">
        <v>0</v>
      </c>
      <c r="O112" s="89" t="n">
        <v>1209</v>
      </c>
      <c r="P112" s="89" t="n">
        <v>1209</v>
      </c>
      <c r="Q112" s="89" t="n">
        <v>1209</v>
      </c>
      <c r="R112" s="87" t="inlineStr">
        <is>
          <t>10/29/25</t>
        </is>
      </c>
      <c r="S112" s="90" t="n">
        <v>45962</v>
      </c>
      <c r="U112" s="90" t="n">
        <v>46326</v>
      </c>
    </row>
    <row r="113">
      <c r="C113" s="87" t="inlineStr">
        <is>
          <t>Colon (BEL), Linet</t>
        </is>
      </c>
      <c r="E113" s="87" t="inlineStr">
        <is>
          <t>107</t>
        </is>
      </c>
      <c r="F113" s="87" t="inlineStr">
        <is>
          <t>2 Bed 1 Bath</t>
        </is>
      </c>
      <c r="I113" s="88" t="n">
        <v>1334</v>
      </c>
      <c r="J113" s="89" t="n">
        <v>1325</v>
      </c>
      <c r="K113" s="89" t="n">
        <v>1209</v>
      </c>
      <c r="L113" s="89" t="n">
        <v>0</v>
      </c>
      <c r="M113" s="89" t="n">
        <v>0</v>
      </c>
      <c r="O113" s="89" t="n">
        <v>1209</v>
      </c>
      <c r="P113" s="89" t="n">
        <v>0</v>
      </c>
      <c r="Q113" s="89" t="n">
        <v>1209</v>
      </c>
      <c r="R113" s="87" t="inlineStr">
        <is>
          <t>06/20/25</t>
        </is>
      </c>
      <c r="S113" s="90" t="n">
        <v>45839</v>
      </c>
      <c r="U113" s="90" t="n">
        <v>46203</v>
      </c>
    </row>
    <row r="114">
      <c r="C114" s="87" t="inlineStr">
        <is>
          <t>Bernard (RACB), Ana</t>
        </is>
      </c>
      <c r="E114" s="87" t="inlineStr">
        <is>
          <t>108</t>
        </is>
      </c>
      <c r="F114" s="87" t="inlineStr">
        <is>
          <t>2 Bed 1 Bath</t>
        </is>
      </c>
      <c r="I114" s="88" t="n">
        <v>1334</v>
      </c>
      <c r="J114" s="89" t="n">
        <v>1325</v>
      </c>
      <c r="K114" s="89" t="n">
        <v>1200</v>
      </c>
      <c r="L114" s="89" t="n">
        <v>0</v>
      </c>
      <c r="M114" s="89" t="n">
        <v>0</v>
      </c>
      <c r="O114" s="89" t="n">
        <v>1200</v>
      </c>
      <c r="P114" s="89" t="n">
        <v>0</v>
      </c>
      <c r="Q114" s="89" t="n">
        <v>375</v>
      </c>
      <c r="R114" s="87" t="inlineStr">
        <is>
          <t>04/01/24</t>
        </is>
      </c>
      <c r="S114" s="90" t="n">
        <v>42594</v>
      </c>
      <c r="U114" s="90" t="n">
        <v>46112</v>
      </c>
    </row>
    <row r="115">
      <c r="C115" s="87" t="inlineStr">
        <is>
          <t>Cardona, Tavializ</t>
        </is>
      </c>
      <c r="E115" s="87" t="inlineStr">
        <is>
          <t>109</t>
        </is>
      </c>
      <c r="F115" s="87" t="inlineStr">
        <is>
          <t>3 Bed 1.5 Bath</t>
        </is>
      </c>
      <c r="I115" s="88" t="n">
        <v>1521</v>
      </c>
      <c r="J115" s="89" t="n">
        <v>1475</v>
      </c>
      <c r="K115" s="89" t="n">
        <v>1175</v>
      </c>
      <c r="L115" s="89" t="n">
        <v>0</v>
      </c>
      <c r="M115" s="89" t="n">
        <v>0</v>
      </c>
      <c r="O115" s="89" t="n">
        <v>1175</v>
      </c>
      <c r="P115" s="89" t="n">
        <v>675</v>
      </c>
      <c r="Q115" s="89" t="n">
        <v>75</v>
      </c>
      <c r="R115" s="87" t="inlineStr">
        <is>
          <t>03/01/25</t>
        </is>
      </c>
      <c r="S115" s="90" t="n">
        <v>42795</v>
      </c>
      <c r="U115" s="90" t="n">
        <v>46446</v>
      </c>
    </row>
    <row r="116">
      <c r="C116" s="87" t="inlineStr">
        <is>
          <t>Carrion (EC), Rosemarie</t>
        </is>
      </c>
      <c r="E116" s="87" t="inlineStr">
        <is>
          <t>110</t>
        </is>
      </c>
      <c r="F116" s="87" t="inlineStr">
        <is>
          <t>3 Bed 1.5 Bath</t>
        </is>
      </c>
      <c r="I116" s="88" t="n">
        <v>1521</v>
      </c>
      <c r="J116" s="89" t="n">
        <v>1325</v>
      </c>
      <c r="K116" s="89" t="n">
        <v>1125</v>
      </c>
      <c r="L116" s="89" t="n">
        <v>0</v>
      </c>
      <c r="M116" s="89" t="n">
        <v>50</v>
      </c>
      <c r="O116" s="89" t="n">
        <v>1175</v>
      </c>
      <c r="P116" s="89" t="n">
        <v>0</v>
      </c>
      <c r="Q116" s="89" t="n">
        <v>75</v>
      </c>
      <c r="R116" s="87" t="inlineStr">
        <is>
          <t>12/01/24</t>
        </is>
      </c>
      <c r="S116" s="90" t="n">
        <v>43070</v>
      </c>
      <c r="U116" s="90" t="n">
        <v>46356</v>
      </c>
    </row>
    <row r="117">
      <c r="C117" s="87" t="inlineStr">
        <is>
          <t>Rembert, Kamren</t>
        </is>
      </c>
      <c r="E117" s="87" t="inlineStr">
        <is>
          <t>111</t>
        </is>
      </c>
      <c r="F117" s="87" t="inlineStr">
        <is>
          <t>2 Bed 1 Bath</t>
        </is>
      </c>
      <c r="I117" s="88" t="n">
        <v>1334</v>
      </c>
      <c r="J117" s="89" t="n">
        <v>1325</v>
      </c>
      <c r="K117" s="89" t="n">
        <v>1325</v>
      </c>
      <c r="L117" s="89" t="n">
        <v>0</v>
      </c>
      <c r="M117" s="89" t="n">
        <v>0</v>
      </c>
      <c r="O117" s="89" t="n">
        <v>1325</v>
      </c>
      <c r="P117" s="89" t="n">
        <v>0</v>
      </c>
      <c r="Q117" s="89" t="n">
        <v>1325</v>
      </c>
      <c r="R117" s="87" t="inlineStr">
        <is>
          <t>12/22/25</t>
        </is>
      </c>
      <c r="S117" s="90" t="n">
        <v>46023</v>
      </c>
      <c r="U117" s="90" t="n">
        <v>46418</v>
      </c>
    </row>
    <row r="118">
      <c r="C118" s="87" t="inlineStr">
        <is>
          <t>Arroyo, Alexander</t>
        </is>
      </c>
      <c r="E118" s="87" t="inlineStr">
        <is>
          <t>112</t>
        </is>
      </c>
      <c r="F118" s="87" t="inlineStr">
        <is>
          <t>2 Bed 1 Bath</t>
        </is>
      </c>
      <c r="I118" s="88" t="n">
        <v>1334</v>
      </c>
      <c r="J118" s="89" t="n">
        <v>1325</v>
      </c>
      <c r="K118" s="89" t="n">
        <v>1100</v>
      </c>
      <c r="L118" s="89" t="n">
        <v>0</v>
      </c>
      <c r="M118" s="89" t="n">
        <v>50</v>
      </c>
      <c r="O118" s="89" t="n">
        <v>1150</v>
      </c>
      <c r="P118" s="89" t="n">
        <v>575</v>
      </c>
      <c r="Q118" s="89" t="n">
        <v>75</v>
      </c>
      <c r="R118" s="87" t="inlineStr">
        <is>
          <t>10/01/25</t>
        </is>
      </c>
      <c r="S118" s="90" t="n">
        <v>43011</v>
      </c>
      <c r="U118" s="90" t="n">
        <v>46295</v>
      </c>
    </row>
    <row r="119">
      <c r="C119" s="87" t="inlineStr">
        <is>
          <t>&lt;VACANT&gt;</t>
        </is>
      </c>
      <c r="E119" s="87" t="inlineStr">
        <is>
          <t>113</t>
        </is>
      </c>
      <c r="F119" s="87" t="inlineStr">
        <is>
          <t>2 Bed 1 Bath</t>
        </is>
      </c>
      <c r="I119" s="88" t="n">
        <v>1334</v>
      </c>
      <c r="J119" s="89" t="n">
        <v>1325</v>
      </c>
      <c r="K119" s="89" t="n">
        <v>1325</v>
      </c>
      <c r="L119" s="89" t="n">
        <v>1325</v>
      </c>
      <c r="M119" s="89" t="n">
        <v>0</v>
      </c>
      <c r="O119" s="89" t="n">
        <v>0</v>
      </c>
      <c r="P119" s="89" t="n">
        <v>0</v>
      </c>
      <c r="Q119" s="89" t="n">
        <v>0</v>
      </c>
    </row>
    <row r="120">
      <c r="C120" s="87" t="inlineStr">
        <is>
          <t>Bishop (BMHA), Candice</t>
        </is>
      </c>
      <c r="E120" s="87" t="inlineStr">
        <is>
          <t>114</t>
        </is>
      </c>
      <c r="F120" s="87" t="inlineStr">
        <is>
          <t>3 Bed/ 1Bath</t>
        </is>
      </c>
      <c r="I120" s="88" t="n">
        <v>1521</v>
      </c>
      <c r="J120" s="89" t="n">
        <v>1475</v>
      </c>
      <c r="K120" s="89" t="n">
        <v>1400</v>
      </c>
      <c r="L120" s="89" t="n">
        <v>0</v>
      </c>
      <c r="M120" s="89" t="n">
        <v>0</v>
      </c>
      <c r="O120" s="89" t="n">
        <v>1400</v>
      </c>
      <c r="P120" s="89" t="n">
        <v>0</v>
      </c>
      <c r="Q120" s="89" t="n">
        <v>1400</v>
      </c>
      <c r="R120" s="87" t="inlineStr">
        <is>
          <t>02/20/26</t>
        </is>
      </c>
      <c r="S120" s="90" t="n">
        <v>46082</v>
      </c>
      <c r="U120" s="90" t="n">
        <v>46446</v>
      </c>
    </row>
    <row r="121">
      <c r="C121" s="87" t="inlineStr">
        <is>
          <t>&lt;VACANT&gt;</t>
        </is>
      </c>
      <c r="E121" s="87" t="inlineStr">
        <is>
          <t>115</t>
        </is>
      </c>
      <c r="F121" s="87" t="inlineStr">
        <is>
          <t>1 Bed 1 Bath</t>
        </is>
      </c>
      <c r="I121" s="88" t="n">
        <v>1141</v>
      </c>
      <c r="J121" s="89" t="n">
        <v>1195</v>
      </c>
      <c r="K121" s="89" t="n">
        <v>1195</v>
      </c>
      <c r="L121" s="89" t="n">
        <v>1195</v>
      </c>
      <c r="M121" s="89" t="n">
        <v>0</v>
      </c>
      <c r="O121" s="89" t="n">
        <v>0</v>
      </c>
      <c r="P121" s="89" t="n">
        <v>0</v>
      </c>
      <c r="Q121" s="89" t="n">
        <v>0</v>
      </c>
    </row>
    <row r="122">
      <c r="C122" s="87" t="inlineStr">
        <is>
          <t>Wilmet (BEL), Joann</t>
        </is>
      </c>
      <c r="E122" s="87" t="inlineStr">
        <is>
          <t>116</t>
        </is>
      </c>
      <c r="F122" s="87" t="inlineStr">
        <is>
          <t>2 Bed 1 Bath</t>
        </is>
      </c>
      <c r="I122" s="88" t="n">
        <v>1334</v>
      </c>
      <c r="J122" s="89" t="n">
        <v>1325</v>
      </c>
      <c r="K122" s="89" t="n">
        <v>1150</v>
      </c>
      <c r="L122" s="89" t="n">
        <v>0</v>
      </c>
      <c r="M122" s="89" t="n">
        <v>0</v>
      </c>
      <c r="O122" s="89" t="n">
        <v>1150</v>
      </c>
      <c r="P122" s="89" t="n">
        <v>525</v>
      </c>
      <c r="Q122" s="89" t="n">
        <v>-1150</v>
      </c>
      <c r="R122" s="87" t="inlineStr">
        <is>
          <t>07/02/25</t>
        </is>
      </c>
      <c r="S122" s="90" t="n">
        <v>41153</v>
      </c>
      <c r="U122" s="90" t="n">
        <v>46203</v>
      </c>
    </row>
    <row r="123">
      <c r="C123" s="87" t="inlineStr">
        <is>
          <t>Reed, Siann</t>
        </is>
      </c>
      <c r="E123" s="87" t="inlineStr">
        <is>
          <t>117</t>
        </is>
      </c>
      <c r="F123" s="87" t="inlineStr">
        <is>
          <t>2 Bed 1 Bath</t>
        </is>
      </c>
      <c r="I123" s="88" t="n">
        <v>1334</v>
      </c>
      <c r="J123" s="89" t="n">
        <v>1325</v>
      </c>
      <c r="K123" s="89" t="n">
        <v>1325</v>
      </c>
      <c r="L123" s="89" t="n">
        <v>0</v>
      </c>
      <c r="M123" s="89" t="n">
        <v>0</v>
      </c>
      <c r="O123" s="89" t="n">
        <v>1325</v>
      </c>
      <c r="P123" s="89" t="n">
        <v>1325</v>
      </c>
      <c r="Q123" s="89" t="n">
        <v>1325</v>
      </c>
      <c r="R123" s="87" t="inlineStr">
        <is>
          <t>07/14/25</t>
        </is>
      </c>
      <c r="S123" s="90" t="n">
        <v>45853</v>
      </c>
      <c r="U123" s="90" t="n">
        <v>46234</v>
      </c>
    </row>
    <row r="124">
      <c r="C124" s="87" t="inlineStr">
        <is>
          <t>Henderson (BFNC), Marilyn</t>
        </is>
      </c>
      <c r="E124" s="87" t="inlineStr">
        <is>
          <t>118</t>
        </is>
      </c>
      <c r="F124" s="87" t="inlineStr">
        <is>
          <t>1 Bed 1 Bath</t>
        </is>
      </c>
      <c r="I124" s="88" t="n">
        <v>1149</v>
      </c>
      <c r="J124" s="89" t="n">
        <v>1195</v>
      </c>
      <c r="K124" s="89" t="n">
        <v>1195</v>
      </c>
      <c r="L124" s="89" t="n">
        <v>0</v>
      </c>
      <c r="M124" s="89" t="n">
        <v>0</v>
      </c>
      <c r="O124" s="89" t="n">
        <v>1195</v>
      </c>
      <c r="P124" s="89" t="n">
        <v>0</v>
      </c>
      <c r="Q124" s="89" t="n">
        <v>1195</v>
      </c>
      <c r="R124" s="87" t="inlineStr">
        <is>
          <t>09/30/25</t>
        </is>
      </c>
      <c r="S124" s="90" t="n">
        <v>45923</v>
      </c>
      <c r="U124" s="90" t="n">
        <v>46295</v>
      </c>
    </row>
    <row r="125">
      <c r="C125" s="87" t="inlineStr">
        <is>
          <t>&lt;VACANT&gt;</t>
        </is>
      </c>
      <c r="E125" s="87" t="inlineStr">
        <is>
          <t>119</t>
        </is>
      </c>
      <c r="F125" s="87" t="inlineStr">
        <is>
          <t>3 Bed/ 1Bath</t>
        </is>
      </c>
      <c r="I125" s="88" t="n">
        <v>1521</v>
      </c>
      <c r="J125" s="89" t="n">
        <v>1495</v>
      </c>
      <c r="K125" s="89" t="n">
        <v>1495</v>
      </c>
      <c r="L125" s="89" t="n">
        <v>1495</v>
      </c>
      <c r="M125" s="89" t="n">
        <v>0</v>
      </c>
      <c r="O125" s="89" t="n">
        <v>0</v>
      </c>
      <c r="P125" s="89" t="n">
        <v>0</v>
      </c>
      <c r="Q125" s="89" t="n">
        <v>0</v>
      </c>
    </row>
    <row r="126">
      <c r="C126" s="87" t="inlineStr">
        <is>
          <t>Smith, Aaron</t>
        </is>
      </c>
      <c r="E126" s="87" t="inlineStr">
        <is>
          <t>120</t>
        </is>
      </c>
      <c r="F126" s="87" t="inlineStr">
        <is>
          <t>1 Bed 1 Bath</t>
        </is>
      </c>
      <c r="I126" s="88" t="n">
        <v>1149</v>
      </c>
      <c r="J126" s="89" t="n">
        <v>1195</v>
      </c>
      <c r="K126" s="89" t="n">
        <v>1150</v>
      </c>
      <c r="L126" s="89" t="n">
        <v>0</v>
      </c>
      <c r="M126" s="89" t="n">
        <v>0</v>
      </c>
      <c r="O126" s="89" t="n">
        <v>1150</v>
      </c>
      <c r="P126" s="89" t="n">
        <v>0</v>
      </c>
      <c r="Q126" s="89" t="n">
        <v>1150</v>
      </c>
      <c r="R126" s="87" t="inlineStr">
        <is>
          <t>07/02/26</t>
        </is>
      </c>
      <c r="S126" s="90" t="n">
        <v>46206</v>
      </c>
      <c r="U126" s="90" t="n">
        <v>46599</v>
      </c>
    </row>
    <row r="127">
      <c r="C127" s="87" t="inlineStr">
        <is>
          <t>Harden, Andrea</t>
        </is>
      </c>
      <c r="E127" s="87" t="inlineStr">
        <is>
          <t>121</t>
        </is>
      </c>
      <c r="F127" s="87" t="inlineStr">
        <is>
          <t>3 Bed 1.5 Bath</t>
        </is>
      </c>
      <c r="I127" s="88" t="n">
        <v>1521</v>
      </c>
      <c r="J127" s="89" t="n">
        <v>1475</v>
      </c>
      <c r="K127" s="89" t="n">
        <v>1450</v>
      </c>
      <c r="L127" s="89" t="n">
        <v>0</v>
      </c>
      <c r="M127" s="89" t="n">
        <v>50</v>
      </c>
      <c r="O127" s="89" t="n">
        <v>1500</v>
      </c>
      <c r="P127" s="89" t="n">
        <v>1350</v>
      </c>
      <c r="Q127" s="89" t="n">
        <v>50</v>
      </c>
      <c r="R127" s="87" t="inlineStr">
        <is>
          <t>05/01/25</t>
        </is>
      </c>
      <c r="S127" s="90" t="n">
        <v>45031</v>
      </c>
      <c r="U127" s="90" t="n">
        <v>46507</v>
      </c>
    </row>
    <row r="128">
      <c r="C128" s="87" t="inlineStr">
        <is>
          <t>TSI, Transitional Services</t>
        </is>
      </c>
      <c r="E128" s="87" t="inlineStr">
        <is>
          <t>122</t>
        </is>
      </c>
      <c r="F128" s="87" t="inlineStr">
        <is>
          <t>1 Bed 1 Bath</t>
        </is>
      </c>
      <c r="I128" s="88" t="n">
        <v>1141</v>
      </c>
      <c r="J128" s="89" t="n">
        <v>1195</v>
      </c>
      <c r="K128" s="89" t="n">
        <v>1195</v>
      </c>
      <c r="L128" s="89" t="n">
        <v>0</v>
      </c>
      <c r="M128" s="89" t="n">
        <v>0</v>
      </c>
      <c r="O128" s="89" t="n">
        <v>1195</v>
      </c>
      <c r="P128" s="89" t="n">
        <v>1100</v>
      </c>
      <c r="Q128" s="89" t="n">
        <v>95</v>
      </c>
      <c r="R128" s="87" t="inlineStr">
        <is>
          <t>04/01/25</t>
        </is>
      </c>
      <c r="S128" s="90" t="n">
        <v>45383</v>
      </c>
      <c r="U128" s="90" t="n">
        <v>46477</v>
      </c>
    </row>
    <row r="129">
      <c r="C129" s="87" t="inlineStr">
        <is>
          <t>Ubinas, Mariah</t>
        </is>
      </c>
      <c r="E129" s="87" t="inlineStr">
        <is>
          <t>123</t>
        </is>
      </c>
      <c r="F129" s="87" t="inlineStr">
        <is>
          <t>3 Bed/1Bath FP</t>
        </is>
      </c>
      <c r="I129" s="88" t="n">
        <v>1521</v>
      </c>
      <c r="J129" s="89" t="n">
        <v>1350</v>
      </c>
      <c r="K129" s="89" t="n">
        <v>1375</v>
      </c>
      <c r="L129" s="89" t="n">
        <v>0</v>
      </c>
      <c r="M129" s="89" t="n">
        <v>0</v>
      </c>
      <c r="O129" s="89" t="n">
        <v>1375</v>
      </c>
      <c r="P129" s="89" t="n">
        <v>1000</v>
      </c>
      <c r="Q129" s="89" t="n">
        <v>80</v>
      </c>
      <c r="R129" s="87" t="inlineStr">
        <is>
          <t>09/01/25</t>
        </is>
      </c>
      <c r="S129" s="90" t="n">
        <v>44062</v>
      </c>
      <c r="U129" s="90" t="n">
        <v>46630</v>
      </c>
    </row>
    <row r="130">
      <c r="C130" s="87" t="inlineStr">
        <is>
          <t>Brown (BFNC), Derron</t>
        </is>
      </c>
      <c r="E130" s="87" t="inlineStr">
        <is>
          <t>124</t>
        </is>
      </c>
      <c r="F130" s="87" t="inlineStr">
        <is>
          <t>1 Bed 1 Bath</t>
        </is>
      </c>
      <c r="I130" s="88" t="n">
        <v>1149</v>
      </c>
      <c r="J130" s="89" t="n">
        <v>1195</v>
      </c>
      <c r="K130" s="89" t="n">
        <v>1195</v>
      </c>
      <c r="L130" s="89" t="n">
        <v>0</v>
      </c>
      <c r="M130" s="89" t="n">
        <v>0</v>
      </c>
      <c r="O130" s="89" t="n">
        <v>1195</v>
      </c>
      <c r="P130" s="89" t="n">
        <v>1195</v>
      </c>
      <c r="Q130" s="89" t="n">
        <v>1195</v>
      </c>
      <c r="R130" s="87" t="inlineStr">
        <is>
          <t>10/22/25</t>
        </is>
      </c>
      <c r="S130" s="90" t="n">
        <v>45961</v>
      </c>
      <c r="U130" s="90" t="n">
        <v>46326</v>
      </c>
    </row>
    <row r="131">
      <c r="C131" s="87" t="inlineStr">
        <is>
          <t>Chance (Bel), Jordynne</t>
        </is>
      </c>
      <c r="E131" s="87" t="inlineStr">
        <is>
          <t>125</t>
        </is>
      </c>
      <c r="F131" s="87" t="inlineStr">
        <is>
          <t>3 Bed/ 1Bath</t>
        </is>
      </c>
      <c r="I131" s="88" t="n">
        <v>1521</v>
      </c>
      <c r="J131" s="89" t="n">
        <v>1400</v>
      </c>
      <c r="K131" s="89" t="n">
        <v>1375</v>
      </c>
      <c r="L131" s="89" t="n">
        <v>0</v>
      </c>
      <c r="M131" s="89" t="n">
        <v>0</v>
      </c>
      <c r="O131" s="89" t="n">
        <v>1375</v>
      </c>
      <c r="P131" s="89" t="n">
        <v>1400</v>
      </c>
      <c r="Q131" s="89" t="n">
        <v>1375</v>
      </c>
      <c r="R131" s="87" t="inlineStr">
        <is>
          <t>06/25/25</t>
        </is>
      </c>
      <c r="S131" s="90" t="n">
        <v>45839</v>
      </c>
      <c r="U131" s="90" t="n">
        <v>46568</v>
      </c>
    </row>
    <row r="132">
      <c r="C132" s="87" t="inlineStr">
        <is>
          <t>Alomar Colon (BMHA), Javier</t>
        </is>
      </c>
      <c r="E132" s="87" t="inlineStr">
        <is>
          <t>126</t>
        </is>
      </c>
      <c r="F132" s="87" t="inlineStr">
        <is>
          <t>1 Bed 1 Bath</t>
        </is>
      </c>
      <c r="I132" s="88" t="n">
        <v>1149</v>
      </c>
      <c r="J132" s="89" t="n">
        <v>1195</v>
      </c>
      <c r="K132" s="89" t="n">
        <v>1075</v>
      </c>
      <c r="L132" s="89" t="n">
        <v>0</v>
      </c>
      <c r="M132" s="89" t="n">
        <v>0</v>
      </c>
      <c r="O132" s="89" t="n">
        <v>1075</v>
      </c>
      <c r="P132" s="89" t="n">
        <v>485</v>
      </c>
      <c r="Q132" s="89" t="n">
        <v>75</v>
      </c>
      <c r="R132" s="87" t="inlineStr">
        <is>
          <t>02/01/26</t>
        </is>
      </c>
      <c r="S132" s="90" t="n">
        <v>42754</v>
      </c>
      <c r="U132" s="90" t="n">
        <v>46418</v>
      </c>
    </row>
    <row r="133">
      <c r="C133" s="87" t="inlineStr">
        <is>
          <t>Golden (RACB), India</t>
        </is>
      </c>
      <c r="E133" s="87" t="inlineStr">
        <is>
          <t>127</t>
        </is>
      </c>
      <c r="F133" s="87" t="inlineStr">
        <is>
          <t>3 Bed/1Bath FP</t>
        </is>
      </c>
      <c r="I133" s="88" t="n">
        <v>1521</v>
      </c>
      <c r="J133" s="89" t="n">
        <v>1350</v>
      </c>
      <c r="K133" s="89" t="n">
        <v>1175</v>
      </c>
      <c r="L133" s="89" t="n">
        <v>0</v>
      </c>
      <c r="M133" s="89" t="n">
        <v>0</v>
      </c>
      <c r="O133" s="89" t="n">
        <v>1175</v>
      </c>
      <c r="P133" s="89" t="n">
        <v>685</v>
      </c>
      <c r="Q133" s="89" t="n">
        <v>150</v>
      </c>
      <c r="R133" s="87" t="inlineStr">
        <is>
          <t>04/01/25</t>
        </is>
      </c>
      <c r="S133" s="90" t="n">
        <v>41730</v>
      </c>
      <c r="U133" s="90" t="n">
        <v>46477</v>
      </c>
    </row>
    <row r="134">
      <c r="C134" s="87" t="inlineStr">
        <is>
          <t>Daza, Brenda</t>
        </is>
      </c>
      <c r="E134" s="87" t="inlineStr">
        <is>
          <t>128</t>
        </is>
      </c>
      <c r="F134" s="87" t="inlineStr">
        <is>
          <t>2 Bed 1 Bath</t>
        </is>
      </c>
      <c r="I134" s="88" t="n">
        <v>1334</v>
      </c>
      <c r="J134" s="89" t="n">
        <v>1350</v>
      </c>
      <c r="K134" s="89" t="n">
        <v>1295</v>
      </c>
      <c r="L134" s="89" t="n">
        <v>0</v>
      </c>
      <c r="M134" s="89" t="n">
        <v>0</v>
      </c>
      <c r="O134" s="89" t="n">
        <v>1295</v>
      </c>
      <c r="P134" s="89" t="n">
        <v>900</v>
      </c>
      <c r="Q134" s="89" t="n">
        <v>95</v>
      </c>
      <c r="R134" s="87" t="inlineStr">
        <is>
          <t>05/01/25</t>
        </is>
      </c>
      <c r="S134" s="90" t="n">
        <v>44028</v>
      </c>
      <c r="U134" s="90" t="n">
        <v>46507</v>
      </c>
    </row>
    <row r="135">
      <c r="C135" s="87" t="inlineStr">
        <is>
          <t>Diggs, Daeaira</t>
        </is>
      </c>
      <c r="E135" s="87" t="inlineStr">
        <is>
          <t>129</t>
        </is>
      </c>
      <c r="F135" s="87" t="inlineStr">
        <is>
          <t>3 Bed 1.5 Bath</t>
        </is>
      </c>
      <c r="I135" s="88" t="n">
        <v>1521</v>
      </c>
      <c r="J135" s="89" t="n">
        <v>1495</v>
      </c>
      <c r="K135" s="89" t="n">
        <v>1495</v>
      </c>
      <c r="L135" s="89" t="n">
        <v>0</v>
      </c>
      <c r="M135" s="89" t="n">
        <v>0</v>
      </c>
      <c r="O135" s="89" t="n">
        <v>1495</v>
      </c>
      <c r="P135" s="89" t="n">
        <v>0</v>
      </c>
      <c r="Q135" s="89" t="n">
        <v>1495</v>
      </c>
      <c r="R135" s="87" t="inlineStr">
        <is>
          <t>09/03/25</t>
        </is>
      </c>
      <c r="S135" s="90" t="n">
        <v>45915</v>
      </c>
      <c r="U135" s="90" t="n">
        <v>46660</v>
      </c>
    </row>
    <row r="136">
      <c r="C136" s="87" t="inlineStr">
        <is>
          <t>Reyes, Lenyn</t>
        </is>
      </c>
      <c r="E136" s="87" t="inlineStr">
        <is>
          <t>130</t>
        </is>
      </c>
      <c r="F136" s="87" t="inlineStr">
        <is>
          <t>3 Bed 1.5 Bath</t>
        </is>
      </c>
      <c r="I136" s="88" t="n">
        <v>1521</v>
      </c>
      <c r="J136" s="89" t="n">
        <v>1495</v>
      </c>
      <c r="K136" s="89" t="n">
        <v>1450</v>
      </c>
      <c r="L136" s="89" t="n">
        <v>0</v>
      </c>
      <c r="M136" s="89" t="n">
        <v>35</v>
      </c>
      <c r="O136" s="89" t="n">
        <v>1485</v>
      </c>
      <c r="P136" s="89" t="n">
        <v>1450</v>
      </c>
      <c r="Q136" s="89" t="n">
        <v>1450</v>
      </c>
      <c r="R136" s="87" t="inlineStr">
        <is>
          <t>02/25/25</t>
        </is>
      </c>
      <c r="S136" s="90" t="n">
        <v>45715</v>
      </c>
      <c r="U136" s="90" t="n">
        <v>46446</v>
      </c>
    </row>
    <row r="137">
      <c r="C137" s="87" t="inlineStr">
        <is>
          <t>Nance (RACB), Moesha</t>
        </is>
      </c>
      <c r="E137" s="87" t="inlineStr">
        <is>
          <t>131</t>
        </is>
      </c>
      <c r="F137" s="87" t="inlineStr">
        <is>
          <t>2 Bed 1 Bath</t>
        </is>
      </c>
      <c r="I137" s="88" t="n">
        <v>1334</v>
      </c>
      <c r="J137" s="89" t="n">
        <v>1350</v>
      </c>
      <c r="K137" s="89" t="n">
        <v>1350</v>
      </c>
      <c r="L137" s="89" t="n">
        <v>0</v>
      </c>
      <c r="M137" s="89" t="n">
        <v>0</v>
      </c>
      <c r="O137" s="89" t="n">
        <v>1350</v>
      </c>
      <c r="P137" s="89" t="n">
        <v>1238</v>
      </c>
      <c r="Q137" s="89" t="n">
        <v>112</v>
      </c>
      <c r="R137" s="87" t="inlineStr">
        <is>
          <t>11/01/25</t>
        </is>
      </c>
      <c r="S137" s="90" t="n">
        <v>45593</v>
      </c>
      <c r="U137" s="90" t="n">
        <v>46326</v>
      </c>
    </row>
    <row r="138">
      <c r="C138" s="87" t="inlineStr">
        <is>
          <t>Velez, Juan</t>
        </is>
      </c>
      <c r="E138" s="87" t="inlineStr">
        <is>
          <t>132</t>
        </is>
      </c>
      <c r="F138" s="87" t="inlineStr">
        <is>
          <t>1 Bed 1 Bath</t>
        </is>
      </c>
      <c r="I138" s="88" t="n">
        <v>1149</v>
      </c>
      <c r="J138" s="89" t="n">
        <v>1195</v>
      </c>
      <c r="K138" s="89" t="n">
        <v>950</v>
      </c>
      <c r="L138" s="89" t="n">
        <v>0</v>
      </c>
      <c r="M138" s="89" t="n">
        <v>0</v>
      </c>
      <c r="O138" s="89" t="n">
        <v>950</v>
      </c>
      <c r="P138" s="89" t="n">
        <v>475</v>
      </c>
      <c r="Q138" s="89" t="n">
        <v>100</v>
      </c>
      <c r="R138" s="87" t="inlineStr">
        <is>
          <t>06/01/25</t>
        </is>
      </c>
      <c r="S138" s="90" t="n">
        <v>42522</v>
      </c>
      <c r="U138" s="90" t="n">
        <v>46173</v>
      </c>
    </row>
    <row r="139">
      <c r="C139" s="87" t="inlineStr">
        <is>
          <t>Ivy (BEL), Tiera</t>
        </is>
      </c>
      <c r="E139" s="87" t="inlineStr">
        <is>
          <t>133</t>
        </is>
      </c>
      <c r="F139" s="87" t="inlineStr">
        <is>
          <t>3 Bed/ 1Bath</t>
        </is>
      </c>
      <c r="I139" s="88" t="n">
        <v>1521</v>
      </c>
      <c r="J139" s="89" t="n">
        <v>1350</v>
      </c>
      <c r="K139" s="89" t="n">
        <v>1375</v>
      </c>
      <c r="L139" s="89" t="n">
        <v>0</v>
      </c>
      <c r="M139" s="89" t="n">
        <v>0</v>
      </c>
      <c r="O139" s="89" t="n">
        <v>1375</v>
      </c>
      <c r="P139" s="89" t="n">
        <v>1375</v>
      </c>
      <c r="Q139" s="89" t="n">
        <v>1375</v>
      </c>
      <c r="R139" s="87" t="inlineStr">
        <is>
          <t>04/08/25</t>
        </is>
      </c>
      <c r="S139" s="90" t="n">
        <v>45757</v>
      </c>
      <c r="T139" s="90" t="n">
        <v>46295</v>
      </c>
      <c r="U139" s="90" t="n">
        <v>46477</v>
      </c>
    </row>
    <row r="140">
      <c r="C140" s="87" t="inlineStr">
        <is>
          <t>Miller, Victoria</t>
        </is>
      </c>
      <c r="E140" s="87" t="inlineStr">
        <is>
          <t>134</t>
        </is>
      </c>
      <c r="F140" s="87" t="inlineStr">
        <is>
          <t>1 Bed 1 Bath</t>
        </is>
      </c>
      <c r="I140" s="88" t="n">
        <v>1149</v>
      </c>
      <c r="J140" s="89" t="n">
        <v>1195</v>
      </c>
      <c r="K140" s="89" t="n">
        <v>1075</v>
      </c>
      <c r="L140" s="89" t="n">
        <v>0</v>
      </c>
      <c r="M140" s="89" t="n">
        <v>0</v>
      </c>
      <c r="O140" s="89" t="n">
        <v>1075</v>
      </c>
      <c r="P140" s="89" t="n">
        <v>1050</v>
      </c>
      <c r="Q140" s="89" t="n">
        <v>25</v>
      </c>
      <c r="R140" s="87" t="inlineStr">
        <is>
          <t>01/01/25</t>
        </is>
      </c>
      <c r="S140" s="90" t="n">
        <v>45289</v>
      </c>
      <c r="T140" s="90" t="n">
        <v>46295</v>
      </c>
      <c r="U140" s="90" t="n">
        <v>46387</v>
      </c>
    </row>
    <row r="141">
      <c r="C141" s="87" t="inlineStr">
        <is>
          <t>Thomas, Alisa</t>
        </is>
      </c>
      <c r="E141" s="87" t="inlineStr">
        <is>
          <t>135</t>
        </is>
      </c>
      <c r="F141" s="87" t="inlineStr">
        <is>
          <t>3 Bed/ 1Bath</t>
        </is>
      </c>
      <c r="I141" s="88" t="n">
        <v>1521</v>
      </c>
      <c r="J141" s="89" t="n">
        <v>1495</v>
      </c>
      <c r="K141" s="89" t="n">
        <v>1500</v>
      </c>
      <c r="L141" s="89" t="n">
        <v>0</v>
      </c>
      <c r="M141" s="89" t="n">
        <v>0</v>
      </c>
      <c r="O141" s="89" t="n">
        <v>1500</v>
      </c>
      <c r="P141" s="89" t="n">
        <v>1475</v>
      </c>
      <c r="Q141" s="89" t="n">
        <v>25</v>
      </c>
      <c r="R141" s="87" t="inlineStr">
        <is>
          <t>07/01/25</t>
        </is>
      </c>
      <c r="S141" s="90" t="n">
        <v>45474</v>
      </c>
      <c r="U141" s="90" t="n">
        <v>46203</v>
      </c>
    </row>
    <row r="142">
      <c r="C142" s="87" t="inlineStr">
        <is>
          <t>Lopez, Carlos</t>
        </is>
      </c>
      <c r="E142" s="87" t="inlineStr">
        <is>
          <t>136</t>
        </is>
      </c>
      <c r="F142" s="87" t="inlineStr">
        <is>
          <t>1 Bed 1 Bath</t>
        </is>
      </c>
      <c r="I142" s="88" t="n">
        <v>1149</v>
      </c>
      <c r="J142" s="89" t="n">
        <v>1195</v>
      </c>
      <c r="K142" s="89" t="n">
        <v>1150</v>
      </c>
      <c r="L142" s="89" t="n">
        <v>0</v>
      </c>
      <c r="M142" s="89" t="n">
        <v>0</v>
      </c>
      <c r="O142" s="89" t="n">
        <v>1150</v>
      </c>
      <c r="P142" s="89" t="n">
        <v>750</v>
      </c>
      <c r="Q142" s="89" t="n">
        <v>1150</v>
      </c>
      <c r="R142" s="87" t="inlineStr">
        <is>
          <t>05/01/24</t>
        </is>
      </c>
      <c r="S142" s="90" t="n">
        <v>43987</v>
      </c>
      <c r="U142" s="90" t="n">
        <v>46507</v>
      </c>
    </row>
    <row r="143">
      <c r="C143" s="87" t="inlineStr">
        <is>
          <t>Peete Sr, Tyshone</t>
        </is>
      </c>
      <c r="E143" s="87" t="inlineStr">
        <is>
          <t>137</t>
        </is>
      </c>
      <c r="F143" s="87" t="inlineStr">
        <is>
          <t>3 Bed/ 1Bath</t>
        </is>
      </c>
      <c r="I143" s="88" t="n">
        <v>1521</v>
      </c>
      <c r="J143" s="89" t="n">
        <v>1475</v>
      </c>
      <c r="K143" s="89" t="n">
        <v>1400</v>
      </c>
      <c r="L143" s="89" t="n">
        <v>0</v>
      </c>
      <c r="M143" s="89" t="n">
        <v>35</v>
      </c>
      <c r="O143" s="89" t="n">
        <v>1435</v>
      </c>
      <c r="P143" s="89" t="n">
        <v>1400</v>
      </c>
      <c r="Q143" s="89" t="n">
        <v>1400</v>
      </c>
      <c r="R143" s="87" t="inlineStr">
        <is>
          <t>03/25/25</t>
        </is>
      </c>
      <c r="S143" s="90" t="n">
        <v>45744</v>
      </c>
      <c r="U143" s="90" t="n">
        <v>46477</v>
      </c>
    </row>
    <row r="144">
      <c r="C144" s="87" t="inlineStr">
        <is>
          <t>&lt;VACANT&gt;</t>
        </is>
      </c>
      <c r="E144" s="87" t="inlineStr">
        <is>
          <t>138</t>
        </is>
      </c>
      <c r="F144" s="87" t="inlineStr">
        <is>
          <t>1 Bed 1 Bath</t>
        </is>
      </c>
      <c r="I144" s="88" t="n">
        <v>1149</v>
      </c>
      <c r="J144" s="89" t="n">
        <v>1195</v>
      </c>
      <c r="K144" s="89" t="n">
        <v>1195</v>
      </c>
      <c r="L144" s="89" t="n">
        <v>1195</v>
      </c>
      <c r="M144" s="89" t="n">
        <v>0</v>
      </c>
      <c r="O144" s="89" t="n">
        <v>0</v>
      </c>
      <c r="P144" s="89" t="n">
        <v>0</v>
      </c>
      <c r="Q144" s="89" t="n">
        <v>0</v>
      </c>
    </row>
    <row r="145">
      <c r="C145" s="87" t="inlineStr">
        <is>
          <t>Caceres (RACB), Carmen</t>
        </is>
      </c>
      <c r="E145" s="87" t="inlineStr">
        <is>
          <t>139</t>
        </is>
      </c>
      <c r="F145" s="87" t="inlineStr">
        <is>
          <t>3 Bed/1Bath FP</t>
        </is>
      </c>
      <c r="I145" s="88" t="n">
        <v>1521</v>
      </c>
      <c r="J145" s="89" t="n">
        <v>1350</v>
      </c>
      <c r="K145" s="89" t="n">
        <v>1100</v>
      </c>
      <c r="L145" s="89" t="n">
        <v>0</v>
      </c>
      <c r="M145" s="89" t="n">
        <v>0</v>
      </c>
      <c r="O145" s="89" t="n">
        <v>1100</v>
      </c>
      <c r="P145" s="89" t="n">
        <v>0</v>
      </c>
      <c r="Q145" s="89" t="n">
        <v>75</v>
      </c>
      <c r="R145" s="87" t="inlineStr">
        <is>
          <t>02/01/24</t>
        </is>
      </c>
      <c r="S145" s="90" t="n">
        <v>41670</v>
      </c>
      <c r="U145" s="90" t="n">
        <v>46418</v>
      </c>
    </row>
    <row r="146">
      <c r="C146" s="87" t="inlineStr">
        <is>
          <t>&lt;VACANT&gt;</t>
        </is>
      </c>
      <c r="E146" s="87" t="inlineStr">
        <is>
          <t>140</t>
        </is>
      </c>
      <c r="F146" s="87" t="inlineStr">
        <is>
          <t>1 Bed 1 Bath</t>
        </is>
      </c>
      <c r="I146" s="88" t="n">
        <v>1149</v>
      </c>
      <c r="J146" s="89" t="n">
        <v>1195</v>
      </c>
      <c r="K146" s="89" t="n">
        <v>1195</v>
      </c>
      <c r="L146" s="89" t="n">
        <v>1195</v>
      </c>
      <c r="M146" s="89" t="n">
        <v>0</v>
      </c>
      <c r="O146" s="89" t="n">
        <v>0</v>
      </c>
      <c r="P146" s="89" t="n">
        <v>0</v>
      </c>
      <c r="Q146" s="89" t="n">
        <v>0</v>
      </c>
    </row>
    <row r="147">
      <c r="C147" s="87" t="inlineStr">
        <is>
          <t>Miranda, Yamilex</t>
        </is>
      </c>
      <c r="E147" s="87" t="inlineStr">
        <is>
          <t>141</t>
        </is>
      </c>
      <c r="F147" s="87" t="inlineStr">
        <is>
          <t>3 Bed/ 1Bath</t>
        </is>
      </c>
      <c r="I147" s="88" t="n">
        <v>1521</v>
      </c>
      <c r="J147" s="89" t="n">
        <v>1475</v>
      </c>
      <c r="K147" s="89" t="n">
        <v>1475</v>
      </c>
      <c r="L147" s="89" t="n">
        <v>0</v>
      </c>
      <c r="M147" s="89" t="n">
        <v>0</v>
      </c>
      <c r="O147" s="89" t="n">
        <v>1475</v>
      </c>
      <c r="P147" s="89" t="n">
        <v>1475</v>
      </c>
      <c r="Q147" s="89" t="n">
        <v>1475</v>
      </c>
      <c r="R147" s="87" t="inlineStr">
        <is>
          <t>12/10/25</t>
        </is>
      </c>
      <c r="S147" s="90" t="n">
        <v>46023</v>
      </c>
      <c r="U147" s="90" t="n">
        <v>46418</v>
      </c>
    </row>
    <row r="148">
      <c r="C148" s="87" t="inlineStr">
        <is>
          <t>Robbins, Dewan</t>
        </is>
      </c>
      <c r="E148" s="87" t="inlineStr">
        <is>
          <t>142</t>
        </is>
      </c>
      <c r="F148" s="87" t="inlineStr">
        <is>
          <t>1 Bed 1 Bath</t>
        </is>
      </c>
      <c r="I148" s="88" t="n">
        <v>1149</v>
      </c>
      <c r="J148" s="89" t="n">
        <v>1195</v>
      </c>
      <c r="K148" s="89" t="n">
        <v>1145</v>
      </c>
      <c r="L148" s="89" t="n">
        <v>0</v>
      </c>
      <c r="M148" s="89" t="n">
        <v>0</v>
      </c>
      <c r="O148" s="89" t="n">
        <v>1145</v>
      </c>
      <c r="P148" s="89" t="n">
        <v>1145</v>
      </c>
      <c r="Q148" s="89" t="n">
        <v>1145</v>
      </c>
      <c r="R148" s="87" t="inlineStr">
        <is>
          <t>02/28/25</t>
        </is>
      </c>
      <c r="S148" s="90" t="n">
        <v>45719</v>
      </c>
      <c r="U148" s="90" t="n">
        <v>46446</v>
      </c>
    </row>
    <row r="149">
      <c r="C149" s="87" t="inlineStr">
        <is>
          <t>Hernandez (RACB), Vanessa</t>
        </is>
      </c>
      <c r="E149" s="87" t="inlineStr">
        <is>
          <t>143</t>
        </is>
      </c>
      <c r="F149" s="87" t="inlineStr">
        <is>
          <t>3 Bed/ 1Bath</t>
        </is>
      </c>
      <c r="I149" s="88" t="n">
        <v>1521</v>
      </c>
      <c r="J149" s="89" t="n">
        <v>1475</v>
      </c>
      <c r="K149" s="89" t="n">
        <v>1475</v>
      </c>
      <c r="L149" s="89" t="n">
        <v>0</v>
      </c>
      <c r="M149" s="89" t="n">
        <v>0</v>
      </c>
      <c r="O149" s="89" t="n">
        <v>1475</v>
      </c>
      <c r="P149" s="89" t="n">
        <v>1300</v>
      </c>
      <c r="Q149" s="89" t="n">
        <v>175</v>
      </c>
      <c r="R149" s="87" t="inlineStr">
        <is>
          <t>03/01/25</t>
        </is>
      </c>
      <c r="S149" s="90" t="n">
        <v>45344</v>
      </c>
      <c r="T149" s="90" t="n">
        <v>46296</v>
      </c>
      <c r="U149" s="90" t="n">
        <v>46446</v>
      </c>
    </row>
    <row r="150">
      <c r="C150" s="87" t="inlineStr">
        <is>
          <t>Edwards (BEL), Maureen</t>
        </is>
      </c>
      <c r="E150" s="87" t="inlineStr">
        <is>
          <t>144</t>
        </is>
      </c>
      <c r="F150" s="87" t="inlineStr">
        <is>
          <t>1 Bed 1 Bath</t>
        </is>
      </c>
      <c r="I150" s="88" t="n">
        <v>1149</v>
      </c>
      <c r="J150" s="89" t="n">
        <v>1195</v>
      </c>
      <c r="K150" s="89" t="n">
        <v>1100</v>
      </c>
      <c r="L150" s="89" t="n">
        <v>0</v>
      </c>
      <c r="M150" s="89" t="n">
        <v>0</v>
      </c>
      <c r="O150" s="89" t="n">
        <v>1100</v>
      </c>
      <c r="P150" s="89" t="n">
        <v>1000</v>
      </c>
      <c r="Q150" s="89" t="n">
        <v>100</v>
      </c>
      <c r="R150" s="87" t="inlineStr">
        <is>
          <t>02/01/25</t>
        </is>
      </c>
      <c r="S150" s="90" t="n">
        <v>45314</v>
      </c>
      <c r="U150" s="90" t="n">
        <v>46418</v>
      </c>
    </row>
    <row r="151">
      <c r="C151" s="87" t="inlineStr">
        <is>
          <t>Williams, Jamelle</t>
        </is>
      </c>
      <c r="E151" s="87" t="inlineStr">
        <is>
          <t>145</t>
        </is>
      </c>
      <c r="F151" s="87" t="inlineStr">
        <is>
          <t>3 Bed/1Bath FP</t>
        </is>
      </c>
      <c r="I151" s="88" t="n">
        <v>1521</v>
      </c>
      <c r="J151" s="89" t="n">
        <v>1475</v>
      </c>
      <c r="K151" s="89" t="n">
        <v>1400</v>
      </c>
      <c r="L151" s="89" t="n">
        <v>0</v>
      </c>
      <c r="M151" s="89" t="n">
        <v>0</v>
      </c>
      <c r="O151" s="89" t="n">
        <v>1400</v>
      </c>
      <c r="P151" s="89" t="n">
        <v>1400</v>
      </c>
      <c r="Q151" s="89" t="n">
        <v>1400</v>
      </c>
      <c r="R151" s="87" t="inlineStr">
        <is>
          <t>12/17/25</t>
        </is>
      </c>
      <c r="S151" s="90" t="n">
        <v>46023</v>
      </c>
      <c r="U151" s="90" t="n">
        <v>46387</v>
      </c>
    </row>
    <row r="152">
      <c r="C152" s="87" t="inlineStr">
        <is>
          <t>Patterson, Christalee</t>
        </is>
      </c>
      <c r="E152" s="87" t="inlineStr">
        <is>
          <t>146</t>
        </is>
      </c>
      <c r="F152" s="87" t="inlineStr">
        <is>
          <t>1 Bed 1 Bath</t>
        </is>
      </c>
      <c r="I152" s="88" t="n">
        <v>1149</v>
      </c>
      <c r="J152" s="89" t="n">
        <v>1195</v>
      </c>
      <c r="K152" s="89" t="n">
        <v>1150</v>
      </c>
      <c r="L152" s="89" t="n">
        <v>0</v>
      </c>
      <c r="M152" s="89" t="n">
        <v>0</v>
      </c>
      <c r="O152" s="89" t="n">
        <v>1150</v>
      </c>
      <c r="P152" s="89" t="n">
        <v>1150</v>
      </c>
      <c r="Q152" s="89" t="n">
        <v>1150</v>
      </c>
      <c r="R152" s="87" t="inlineStr">
        <is>
          <t>06/18/26</t>
        </is>
      </c>
      <c r="S152" s="90" t="n">
        <v>46204</v>
      </c>
      <c r="U152" s="90" t="n">
        <v>46568</v>
      </c>
    </row>
    <row r="153">
      <c r="C153" s="87" t="inlineStr">
        <is>
          <t>Tchassi Fotsing (JER), Gabriel</t>
        </is>
      </c>
      <c r="E153" s="87" t="inlineStr">
        <is>
          <t>147</t>
        </is>
      </c>
      <c r="F153" s="87" t="inlineStr">
        <is>
          <t>3 Bed 1.5 Bath</t>
        </is>
      </c>
      <c r="I153" s="88" t="n">
        <v>1521</v>
      </c>
      <c r="J153" s="89" t="n">
        <v>1495</v>
      </c>
      <c r="K153" s="89" t="n">
        <v>1475</v>
      </c>
      <c r="L153" s="89" t="n">
        <v>0</v>
      </c>
      <c r="M153" s="89" t="n">
        <v>0</v>
      </c>
      <c r="O153" s="89" t="n">
        <v>1475</v>
      </c>
      <c r="P153" s="89" t="n">
        <v>1375</v>
      </c>
      <c r="Q153" s="89" t="n">
        <v>100</v>
      </c>
      <c r="R153" s="87" t="inlineStr">
        <is>
          <t>03/01/25</t>
        </is>
      </c>
      <c r="S153" s="90" t="n">
        <v>45331</v>
      </c>
      <c r="U153" s="90" t="n">
        <v>46446</v>
      </c>
    </row>
    <row r="154">
      <c r="C154" s="87" t="inlineStr">
        <is>
          <t>&lt;VACANT&gt;</t>
        </is>
      </c>
      <c r="E154" s="87" t="inlineStr">
        <is>
          <t>148</t>
        </is>
      </c>
      <c r="F154" s="87" t="inlineStr">
        <is>
          <t>2 Bed 1 Bath</t>
        </is>
      </c>
      <c r="I154" s="88" t="n">
        <v>1334</v>
      </c>
      <c r="J154" s="89" t="n">
        <v>1350</v>
      </c>
      <c r="K154" s="89" t="n">
        <v>1350</v>
      </c>
      <c r="L154" s="89" t="n">
        <v>1350</v>
      </c>
      <c r="M154" s="89" t="n">
        <v>0</v>
      </c>
      <c r="O154" s="89" t="n">
        <v>0</v>
      </c>
      <c r="P154" s="89" t="n">
        <v>0</v>
      </c>
      <c r="Q154" s="89" t="n">
        <v>0</v>
      </c>
    </row>
    <row r="155">
      <c r="C155" s="87" t="inlineStr">
        <is>
          <t>Villamil (RACB), Karen</t>
        </is>
      </c>
      <c r="E155" s="87" t="inlineStr">
        <is>
          <t>149</t>
        </is>
      </c>
      <c r="F155" s="87" t="inlineStr">
        <is>
          <t>3 Bed 1.5 Bath</t>
        </is>
      </c>
      <c r="I155" s="88" t="n">
        <v>1541</v>
      </c>
      <c r="J155" s="89" t="n">
        <v>1495</v>
      </c>
      <c r="K155" s="89" t="n">
        <v>1275</v>
      </c>
      <c r="L155" s="89" t="n">
        <v>0</v>
      </c>
      <c r="M155" s="89" t="n">
        <v>50</v>
      </c>
      <c r="O155" s="89" t="n">
        <v>1325</v>
      </c>
      <c r="P155" s="89" t="n">
        <v>0</v>
      </c>
      <c r="Q155" s="89" t="n">
        <v>100</v>
      </c>
      <c r="R155" s="87" t="inlineStr">
        <is>
          <t>05/01/25</t>
        </is>
      </c>
      <c r="S155" s="90" t="n">
        <v>43435</v>
      </c>
      <c r="U155" s="90" t="n">
        <v>46507</v>
      </c>
    </row>
    <row r="156">
      <c r="C156" s="87" t="inlineStr">
        <is>
          <t>Kawaya, Cynthia</t>
        </is>
      </c>
      <c r="E156" s="87" t="inlineStr">
        <is>
          <t>150</t>
        </is>
      </c>
      <c r="F156" s="87" t="inlineStr">
        <is>
          <t>3 Bed 1.5 Bath</t>
        </is>
      </c>
      <c r="I156" s="88" t="n">
        <v>1541</v>
      </c>
      <c r="J156" s="89" t="n">
        <v>1495</v>
      </c>
      <c r="K156" s="89" t="n">
        <v>1525</v>
      </c>
      <c r="L156" s="89" t="n">
        <v>0</v>
      </c>
      <c r="M156" s="89" t="n">
        <v>0</v>
      </c>
      <c r="O156" s="89" t="n">
        <v>1525</v>
      </c>
      <c r="P156" s="89" t="n">
        <v>1495</v>
      </c>
      <c r="Q156" s="89" t="n">
        <v>50</v>
      </c>
      <c r="R156" s="87" t="inlineStr">
        <is>
          <t>01/01/25</t>
        </is>
      </c>
      <c r="S156" s="90" t="n">
        <v>44900</v>
      </c>
      <c r="U156" s="90" t="n">
        <v>46387</v>
      </c>
    </row>
    <row r="157">
      <c r="C157" s="87" t="inlineStr">
        <is>
          <t>Lopez (RACB), Erica</t>
        </is>
      </c>
      <c r="E157" s="87" t="inlineStr">
        <is>
          <t>151</t>
        </is>
      </c>
      <c r="F157" s="87" t="inlineStr">
        <is>
          <t>2 Bed 1 Bath</t>
        </is>
      </c>
      <c r="I157" s="88" t="n">
        <v>1334</v>
      </c>
      <c r="J157" s="89" t="n">
        <v>1350</v>
      </c>
      <c r="K157" s="89" t="n">
        <v>1100</v>
      </c>
      <c r="L157" s="89" t="n">
        <v>0</v>
      </c>
      <c r="M157" s="89" t="n">
        <v>50</v>
      </c>
      <c r="O157" s="89" t="n">
        <v>1150</v>
      </c>
      <c r="P157" s="89" t="n">
        <v>575</v>
      </c>
      <c r="Q157" s="89" t="n">
        <v>84</v>
      </c>
      <c r="R157" s="87" t="inlineStr">
        <is>
          <t>12/01/24</t>
        </is>
      </c>
      <c r="S157" s="90" t="n">
        <v>43420</v>
      </c>
      <c r="U157" s="90" t="n">
        <v>46356</v>
      </c>
    </row>
    <row r="158">
      <c r="C158" s="87" t="inlineStr">
        <is>
          <t>Banks, Najah</t>
        </is>
      </c>
      <c r="E158" s="87" t="inlineStr">
        <is>
          <t>152</t>
        </is>
      </c>
      <c r="F158" s="87" t="inlineStr">
        <is>
          <t>1 Bed 1 Bath</t>
        </is>
      </c>
      <c r="I158" s="88" t="n">
        <v>1149</v>
      </c>
      <c r="J158" s="89" t="n">
        <v>1195</v>
      </c>
      <c r="K158" s="89" t="n">
        <v>1195</v>
      </c>
      <c r="L158" s="89" t="n">
        <v>0</v>
      </c>
      <c r="M158" s="89" t="n">
        <v>0</v>
      </c>
      <c r="O158" s="89" t="n">
        <v>1195</v>
      </c>
      <c r="P158" s="89" t="n">
        <v>1195</v>
      </c>
      <c r="Q158" s="89" t="n">
        <v>1195</v>
      </c>
      <c r="R158" s="87" t="inlineStr">
        <is>
          <t>01/09/26</t>
        </is>
      </c>
      <c r="S158" s="90" t="n">
        <v>46054</v>
      </c>
      <c r="U158" s="90" t="n">
        <v>46446</v>
      </c>
    </row>
    <row r="159">
      <c r="C159" s="87" t="inlineStr">
        <is>
          <t>Pierantoni-Vazquez, Jennifer</t>
        </is>
      </c>
      <c r="E159" s="87" t="inlineStr">
        <is>
          <t>153</t>
        </is>
      </c>
      <c r="F159" s="87" t="inlineStr">
        <is>
          <t>3 Bed/1Bath FP</t>
        </is>
      </c>
      <c r="I159" s="88" t="n">
        <v>1521</v>
      </c>
      <c r="J159" s="89" t="n">
        <v>1475</v>
      </c>
      <c r="K159" s="89" t="n">
        <v>1125</v>
      </c>
      <c r="L159" s="89" t="n">
        <v>0</v>
      </c>
      <c r="M159" s="89" t="n">
        <v>0</v>
      </c>
      <c r="O159" s="89" t="n">
        <v>1125</v>
      </c>
      <c r="P159" s="89" t="n">
        <v>695</v>
      </c>
      <c r="Q159" s="89" t="n">
        <v>75</v>
      </c>
      <c r="R159" s="87" t="inlineStr">
        <is>
          <t>03/01/25</t>
        </is>
      </c>
      <c r="S159" s="90" t="n">
        <v>43160</v>
      </c>
      <c r="U159" s="90" t="n">
        <v>46446</v>
      </c>
    </row>
    <row r="160">
      <c r="C160" s="87" t="inlineStr">
        <is>
          <t>Phillips, Thomas</t>
        </is>
      </c>
      <c r="E160" s="87" t="inlineStr">
        <is>
          <t>154</t>
        </is>
      </c>
      <c r="F160" s="87" t="inlineStr">
        <is>
          <t>1 Bed 1 Bath</t>
        </is>
      </c>
      <c r="I160" s="88" t="n">
        <v>1149</v>
      </c>
      <c r="J160" s="89" t="n">
        <v>1195</v>
      </c>
      <c r="K160" s="89" t="n">
        <v>1100</v>
      </c>
      <c r="L160" s="89" t="n">
        <v>0</v>
      </c>
      <c r="M160" s="89" t="n">
        <v>0</v>
      </c>
      <c r="O160" s="89" t="n">
        <v>1100</v>
      </c>
      <c r="P160" s="89" t="n">
        <v>1100</v>
      </c>
      <c r="Q160" s="89" t="n">
        <v>1100</v>
      </c>
      <c r="R160" s="87" t="inlineStr">
        <is>
          <t>01/08/26</t>
        </is>
      </c>
      <c r="S160" s="90" t="n">
        <v>46037</v>
      </c>
      <c r="U160" s="90" t="n">
        <v>46418</v>
      </c>
    </row>
    <row r="161">
      <c r="C161" s="87" t="inlineStr">
        <is>
          <t>Harmon, Ashley</t>
        </is>
      </c>
      <c r="E161" s="87" t="inlineStr">
        <is>
          <t>155</t>
        </is>
      </c>
      <c r="F161" s="87" t="inlineStr">
        <is>
          <t>3 Bed/1Bath FP</t>
        </is>
      </c>
      <c r="I161" s="88" t="n">
        <v>1521</v>
      </c>
      <c r="J161" s="89" t="n">
        <v>1475</v>
      </c>
      <c r="K161" s="89" t="n">
        <v>1125</v>
      </c>
      <c r="L161" s="89" t="n">
        <v>0</v>
      </c>
      <c r="M161" s="89" t="n">
        <v>0</v>
      </c>
      <c r="O161" s="89" t="n">
        <v>1125</v>
      </c>
      <c r="P161" s="89" t="n">
        <v>1360</v>
      </c>
      <c r="Q161" s="89" t="n">
        <v>100</v>
      </c>
      <c r="R161" s="87" t="inlineStr">
        <is>
          <t>03/01/25</t>
        </is>
      </c>
      <c r="S161" s="90" t="n">
        <v>42074</v>
      </c>
      <c r="U161" s="90" t="n">
        <v>46446</v>
      </c>
    </row>
    <row r="162">
      <c r="C162" s="87" t="inlineStr">
        <is>
          <t>Services, TSI, Transitional</t>
        </is>
      </c>
      <c r="E162" s="87" t="inlineStr">
        <is>
          <t>156</t>
        </is>
      </c>
      <c r="F162" s="87" t="inlineStr">
        <is>
          <t>1 Bed 1 Bath</t>
        </is>
      </c>
      <c r="I162" s="88" t="n">
        <v>1149</v>
      </c>
      <c r="J162" s="89" t="n">
        <v>1195</v>
      </c>
      <c r="K162" s="89" t="n">
        <v>1195</v>
      </c>
      <c r="L162" s="89" t="n">
        <v>0</v>
      </c>
      <c r="M162" s="89" t="n">
        <v>0</v>
      </c>
      <c r="O162" s="89" t="n">
        <v>1195</v>
      </c>
      <c r="P162" s="89" t="n">
        <v>1100</v>
      </c>
      <c r="Q162" s="89" t="n">
        <v>95</v>
      </c>
      <c r="R162" s="87" t="inlineStr">
        <is>
          <t>04/01/25</t>
        </is>
      </c>
      <c r="S162" s="90" t="n">
        <v>45364</v>
      </c>
      <c r="U162" s="90" t="n">
        <v>46477</v>
      </c>
    </row>
    <row r="163">
      <c r="C163" s="87" t="inlineStr">
        <is>
          <t>Matos (RACB), Jade</t>
        </is>
      </c>
      <c r="E163" s="87" t="inlineStr">
        <is>
          <t>157</t>
        </is>
      </c>
      <c r="F163" s="87" t="inlineStr">
        <is>
          <t>3 Bed/1Bath FP</t>
        </is>
      </c>
      <c r="I163" s="88" t="n">
        <v>1521</v>
      </c>
      <c r="J163" s="89" t="n">
        <v>1350</v>
      </c>
      <c r="K163" s="89" t="n">
        <v>1400</v>
      </c>
      <c r="L163" s="89" t="n">
        <v>0</v>
      </c>
      <c r="M163" s="89" t="n">
        <v>0</v>
      </c>
      <c r="O163" s="89" t="n">
        <v>1400</v>
      </c>
      <c r="P163" s="89" t="n">
        <v>1400</v>
      </c>
      <c r="Q163" s="89" t="n">
        <v>1400</v>
      </c>
      <c r="R163" s="87" t="inlineStr">
        <is>
          <t>04/29/26</t>
        </is>
      </c>
      <c r="S163" s="90" t="n">
        <v>46143</v>
      </c>
      <c r="U163" s="90" t="n">
        <v>46507</v>
      </c>
    </row>
    <row r="164">
      <c r="C164" s="87" t="inlineStr">
        <is>
          <t>Brown, Angel</t>
        </is>
      </c>
      <c r="E164" s="87" t="inlineStr">
        <is>
          <t>158</t>
        </is>
      </c>
      <c r="F164" s="87" t="inlineStr">
        <is>
          <t>2 Bed 1 Bath</t>
        </is>
      </c>
      <c r="I164" s="88" t="n">
        <v>1334</v>
      </c>
      <c r="J164" s="89" t="n">
        <v>1350</v>
      </c>
      <c r="K164" s="89" t="n">
        <v>925</v>
      </c>
      <c r="L164" s="89" t="n">
        <v>0</v>
      </c>
      <c r="M164" s="89" t="n">
        <v>0</v>
      </c>
      <c r="O164" s="89" t="n">
        <v>925</v>
      </c>
      <c r="P164" s="89" t="n">
        <v>575</v>
      </c>
      <c r="Q164" s="89" t="n">
        <v>25</v>
      </c>
      <c r="R164" s="87" t="inlineStr">
        <is>
          <t>11/01/25</t>
        </is>
      </c>
      <c r="S164" s="90" t="n">
        <v>40848</v>
      </c>
      <c r="U164" s="90" t="n">
        <v>46691</v>
      </c>
    </row>
    <row r="165">
      <c r="I165" s="88" t="n">
        <v>213124</v>
      </c>
      <c r="J165" s="89" t="n">
        <v>211875</v>
      </c>
      <c r="K165" s="89" t="n">
        <v>197636</v>
      </c>
      <c r="L165" s="89" t="n">
        <v>18250</v>
      </c>
      <c r="M165" s="89" t="n">
        <v>1635</v>
      </c>
      <c r="O165" s="89" t="n">
        <v>181021</v>
      </c>
      <c r="P165" s="89" t="n">
        <v>123235.5</v>
      </c>
      <c r="Q165" s="89" t="n">
        <v>86293</v>
      </c>
    </row>
    <row r="166">
      <c r="A166" s="87" t="inlineStr">
        <is>
          <t xml:space="preserve">Totals for </t>
        </is>
      </c>
      <c r="D166" s="87" t="inlineStr">
        <is>
          <t>Hertel Homes</t>
        </is>
      </c>
    </row>
    <row r="169">
      <c r="I169" s="87" t="inlineStr">
        <is>
          <t>Sq Ft</t>
        </is>
      </c>
      <c r="J169" s="87" t="inlineStr">
        <is>
          <t>Market 
Rent</t>
        </is>
      </c>
      <c r="K169" s="87" t="inlineStr">
        <is>
          <t>Rent</t>
        </is>
      </c>
      <c r="L169" s="87" t="inlineStr">
        <is>
          <t>Vacancy 
Loss</t>
        </is>
      </c>
      <c r="M169" s="87" t="inlineStr">
        <is>
          <t>Misc 
Charges</t>
        </is>
      </c>
      <c r="O169" s="87" t="inlineStr">
        <is>
          <t>Total 
Charges</t>
        </is>
      </c>
      <c r="P169" s="87" t="inlineStr">
        <is>
          <t>Security 
Deposit</t>
        </is>
      </c>
      <c r="Q169" s="87" t="inlineStr">
        <is>
          <t>Increase 
Amount</t>
        </is>
      </c>
    </row>
    <row r="170">
      <c r="I170" s="88" t="n">
        <v>213124</v>
      </c>
      <c r="J170" s="89" t="n">
        <v>211875</v>
      </c>
      <c r="K170" s="89" t="n">
        <v>197636</v>
      </c>
      <c r="L170" s="89" t="n">
        <v>18250</v>
      </c>
      <c r="M170" s="89" t="n">
        <v>1635</v>
      </c>
      <c r="O170" s="89" t="n">
        <v>181021</v>
      </c>
      <c r="P170" s="89" t="n">
        <v>123235.5</v>
      </c>
      <c r="Q170" s="89" t="n">
        <v>86293</v>
      </c>
    </row>
    <row r="172">
      <c r="A172" s="87" t="inlineStr">
        <is>
          <t>Report Summary</t>
        </is>
      </c>
    </row>
    <row r="174">
      <c r="A174" s="87" t="inlineStr">
        <is>
          <t>Detail</t>
        </is>
      </c>
      <c r="N174" s="87" t="inlineStr">
        <is>
          <t>Value</t>
        </is>
      </c>
    </row>
    <row r="175">
      <c r="A175" s="87" t="inlineStr">
        <is>
          <t>Total Possible Rent</t>
        </is>
      </c>
      <c r="N175" s="87" t="inlineStr">
        <is>
          <t>197,636.00</t>
        </is>
      </c>
    </row>
    <row r="176">
      <c r="A176" s="87" t="inlineStr">
        <is>
          <t>Vacancy Rent</t>
        </is>
      </c>
      <c r="N176" s="87" t="inlineStr">
        <is>
          <t>18,250.00</t>
        </is>
      </c>
    </row>
    <row r="177">
      <c r="A177" s="87" t="inlineStr">
        <is>
          <t>Occupied Unit Rent</t>
        </is>
      </c>
      <c r="N177" s="87" t="inlineStr">
        <is>
          <t>179,386.00</t>
        </is>
      </c>
    </row>
    <row r="178">
      <c r="A178" s="87" t="inlineStr">
        <is>
          <t># of Units</t>
        </is>
      </c>
      <c r="N178" s="87" t="inlineStr">
        <is>
          <t>158</t>
        </is>
      </c>
    </row>
    <row r="179">
      <c r="A179" s="87" t="inlineStr">
        <is>
          <t>Vacant Units</t>
        </is>
      </c>
      <c r="N179" s="87" t="inlineStr">
        <is>
          <t>14</t>
        </is>
      </c>
    </row>
    <row r="180">
      <c r="A180" s="87" t="inlineStr">
        <is>
          <t>Occupancy</t>
        </is>
      </c>
      <c r="N180" s="87" t="inlineStr">
        <is>
          <t>91.14%</t>
        </is>
      </c>
    </row>
  </sheetData>
  <mergeCells count="660">
    <mergeCell ref="F116:G116"/>
    <mergeCell ref="C15:D15"/>
    <mergeCell ref="F16:G16"/>
    <mergeCell ref="U128:V128"/>
    <mergeCell ref="F103:G103"/>
    <mergeCell ref="N180:V180"/>
    <mergeCell ref="C107:D107"/>
    <mergeCell ref="F108:G108"/>
    <mergeCell ref="F143:G143"/>
    <mergeCell ref="M79:N79"/>
    <mergeCell ref="U65:V65"/>
    <mergeCell ref="F118:G118"/>
    <mergeCell ref="C79:D79"/>
    <mergeCell ref="U136:V136"/>
    <mergeCell ref="C73:D73"/>
    <mergeCell ref="M70:N70"/>
    <mergeCell ref="M60:N60"/>
    <mergeCell ref="M35:N35"/>
    <mergeCell ref="C121:D121"/>
    <mergeCell ref="M10:N10"/>
    <mergeCell ref="M99:N99"/>
    <mergeCell ref="F70:G70"/>
    <mergeCell ref="C148:D148"/>
    <mergeCell ref="M74:N74"/>
    <mergeCell ref="U131:V131"/>
    <mergeCell ref="N177:V177"/>
    <mergeCell ref="F134:G134"/>
    <mergeCell ref="F23:G23"/>
    <mergeCell ref="U146:V146"/>
    <mergeCell ref="F121:G121"/>
    <mergeCell ref="F96:G96"/>
    <mergeCell ref="F71:G71"/>
    <mergeCell ref="U83:V83"/>
    <mergeCell ref="F98:G98"/>
    <mergeCell ref="U20:V20"/>
    <mergeCell ref="M150:N150"/>
    <mergeCell ref="C28:D28"/>
    <mergeCell ref="U85:V85"/>
    <mergeCell ref="M50:N50"/>
    <mergeCell ref="U14:V14"/>
    <mergeCell ref="U60:V60"/>
    <mergeCell ref="F162:G162"/>
    <mergeCell ref="U22:V22"/>
    <mergeCell ref="C92:D92"/>
    <mergeCell ref="M92:N92"/>
    <mergeCell ref="M152:N152"/>
    <mergeCell ref="U78:V78"/>
    <mergeCell ref="C30:D30"/>
    <mergeCell ref="U124:V124"/>
    <mergeCell ref="C97:D97"/>
    <mergeCell ref="U80:V80"/>
    <mergeCell ref="F18:G18"/>
    <mergeCell ref="F45:G45"/>
    <mergeCell ref="F42:G42"/>
    <mergeCell ref="F66:G66"/>
    <mergeCell ref="F17:G17"/>
    <mergeCell ref="F126:G126"/>
    <mergeCell ref="M13:N13"/>
    <mergeCell ref="U13:V13"/>
    <mergeCell ref="U7:V7"/>
    <mergeCell ref="M7:N7"/>
    <mergeCell ref="F109:G109"/>
    <mergeCell ref="B5:D5"/>
    <mergeCell ref="F47:G47"/>
    <mergeCell ref="M105:N105"/>
    <mergeCell ref="C123:D123"/>
    <mergeCell ref="U71:V71"/>
    <mergeCell ref="F46:G46"/>
    <mergeCell ref="M120:N120"/>
    <mergeCell ref="C110:D110"/>
    <mergeCell ref="F111:G111"/>
    <mergeCell ref="U58:V58"/>
    <mergeCell ref="M163:N163"/>
    <mergeCell ref="M101:N101"/>
    <mergeCell ref="N175:V175"/>
    <mergeCell ref="F61:G61"/>
    <mergeCell ref="U8:V8"/>
    <mergeCell ref="M76:N76"/>
    <mergeCell ref="U73:V73"/>
    <mergeCell ref="F48:G48"/>
    <mergeCell ref="M165:N165"/>
    <mergeCell ref="U10:V10"/>
    <mergeCell ref="U137:V137"/>
    <mergeCell ref="M115:N115"/>
    <mergeCell ref="C18:D18"/>
    <mergeCell ref="F73:G73"/>
    <mergeCell ref="C34:D34"/>
    <mergeCell ref="F137:G137"/>
    <mergeCell ref="U84:V84"/>
    <mergeCell ref="U155:V155"/>
    <mergeCell ref="U149:V149"/>
    <mergeCell ref="F124:G124"/>
    <mergeCell ref="C128:D128"/>
    <mergeCell ref="C113:D113"/>
    <mergeCell ref="C29:D29"/>
    <mergeCell ref="F164:G164"/>
    <mergeCell ref="F139:G139"/>
    <mergeCell ref="C100:D100"/>
    <mergeCell ref="U86:V86"/>
    <mergeCell ref="C94:D94"/>
    <mergeCell ref="C65:D65"/>
    <mergeCell ref="U151:V151"/>
    <mergeCell ref="F114:G114"/>
    <mergeCell ref="C44:D44"/>
    <mergeCell ref="C142:D142"/>
    <mergeCell ref="N178:V178"/>
    <mergeCell ref="U150:V150"/>
    <mergeCell ref="C80:D80"/>
    <mergeCell ref="C31:D31"/>
    <mergeCell ref="M31:N31"/>
    <mergeCell ref="C129:D129"/>
    <mergeCell ref="U21:V21"/>
    <mergeCell ref="C95:D95"/>
    <mergeCell ref="M95:N95"/>
    <mergeCell ref="U152:V152"/>
    <mergeCell ref="M89:N89"/>
    <mergeCell ref="M26:N26"/>
    <mergeCell ref="M97:N97"/>
    <mergeCell ref="F117:G117"/>
    <mergeCell ref="F92:G92"/>
    <mergeCell ref="C131:D131"/>
    <mergeCell ref="F119:G119"/>
    <mergeCell ref="C49:D49"/>
    <mergeCell ref="U35:V35"/>
    <mergeCell ref="F69:G69"/>
    <mergeCell ref="C24:D24"/>
    <mergeCell ref="F112:G112"/>
    <mergeCell ref="A172:U172"/>
    <mergeCell ref="C42:D42"/>
    <mergeCell ref="M113:N113"/>
    <mergeCell ref="U99:V99"/>
    <mergeCell ref="N176:V176"/>
    <mergeCell ref="C126:D126"/>
    <mergeCell ref="F127:G127"/>
    <mergeCell ref="C88:D88"/>
    <mergeCell ref="M123:N123"/>
    <mergeCell ref="U74:V74"/>
    <mergeCell ref="C26:D26"/>
    <mergeCell ref="M110:N110"/>
    <mergeCell ref="U163:V163"/>
    <mergeCell ref="U101:V101"/>
    <mergeCell ref="U76:V76"/>
    <mergeCell ref="F51:G51"/>
    <mergeCell ref="C117:D117"/>
    <mergeCell ref="C55:D55"/>
    <mergeCell ref="M108:N108"/>
    <mergeCell ref="F145:G145"/>
    <mergeCell ref="C115:D115"/>
    <mergeCell ref="F38:G38"/>
    <mergeCell ref="M28:N28"/>
    <mergeCell ref="C52:D52"/>
    <mergeCell ref="C150:D150"/>
    <mergeCell ref="F140:G140"/>
    <mergeCell ref="C39:D39"/>
    <mergeCell ref="C144:D144"/>
    <mergeCell ref="U92:V92"/>
    <mergeCell ref="F67:G67"/>
    <mergeCell ref="M57:N57"/>
    <mergeCell ref="U54:V54"/>
    <mergeCell ref="C81:D81"/>
    <mergeCell ref="F82:G82"/>
    <mergeCell ref="M103:N103"/>
    <mergeCell ref="M159:N159"/>
    <mergeCell ref="M134:N134"/>
    <mergeCell ref="U94:V94"/>
    <mergeCell ref="C37:D37"/>
    <mergeCell ref="M32:N32"/>
    <mergeCell ref="U29:V29"/>
    <mergeCell ref="U23:V23"/>
    <mergeCell ref="M121:N121"/>
    <mergeCell ref="A3:V3"/>
    <mergeCell ref="M96:N96"/>
    <mergeCell ref="C145:D145"/>
    <mergeCell ref="U31:V31"/>
    <mergeCell ref="M161:N161"/>
    <mergeCell ref="U158:V158"/>
    <mergeCell ref="F29:G29"/>
    <mergeCell ref="M111:N111"/>
    <mergeCell ref="M98:N98"/>
    <mergeCell ref="F158:G158"/>
    <mergeCell ref="U105:V105"/>
    <mergeCell ref="F133:G133"/>
    <mergeCell ref="C63:D63"/>
    <mergeCell ref="C134:D134"/>
    <mergeCell ref="U120:V120"/>
    <mergeCell ref="C50:D50"/>
    <mergeCell ref="F160:G160"/>
    <mergeCell ref="U107:V107"/>
    <mergeCell ref="F135:G135"/>
    <mergeCell ref="U57:V57"/>
    <mergeCell ref="M16:N16"/>
    <mergeCell ref="F122:G122"/>
    <mergeCell ref="C163:D163"/>
    <mergeCell ref="F153:G153"/>
    <mergeCell ref="U100:V100"/>
    <mergeCell ref="F72:G72"/>
    <mergeCell ref="C138:D138"/>
    <mergeCell ref="C76:D76"/>
    <mergeCell ref="M124:N124"/>
    <mergeCell ref="C27:D27"/>
    <mergeCell ref="U115:V115"/>
    <mergeCell ref="M18:N18"/>
    <mergeCell ref="C119:D119"/>
    <mergeCell ref="M45:N45"/>
    <mergeCell ref="U42:V42"/>
    <mergeCell ref="M116:N116"/>
    <mergeCell ref="U102:V102"/>
    <mergeCell ref="M17:N17"/>
    <mergeCell ref="U148:V148"/>
    <mergeCell ref="M126:N126"/>
    <mergeCell ref="C158:D158"/>
    <mergeCell ref="M47:N47"/>
    <mergeCell ref="M19:N19"/>
    <mergeCell ref="F88:G88"/>
    <mergeCell ref="F148:G148"/>
    <mergeCell ref="F54:G54"/>
    <mergeCell ref="F19:G19"/>
    <mergeCell ref="M44:N44"/>
    <mergeCell ref="F146:G146"/>
    <mergeCell ref="C45:D45"/>
    <mergeCell ref="M142:N142"/>
    <mergeCell ref="M129:N129"/>
    <mergeCell ref="U108:V108"/>
    <mergeCell ref="F83:G83"/>
    <mergeCell ref="C147:D147"/>
    <mergeCell ref="C109:D109"/>
    <mergeCell ref="U95:V95"/>
    <mergeCell ref="M144:N144"/>
    <mergeCell ref="M73:N73"/>
    <mergeCell ref="U70:V70"/>
    <mergeCell ref="C47:D47"/>
    <mergeCell ref="F20:G20"/>
    <mergeCell ref="F85:G85"/>
    <mergeCell ref="U32:V32"/>
    <mergeCell ref="U159:V159"/>
    <mergeCell ref="M137:N137"/>
    <mergeCell ref="U97:V97"/>
    <mergeCell ref="C40:D40"/>
    <mergeCell ref="U47:V47"/>
    <mergeCell ref="M164:N164"/>
    <mergeCell ref="U161:V161"/>
    <mergeCell ref="M139:N139"/>
    <mergeCell ref="C71:D71"/>
    <mergeCell ref="M41:N41"/>
    <mergeCell ref="C8:D8"/>
    <mergeCell ref="F9:G9"/>
    <mergeCell ref="A177:M177"/>
    <mergeCell ref="U121:V121"/>
    <mergeCell ref="M24:N24"/>
    <mergeCell ref="F161:G161"/>
    <mergeCell ref="F136:G136"/>
    <mergeCell ref="U129:V129"/>
    <mergeCell ref="C66:D66"/>
    <mergeCell ref="M66:N66"/>
    <mergeCell ref="U123:V123"/>
    <mergeCell ref="M63:N63"/>
    <mergeCell ref="A179:M179"/>
    <mergeCell ref="U63:V63"/>
    <mergeCell ref="C102:D102"/>
    <mergeCell ref="C53:D53"/>
    <mergeCell ref="U110:V110"/>
    <mergeCell ref="M53:N53"/>
    <mergeCell ref="U50:V50"/>
    <mergeCell ref="U44:V44"/>
    <mergeCell ref="C77:D77"/>
    <mergeCell ref="M130:N130"/>
    <mergeCell ref="C68:D68"/>
    <mergeCell ref="M68:N68"/>
    <mergeCell ref="M117:N117"/>
    <mergeCell ref="M55:N55"/>
    <mergeCell ref="C160:D160"/>
    <mergeCell ref="C141:D141"/>
    <mergeCell ref="M67:N67"/>
    <mergeCell ref="M5:N5"/>
    <mergeCell ref="A180:M180"/>
    <mergeCell ref="M132:N132"/>
    <mergeCell ref="M48:N48"/>
    <mergeCell ref="U45:V45"/>
    <mergeCell ref="M119:N119"/>
    <mergeCell ref="C143:D143"/>
    <mergeCell ref="M69:N69"/>
    <mergeCell ref="F154:G154"/>
    <mergeCell ref="C59:D59"/>
    <mergeCell ref="F91:G91"/>
    <mergeCell ref="C46:D46"/>
    <mergeCell ref="C21:D21"/>
    <mergeCell ref="F156:G156"/>
    <mergeCell ref="U103:V103"/>
    <mergeCell ref="U134:V134"/>
    <mergeCell ref="M81:N81"/>
    <mergeCell ref="M37:N37"/>
    <mergeCell ref="C61:D61"/>
    <mergeCell ref="F155:G155"/>
    <mergeCell ref="F22:G22"/>
    <mergeCell ref="F93:G93"/>
    <mergeCell ref="F149:G149"/>
    <mergeCell ref="C48:D48"/>
    <mergeCell ref="M145:N145"/>
    <mergeCell ref="U142:V142"/>
    <mergeCell ref="C23:D23"/>
    <mergeCell ref="U55:V55"/>
    <mergeCell ref="C125:D125"/>
    <mergeCell ref="C161:D161"/>
    <mergeCell ref="F151:G151"/>
    <mergeCell ref="U98:V98"/>
    <mergeCell ref="M147:N147"/>
    <mergeCell ref="M38:N38"/>
    <mergeCell ref="M122:N122"/>
    <mergeCell ref="C154:D154"/>
    <mergeCell ref="F11:G11"/>
    <mergeCell ref="C156:D156"/>
    <mergeCell ref="C74:D74"/>
    <mergeCell ref="F40:G40"/>
    <mergeCell ref="F12:G12"/>
    <mergeCell ref="C16:D16"/>
    <mergeCell ref="F104:G104"/>
    <mergeCell ref="C103:D103"/>
    <mergeCell ref="M94:N94"/>
    <mergeCell ref="C9:D9"/>
    <mergeCell ref="C118:D118"/>
    <mergeCell ref="U66:V66"/>
    <mergeCell ref="M140:N140"/>
    <mergeCell ref="U126:V126"/>
    <mergeCell ref="F41:G41"/>
    <mergeCell ref="F35:G35"/>
    <mergeCell ref="F106:G106"/>
    <mergeCell ref="U53:V53"/>
    <mergeCell ref="M158:N158"/>
    <mergeCell ref="M77:N77"/>
    <mergeCell ref="M133:N133"/>
    <mergeCell ref="U130:V130"/>
    <mergeCell ref="U68:V68"/>
    <mergeCell ref="C11:D11"/>
    <mergeCell ref="U117:V117"/>
    <mergeCell ref="M160:N160"/>
    <mergeCell ref="M135:N135"/>
    <mergeCell ref="F130:G130"/>
    <mergeCell ref="M72:N72"/>
    <mergeCell ref="C96:D96"/>
    <mergeCell ref="F157:G157"/>
    <mergeCell ref="F132:G132"/>
    <mergeCell ref="U79:V79"/>
    <mergeCell ref="C87:D87"/>
    <mergeCell ref="M87:N87"/>
    <mergeCell ref="U144:V144"/>
    <mergeCell ref="C62:D62"/>
    <mergeCell ref="U119:V119"/>
    <mergeCell ref="M59:N59"/>
    <mergeCell ref="C98:D98"/>
    <mergeCell ref="F25:G25"/>
    <mergeCell ref="U81:V81"/>
    <mergeCell ref="C89:D89"/>
    <mergeCell ref="C116:D116"/>
    <mergeCell ref="C64:D64"/>
    <mergeCell ref="C162:D162"/>
    <mergeCell ref="M88:N88"/>
    <mergeCell ref="M148:N148"/>
    <mergeCell ref="U145:V145"/>
    <mergeCell ref="M82:N82"/>
    <mergeCell ref="M153:N153"/>
    <mergeCell ref="U139:V139"/>
    <mergeCell ref="M54:N54"/>
    <mergeCell ref="C93:D93"/>
    <mergeCell ref="U16:V16"/>
    <mergeCell ref="C164:D164"/>
    <mergeCell ref="M90:N90"/>
    <mergeCell ref="U122:V122"/>
    <mergeCell ref="F125:G125"/>
    <mergeCell ref="U28:V28"/>
    <mergeCell ref="M85:N85"/>
    <mergeCell ref="F13:G13"/>
    <mergeCell ref="F56:G56"/>
    <mergeCell ref="C17:D17"/>
    <mergeCell ref="F105:G105"/>
    <mergeCell ref="F43:G43"/>
    <mergeCell ref="F120:G120"/>
    <mergeCell ref="U67:V67"/>
    <mergeCell ref="M141:N141"/>
    <mergeCell ref="U138:V138"/>
    <mergeCell ref="C19:D19"/>
    <mergeCell ref="U132:V132"/>
    <mergeCell ref="F107:G107"/>
    <mergeCell ref="U5:V5"/>
    <mergeCell ref="C111:D111"/>
    <mergeCell ref="F57:G57"/>
    <mergeCell ref="C83:D83"/>
    <mergeCell ref="U69:V69"/>
    <mergeCell ref="M143:N143"/>
    <mergeCell ref="M118:N118"/>
    <mergeCell ref="C14:D14"/>
    <mergeCell ref="N179:V179"/>
    <mergeCell ref="F33:G33"/>
    <mergeCell ref="C137:D137"/>
    <mergeCell ref="C124:D124"/>
    <mergeCell ref="F75:G75"/>
    <mergeCell ref="U160:V160"/>
    <mergeCell ref="C139:D139"/>
    <mergeCell ref="C90:D90"/>
    <mergeCell ref="U147:V147"/>
    <mergeCell ref="U87:V87"/>
    <mergeCell ref="F62:G62"/>
    <mergeCell ref="F31:G31"/>
    <mergeCell ref="M27:N27"/>
    <mergeCell ref="C132:D132"/>
    <mergeCell ref="F28:G28"/>
    <mergeCell ref="M154:N154"/>
    <mergeCell ref="U24:V24"/>
    <mergeCell ref="U89:V89"/>
    <mergeCell ref="U18:V18"/>
    <mergeCell ref="F39:G39"/>
    <mergeCell ref="M91:N91"/>
    <mergeCell ref="U82:V82"/>
    <mergeCell ref="M156:N156"/>
    <mergeCell ref="M155:N155"/>
    <mergeCell ref="U19:V19"/>
    <mergeCell ref="M93:N93"/>
    <mergeCell ref="F64:G64"/>
    <mergeCell ref="C108:D108"/>
    <mergeCell ref="F128:G128"/>
    <mergeCell ref="M9:N9"/>
    <mergeCell ref="C20:D20"/>
    <mergeCell ref="F21:G21"/>
    <mergeCell ref="U77:V77"/>
    <mergeCell ref="C85:D85"/>
    <mergeCell ref="M11:N11"/>
    <mergeCell ref="C112:D112"/>
    <mergeCell ref="M109:N109"/>
    <mergeCell ref="M169:N169"/>
    <mergeCell ref="C133:D133"/>
    <mergeCell ref="C84:D84"/>
    <mergeCell ref="U141:V141"/>
    <mergeCell ref="C127:D127"/>
    <mergeCell ref="F50:G50"/>
    <mergeCell ref="U135:V135"/>
    <mergeCell ref="F110:G110"/>
    <mergeCell ref="M75:N75"/>
    <mergeCell ref="C22:D22"/>
    <mergeCell ref="C114:D114"/>
    <mergeCell ref="M40:N40"/>
    <mergeCell ref="U37:V37"/>
    <mergeCell ref="M15:N15"/>
    <mergeCell ref="U12:V12"/>
    <mergeCell ref="U72:V72"/>
    <mergeCell ref="M12:N12"/>
    <mergeCell ref="U143:V143"/>
    <mergeCell ref="C51:D51"/>
    <mergeCell ref="A1:V1"/>
    <mergeCell ref="M104:N104"/>
    <mergeCell ref="F141:G141"/>
    <mergeCell ref="M106:N106"/>
    <mergeCell ref="C38:D38"/>
    <mergeCell ref="U113:V113"/>
    <mergeCell ref="F49:G49"/>
    <mergeCell ref="F14:G14"/>
    <mergeCell ref="C140:D140"/>
    <mergeCell ref="U88:V88"/>
    <mergeCell ref="M162:N162"/>
    <mergeCell ref="U26:V26"/>
    <mergeCell ref="U153:V153"/>
    <mergeCell ref="F78:G78"/>
    <mergeCell ref="C33:D33"/>
    <mergeCell ref="C104:D104"/>
    <mergeCell ref="U90:V90"/>
    <mergeCell ref="F65:G65"/>
    <mergeCell ref="M170:N170"/>
    <mergeCell ref="U27:V27"/>
    <mergeCell ref="M157:N157"/>
    <mergeCell ref="U154:V154"/>
    <mergeCell ref="C35:D35"/>
    <mergeCell ref="F55:G55"/>
    <mergeCell ref="C10:D10"/>
    <mergeCell ref="U25:V25"/>
    <mergeCell ref="C99:D99"/>
    <mergeCell ref="F129:G129"/>
    <mergeCell ref="M30:N30"/>
    <mergeCell ref="C130:D130"/>
    <mergeCell ref="U116:V116"/>
    <mergeCell ref="M46:N46"/>
    <mergeCell ref="F131:G131"/>
    <mergeCell ref="C135:D135"/>
    <mergeCell ref="M61:N61"/>
    <mergeCell ref="F58:G58"/>
    <mergeCell ref="U118:V118"/>
    <mergeCell ref="F52:G52"/>
    <mergeCell ref="C159:D159"/>
    <mergeCell ref="C122:D122"/>
    <mergeCell ref="C153:D153"/>
    <mergeCell ref="F37:G37"/>
    <mergeCell ref="C72:D72"/>
    <mergeCell ref="M125:N125"/>
    <mergeCell ref="F60:G60"/>
    <mergeCell ref="M14:N14"/>
    <mergeCell ref="U38:V38"/>
    <mergeCell ref="M112:N112"/>
    <mergeCell ref="A6:F6"/>
    <mergeCell ref="C136:D136"/>
    <mergeCell ref="M56:N56"/>
    <mergeCell ref="A175:M175"/>
    <mergeCell ref="M127:N127"/>
    <mergeCell ref="F53:G53"/>
    <mergeCell ref="M43:N43"/>
    <mergeCell ref="U40:V40"/>
    <mergeCell ref="M114:N114"/>
    <mergeCell ref="F68:G68"/>
    <mergeCell ref="U15:V15"/>
    <mergeCell ref="M107:N107"/>
    <mergeCell ref="F84:G84"/>
    <mergeCell ref="U96:V96"/>
    <mergeCell ref="C54:D54"/>
    <mergeCell ref="F15:G15"/>
    <mergeCell ref="F86:G86"/>
    <mergeCell ref="F142:G142"/>
    <mergeCell ref="F80:G80"/>
    <mergeCell ref="C146:D146"/>
    <mergeCell ref="M138:N138"/>
    <mergeCell ref="C41:D41"/>
    <mergeCell ref="F79:G79"/>
    <mergeCell ref="C56:D56"/>
    <mergeCell ref="F144:G144"/>
    <mergeCell ref="C105:D105"/>
    <mergeCell ref="U162:V162"/>
    <mergeCell ref="U91:V91"/>
    <mergeCell ref="D166:H166"/>
    <mergeCell ref="U156:V156"/>
    <mergeCell ref="C43:D43"/>
    <mergeCell ref="M25:N25"/>
    <mergeCell ref="C120:D120"/>
    <mergeCell ref="U106:V106"/>
    <mergeCell ref="F81:G81"/>
    <mergeCell ref="C36:D36"/>
    <mergeCell ref="M36:N36"/>
    <mergeCell ref="U93:V93"/>
    <mergeCell ref="M33:N33"/>
    <mergeCell ref="U164:V164"/>
    <mergeCell ref="U33:V33"/>
    <mergeCell ref="M8:N8"/>
    <mergeCell ref="C149:D149"/>
    <mergeCell ref="M100:N100"/>
    <mergeCell ref="U157:V157"/>
    <mergeCell ref="C67:D67"/>
    <mergeCell ref="M62:N62"/>
    <mergeCell ref="N174:V174"/>
    <mergeCell ref="M102:N102"/>
    <mergeCell ref="C69:D69"/>
    <mergeCell ref="A2:V2"/>
    <mergeCell ref="U109:V109"/>
    <mergeCell ref="F10:G10"/>
    <mergeCell ref="F63:G63"/>
    <mergeCell ref="U59:V59"/>
    <mergeCell ref="F34:G34"/>
    <mergeCell ref="F99:G99"/>
    <mergeCell ref="U46:V46"/>
    <mergeCell ref="U111:V111"/>
    <mergeCell ref="F74:G74"/>
    <mergeCell ref="M64:N64"/>
    <mergeCell ref="U61:V61"/>
    <mergeCell ref="F30:G30"/>
    <mergeCell ref="M51:N51"/>
    <mergeCell ref="U104:V104"/>
    <mergeCell ref="U48:V48"/>
    <mergeCell ref="F138:G138"/>
    <mergeCell ref="F5:G5"/>
    <mergeCell ref="F76:G76"/>
    <mergeCell ref="A176:M176"/>
    <mergeCell ref="M128:N128"/>
    <mergeCell ref="F94:G94"/>
    <mergeCell ref="U41:V41"/>
    <mergeCell ref="M65:N65"/>
    <mergeCell ref="U56:V56"/>
    <mergeCell ref="A178:M178"/>
    <mergeCell ref="M21:N21"/>
    <mergeCell ref="C60:D60"/>
    <mergeCell ref="U43:V43"/>
    <mergeCell ref="F150:G150"/>
    <mergeCell ref="C91:D91"/>
    <mergeCell ref="F152:G152"/>
    <mergeCell ref="C82:D82"/>
    <mergeCell ref="C57:D57"/>
    <mergeCell ref="U114:V114"/>
    <mergeCell ref="C155:D155"/>
    <mergeCell ref="M146:N146"/>
    <mergeCell ref="C86:D86"/>
    <mergeCell ref="F87:G87"/>
    <mergeCell ref="C157:D157"/>
    <mergeCell ref="F147:G147"/>
    <mergeCell ref="M83:N83"/>
    <mergeCell ref="C151:D151"/>
    <mergeCell ref="M34:N34"/>
    <mergeCell ref="U34:V34"/>
    <mergeCell ref="U9:V9"/>
    <mergeCell ref="C58:D58"/>
    <mergeCell ref="M52:N52"/>
    <mergeCell ref="U49:V49"/>
    <mergeCell ref="M49:N49"/>
    <mergeCell ref="F89:G89"/>
    <mergeCell ref="M39:N39"/>
    <mergeCell ref="U36:V36"/>
    <mergeCell ref="U30:V30"/>
    <mergeCell ref="F7:G7"/>
    <mergeCell ref="C152:D152"/>
    <mergeCell ref="M78:N78"/>
    <mergeCell ref="C75:D75"/>
    <mergeCell ref="F36:G36"/>
    <mergeCell ref="F163:G163"/>
    <mergeCell ref="F101:G101"/>
    <mergeCell ref="F8:G8"/>
    <mergeCell ref="C12:D12"/>
    <mergeCell ref="U125:V125"/>
    <mergeCell ref="F100:G100"/>
    <mergeCell ref="U112:V112"/>
    <mergeCell ref="F115:G115"/>
    <mergeCell ref="U62:V62"/>
    <mergeCell ref="M136:N136"/>
    <mergeCell ref="C70:D70"/>
    <mergeCell ref="U127:V127"/>
    <mergeCell ref="F102:G102"/>
    <mergeCell ref="C106:D106"/>
    <mergeCell ref="F77:G77"/>
    <mergeCell ref="C32:D32"/>
    <mergeCell ref="C7:D7"/>
    <mergeCell ref="U64:V64"/>
    <mergeCell ref="M29:N29"/>
    <mergeCell ref="M23:N23"/>
    <mergeCell ref="U51:V51"/>
    <mergeCell ref="M71:N71"/>
    <mergeCell ref="M131:N131"/>
    <mergeCell ref="M58:N58"/>
    <mergeCell ref="C101:D101"/>
    <mergeCell ref="U140:V140"/>
    <mergeCell ref="F59:G59"/>
    <mergeCell ref="F24:G24"/>
    <mergeCell ref="F95:G95"/>
    <mergeCell ref="M20:N20"/>
    <mergeCell ref="U17:V17"/>
    <mergeCell ref="C25:D25"/>
    <mergeCell ref="U11:V11"/>
    <mergeCell ref="F113:G113"/>
    <mergeCell ref="F32:G32"/>
    <mergeCell ref="F159:G159"/>
    <mergeCell ref="M84:N84"/>
    <mergeCell ref="F97:G97"/>
    <mergeCell ref="F26:G26"/>
    <mergeCell ref="U75:V75"/>
    <mergeCell ref="M22:N22"/>
    <mergeCell ref="M149:N149"/>
    <mergeCell ref="F90:G90"/>
    <mergeCell ref="M86:N86"/>
    <mergeCell ref="M80:N80"/>
    <mergeCell ref="M42:N42"/>
    <mergeCell ref="M151:N151"/>
    <mergeCell ref="A166:C166"/>
    <mergeCell ref="A174:M174"/>
    <mergeCell ref="U52:V52"/>
    <mergeCell ref="F27:G27"/>
    <mergeCell ref="U39:V39"/>
    <mergeCell ref="U133:V133"/>
    <mergeCell ref="C13:D13"/>
    <mergeCell ref="F123:G123"/>
    <mergeCell ref="C78:D78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2026-10-04T17:34:28Z</dcterms:created>
  <dcterms:modified xsi:type="dcterms:W3CDTF">2026-10-04T17:34:29Z</dcterms:modified>
</cp:coreProperties>
</file>