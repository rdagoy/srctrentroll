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Mix &amp; RR Summary" sheetId="1" state="visible" r:id="rId1"/>
    <sheet name="Recent Leases" sheetId="2" state="visible" r:id="rId2"/>
    <sheet name="Unit Mix based on # of Beds" sheetId="3" state="visible" r:id="rId3"/>
    <sheet name="Pres. Rent Roll" sheetId="4" state="visible" r:id="rId4"/>
    <sheet name="OneLineRR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7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  <numFmt numFmtId="179" formatCode="yyyy-mm-dd h:mm:ss"/>
    <numFmt numFmtId="180" formatCode="[$-409]m\/d\/yy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8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Delsan Court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Delsan Court</t>
        </is>
      </c>
      <c r="E6" s="7" t="inlineStr">
        <is>
          <t>1 Bed 1 Bath</t>
        </is>
      </c>
      <c r="F6" s="8" t="n">
        <v>10</v>
      </c>
      <c r="G6" s="9" t="n">
        <v>10</v>
      </c>
      <c r="H6" s="10" t="n">
        <v>7600</v>
      </c>
      <c r="I6" s="10" t="n">
        <v>760</v>
      </c>
      <c r="J6" s="11" t="n">
        <v>11080</v>
      </c>
      <c r="K6" s="11" t="n">
        <v>1108</v>
      </c>
      <c r="L6" s="12" t="n">
        <v>1.457894736842105</v>
      </c>
      <c r="M6" s="11" t="n">
        <v>11013</v>
      </c>
      <c r="N6" s="11" t="n">
        <v>1101.3</v>
      </c>
      <c r="O6" s="12" t="n">
        <v>1.449078947368421</v>
      </c>
      <c r="P6" s="11" t="n">
        <v>1250</v>
      </c>
      <c r="Q6" s="11" t="n">
        <v>200</v>
      </c>
      <c r="S6" s="10" t="n">
        <v>7600</v>
      </c>
    </row>
    <row r="7">
      <c r="D7" s="7" t="inlineStr">
        <is>
          <t>Delsan Court</t>
        </is>
      </c>
      <c r="E7" s="7" t="inlineStr">
        <is>
          <t>2 Bed 1 Bath</t>
        </is>
      </c>
      <c r="F7" s="8" t="n">
        <v>84</v>
      </c>
      <c r="G7" s="9" t="n">
        <v>93</v>
      </c>
      <c r="H7" s="10" t="n">
        <v>86306</v>
      </c>
      <c r="I7" s="10" t="n">
        <v>928.0215053763441</v>
      </c>
      <c r="J7" s="11" t="n">
        <v>121550</v>
      </c>
      <c r="K7" s="11" t="n">
        <v>1306.989247311828</v>
      </c>
      <c r="L7" s="12" t="n">
        <v>1.408360948253887</v>
      </c>
      <c r="M7" s="11" t="n">
        <v>105290</v>
      </c>
      <c r="N7" s="11" t="n">
        <v>1253.452380952381</v>
      </c>
      <c r="O7" s="12" t="n">
        <v>1.352924547697368</v>
      </c>
      <c r="P7" s="11" t="n">
        <v>1450</v>
      </c>
      <c r="Q7" s="11" t="n">
        <v>625</v>
      </c>
      <c r="S7" s="10" t="n">
        <v>77824</v>
      </c>
    </row>
    <row r="8">
      <c r="D8" s="7" t="inlineStr">
        <is>
          <t>Delsan Court</t>
        </is>
      </c>
      <c r="E8" s="7" t="inlineStr">
        <is>
          <t>3 Bed/ 1Bath</t>
        </is>
      </c>
      <c r="F8" s="8" t="n">
        <v>3</v>
      </c>
      <c r="G8" s="9" t="n">
        <v>3</v>
      </c>
      <c r="H8" s="10" t="n">
        <v>3078</v>
      </c>
      <c r="I8" s="10" t="n">
        <v>1026</v>
      </c>
      <c r="J8" s="11" t="n">
        <v>4300</v>
      </c>
      <c r="K8" s="11" t="n">
        <v>1433.333333333333</v>
      </c>
      <c r="L8" s="12" t="n">
        <v>1.397011046133853</v>
      </c>
      <c r="M8" s="11" t="n">
        <v>4320</v>
      </c>
      <c r="N8" s="11" t="n">
        <v>1440</v>
      </c>
      <c r="O8" s="12" t="n">
        <v>1.403508771929824</v>
      </c>
      <c r="P8" s="11" t="n">
        <v>1495</v>
      </c>
      <c r="Q8" s="11" t="n">
        <v>0</v>
      </c>
      <c r="S8" s="10" t="n">
        <v>3078</v>
      </c>
    </row>
    <row r="9">
      <c r="D9" s="7" t="inlineStr">
        <is>
          <t>Delsan Court</t>
        </is>
      </c>
      <c r="E9" s="7" t="inlineStr">
        <is>
          <t>3 Bed/1Bath FP</t>
        </is>
      </c>
      <c r="F9" s="8" t="n">
        <v>3</v>
      </c>
      <c r="G9" s="9" t="n">
        <v>6</v>
      </c>
      <c r="H9" s="10" t="n">
        <v>6530</v>
      </c>
      <c r="I9" s="10" t="n">
        <v>1088.333333333333</v>
      </c>
      <c r="J9" s="11" t="n">
        <v>8245</v>
      </c>
      <c r="K9" s="11" t="n">
        <v>1374.166666666667</v>
      </c>
      <c r="L9" s="12" t="n">
        <v>1.262633996937213</v>
      </c>
      <c r="M9" s="11" t="n">
        <v>3750</v>
      </c>
      <c r="N9" s="11" t="n">
        <v>1250</v>
      </c>
      <c r="O9" s="12" t="n">
        <v>1.218323586744639</v>
      </c>
      <c r="P9" s="11" t="n">
        <v>1375</v>
      </c>
      <c r="Q9" s="11" t="n">
        <v>0</v>
      </c>
      <c r="S9" s="10" t="n">
        <v>3078</v>
      </c>
    </row>
    <row r="10">
      <c r="D10" s="7" t="inlineStr">
        <is>
          <t>Delsan Court</t>
        </is>
      </c>
      <c r="E10" s="7" t="inlineStr">
        <is>
          <t>3 Bed 1.5 Bath</t>
        </is>
      </c>
      <c r="F10" s="8" t="n">
        <v>11</v>
      </c>
      <c r="G10" s="9" t="n">
        <v>12</v>
      </c>
      <c r="H10" s="10" t="n">
        <v>14358</v>
      </c>
      <c r="I10" s="10" t="n">
        <v>1196.5</v>
      </c>
      <c r="J10" s="11" t="n">
        <v>17245</v>
      </c>
      <c r="K10" s="11" t="n">
        <v>1437.083333333333</v>
      </c>
      <c r="L10" s="12" t="n">
        <v>1.201072572781724</v>
      </c>
      <c r="M10" s="11" t="n">
        <v>15250</v>
      </c>
      <c r="N10" s="11" t="n">
        <v>1386.363636363636</v>
      </c>
      <c r="O10" s="12" t="n">
        <v>1.148170456256588</v>
      </c>
      <c r="P10" s="11" t="n">
        <v>1600</v>
      </c>
      <c r="Q10" s="11" t="n">
        <v>0</v>
      </c>
      <c r="S10" s="10" t="n">
        <v>13282</v>
      </c>
    </row>
    <row r="11">
      <c r="C11" s="13" t="inlineStr">
        <is>
          <t>Total/Wtd Average</t>
        </is>
      </c>
      <c r="D11" s="13" t="n"/>
      <c r="E11" s="13" t="n"/>
      <c r="F11" s="14" t="n">
        <v>111</v>
      </c>
      <c r="G11" s="15" t="n">
        <v>124</v>
      </c>
      <c r="H11" s="16" t="n">
        <v>117872</v>
      </c>
      <c r="I11" s="16" t="n">
        <v>950.5806451612904</v>
      </c>
      <c r="J11" s="17" t="n">
        <v>162420</v>
      </c>
      <c r="K11" s="17" t="n">
        <v>1309.838709677419</v>
      </c>
      <c r="L11" s="18" t="n">
        <v>1.377935387539025</v>
      </c>
      <c r="M11" s="17" t="n">
        <v>139623</v>
      </c>
      <c r="N11" s="17" t="n">
        <v>1257.864864864865</v>
      </c>
      <c r="O11" s="18" t="n">
        <v>1.331492819133719</v>
      </c>
      <c r="P11" s="17" t="n">
        <v>1445.846774193548</v>
      </c>
      <c r="Q11" s="17" t="n">
        <v>825</v>
      </c>
      <c r="S11" s="16" t="n">
        <v>104862</v>
      </c>
    </row>
    <row r="13">
      <c r="C13" s="19" t="inlineStr">
        <is>
          <t>Total Units</t>
        </is>
      </c>
      <c r="D13" s="20" t="n"/>
      <c r="E13" s="20" t="n"/>
      <c r="F13" s="20" t="n"/>
      <c r="G13" s="21" t="n">
        <v>124</v>
      </c>
    </row>
    <row r="14">
      <c r="C14" s="19" t="inlineStr">
        <is>
          <t>Occupied Units</t>
        </is>
      </c>
      <c r="D14" s="20" t="n"/>
      <c r="E14" s="20" t="n"/>
      <c r="F14" s="20" t="n"/>
      <c r="G14" s="21" t="n">
        <v>111</v>
      </c>
    </row>
    <row r="15">
      <c r="C15" s="19" t="inlineStr">
        <is>
          <t>Unit Occupancy</t>
        </is>
      </c>
      <c r="D15" s="20" t="n"/>
      <c r="E15" s="20" t="n"/>
      <c r="F15" s="20" t="n"/>
      <c r="G15" s="22" t="n">
        <v>0.8951612903225806</v>
      </c>
    </row>
    <row r="16">
      <c r="C16" s="19" t="inlineStr">
        <is>
          <t>Total Square Feet</t>
        </is>
      </c>
      <c r="D16" s="20" t="n"/>
      <c r="E16" s="20" t="n"/>
      <c r="F16" s="20" t="n"/>
      <c r="G16" s="23" t="n">
        <v>117872</v>
      </c>
    </row>
    <row r="17">
      <c r="C17" s="19" t="inlineStr">
        <is>
          <t>Occupied Square Feet</t>
        </is>
      </c>
      <c r="D17" s="20" t="n"/>
      <c r="E17" s="20" t="n"/>
      <c r="F17" s="20" t="n"/>
      <c r="G17" s="23" t="n">
        <v>104862</v>
      </c>
    </row>
    <row r="18">
      <c r="C18" s="19" t="inlineStr">
        <is>
          <t>Square Feet Occupancy</t>
        </is>
      </c>
      <c r="D18" s="20" t="n"/>
      <c r="E18" s="20" t="n"/>
      <c r="F18" s="20" t="n"/>
      <c r="G18" s="22" t="n">
        <v>0.8896260350210398</v>
      </c>
    </row>
    <row r="20">
      <c r="C20" s="19" t="inlineStr">
        <is>
          <t>Market Rent Annualized</t>
        </is>
      </c>
      <c r="D20" s="20" t="n"/>
      <c r="E20" s="20" t="n"/>
      <c r="F20" s="20" t="n"/>
      <c r="G20" s="24" t="n">
        <v>1949040</v>
      </c>
    </row>
    <row r="21">
      <c r="C21" s="19" t="inlineStr">
        <is>
          <t>In-Place Rent Annualized</t>
        </is>
      </c>
      <c r="D21" s="20" t="n"/>
      <c r="E21" s="20" t="n"/>
      <c r="F21" s="20" t="n"/>
      <c r="G21" s="24" t="n">
        <v>1675476</v>
      </c>
    </row>
    <row r="22">
      <c r="C22" s="19" t="inlineStr">
        <is>
          <t>Other Income Annualized</t>
        </is>
      </c>
      <c r="D22" s="20" t="n"/>
      <c r="E22" s="20" t="n"/>
      <c r="F22" s="20" t="n"/>
      <c r="G22" s="24" t="n">
        <v>9900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124</v>
      </c>
    </row>
    <row r="43">
      <c r="U43" s="26" t="inlineStr">
        <is>
          <t>Occ Units</t>
        </is>
      </c>
      <c r="W43" s="27" t="n">
        <v>111</v>
      </c>
    </row>
    <row r="44">
      <c r="U44" s="26" t="inlineStr">
        <is>
          <t>Unit %Occ</t>
        </is>
      </c>
      <c r="W44" s="28" t="n">
        <v>0.8951612903225806</v>
      </c>
    </row>
    <row r="45">
      <c r="U45" s="26" t="inlineStr">
        <is>
          <t>Net Sq Ft</t>
        </is>
      </c>
      <c r="W45" s="27" t="n">
        <v>117872</v>
      </c>
    </row>
    <row r="46">
      <c r="U46" s="26" t="inlineStr">
        <is>
          <t>SF Occ</t>
        </is>
      </c>
      <c r="W46" s="27" t="n">
        <v>104862</v>
      </c>
    </row>
    <row r="47">
      <c r="U47" s="26" t="inlineStr">
        <is>
          <t>% SF Occ</t>
        </is>
      </c>
      <c r="W47" s="28" t="n">
        <v>0.8896260350210398</v>
      </c>
    </row>
    <row r="48">
      <c r="U48" s="26" t="inlineStr">
        <is>
          <t>Mkt Rent</t>
        </is>
      </c>
      <c r="W48" s="27" t="n">
        <v>162420</v>
      </c>
    </row>
    <row r="49">
      <c r="U49" s="26" t="inlineStr">
        <is>
          <t>Cont Rent</t>
        </is>
      </c>
      <c r="W49" s="27" t="n">
        <v>139623</v>
      </c>
    </row>
    <row r="50">
      <c r="U50" s="26" t="inlineStr">
        <is>
          <t>Conc</t>
        </is>
      </c>
      <c r="W50" s="27" t="n">
        <v>0</v>
      </c>
    </row>
    <row r="51">
      <c r="U51" s="26" t="inlineStr">
        <is>
          <t>Other Inc</t>
        </is>
      </c>
      <c r="W51" s="27" t="n">
        <v>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Delsan Court</t>
        </is>
      </c>
      <c r="Y3" s="30" t="n">
        <v>46265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Delsan Court</t>
        </is>
      </c>
      <c r="E7" s="36" t="inlineStr">
        <is>
          <t>1 Bed 1 Bath</t>
        </is>
      </c>
      <c r="F7" s="37" t="n">
        <v>10</v>
      </c>
      <c r="G7" s="9" t="n">
        <v>10</v>
      </c>
      <c r="H7" s="10" t="n">
        <v>7600</v>
      </c>
      <c r="I7" s="10" t="n">
        <v>760</v>
      </c>
      <c r="J7" s="11" t="n">
        <v>1108</v>
      </c>
      <c r="K7" s="38" t="n">
        <v>1108</v>
      </c>
      <c r="L7" s="11" t="n">
        <v>1101.3</v>
      </c>
      <c r="M7" s="39" t="n">
        <v>0.9939530685920577</v>
      </c>
      <c r="N7" s="38" t="n">
        <v>1095</v>
      </c>
      <c r="O7" s="40" t="n">
        <v>1</v>
      </c>
      <c r="P7" s="11" t="n">
        <v>1095</v>
      </c>
      <c r="Q7" s="40" t="n">
        <v>1</v>
      </c>
      <c r="R7" s="11" t="n">
        <v>1095</v>
      </c>
      <c r="S7" s="40" t="n">
        <v>1</v>
      </c>
      <c r="T7" s="11" t="inlineStr">
        <is>
          <t>n/a</t>
        </is>
      </c>
      <c r="U7" s="40" t="n">
        <v>0</v>
      </c>
      <c r="V7" s="11" t="inlineStr">
        <is>
          <t>n/a</t>
        </is>
      </c>
      <c r="W7" s="40" t="n">
        <v>0</v>
      </c>
    </row>
    <row r="8">
      <c r="D8" s="36" t="inlineStr">
        <is>
          <t>Delsan Court</t>
        </is>
      </c>
      <c r="E8" s="36" t="inlineStr">
        <is>
          <t>2 Bed 1 Bath</t>
        </is>
      </c>
      <c r="F8" s="37" t="n">
        <v>84</v>
      </c>
      <c r="G8" s="9" t="n">
        <v>93</v>
      </c>
      <c r="H8" s="10" t="n">
        <v>86306</v>
      </c>
      <c r="I8" s="10" t="n">
        <v>928.0215053763441</v>
      </c>
      <c r="J8" s="11" t="n">
        <v>1306.989247311828</v>
      </c>
      <c r="K8" s="38" t="n">
        <v>1318.452380952381</v>
      </c>
      <c r="L8" s="11" t="n">
        <v>1253.452380952381</v>
      </c>
      <c r="M8" s="39" t="n">
        <v>0.9506997742663656</v>
      </c>
      <c r="N8" s="38" t="n">
        <v>1251.153846153846</v>
      </c>
      <c r="O8" s="40" t="n">
        <v>13</v>
      </c>
      <c r="P8" s="11" t="n">
        <v>1243.75</v>
      </c>
      <c r="Q8" s="40" t="n">
        <v>8</v>
      </c>
      <c r="R8" s="11" t="n">
        <v>1233.333333333333</v>
      </c>
      <c r="S8" s="40" t="n">
        <v>3</v>
      </c>
      <c r="T8" s="11" t="n">
        <v>1200</v>
      </c>
      <c r="U8" s="40" t="n">
        <v>1</v>
      </c>
      <c r="V8" s="11" t="n">
        <v>1200</v>
      </c>
      <c r="W8" s="40" t="n">
        <v>1</v>
      </c>
    </row>
    <row r="9">
      <c r="D9" s="36" t="inlineStr">
        <is>
          <t>Delsan Court</t>
        </is>
      </c>
      <c r="E9" s="36" t="inlineStr">
        <is>
          <t>3 Bed/ 1Bath</t>
        </is>
      </c>
      <c r="F9" s="37" t="n">
        <v>3</v>
      </c>
      <c r="G9" s="9" t="n">
        <v>3</v>
      </c>
      <c r="H9" s="10" t="n">
        <v>3078</v>
      </c>
      <c r="I9" s="10" t="n">
        <v>1026</v>
      </c>
      <c r="J9" s="11" t="n">
        <v>1433.333333333333</v>
      </c>
      <c r="K9" s="38" t="n">
        <v>1433.333333333333</v>
      </c>
      <c r="L9" s="11" t="n">
        <v>1440</v>
      </c>
      <c r="M9" s="39" t="n">
        <v>1.004651162790698</v>
      </c>
      <c r="N9" s="38" t="n">
        <v>1375</v>
      </c>
      <c r="O9" s="40" t="n">
        <v>1</v>
      </c>
      <c r="P9" s="11" t="inlineStr">
        <is>
          <t>n/a</t>
        </is>
      </c>
      <c r="Q9" s="40" t="n">
        <v>0</v>
      </c>
      <c r="R9" s="11" t="inlineStr">
        <is>
          <t>n/a</t>
        </is>
      </c>
      <c r="S9" s="40" t="n">
        <v>0</v>
      </c>
      <c r="T9" s="11" t="inlineStr">
        <is>
          <t>n/a</t>
        </is>
      </c>
      <c r="U9" s="40" t="n">
        <v>0</v>
      </c>
      <c r="V9" s="11" t="inlineStr">
        <is>
          <t>n/a</t>
        </is>
      </c>
      <c r="W9" s="40" t="n">
        <v>0</v>
      </c>
    </row>
    <row r="10">
      <c r="D10" s="36" t="inlineStr">
        <is>
          <t>Delsan Court</t>
        </is>
      </c>
      <c r="E10" s="36" t="inlineStr">
        <is>
          <t>3 Bed/1Bath FP</t>
        </is>
      </c>
      <c r="F10" s="37" t="n">
        <v>3</v>
      </c>
      <c r="G10" s="9" t="n">
        <v>6</v>
      </c>
      <c r="H10" s="10" t="n">
        <v>6530</v>
      </c>
      <c r="I10" s="10" t="n">
        <v>1088.333333333333</v>
      </c>
      <c r="J10" s="11" t="n">
        <v>1374.166666666667</v>
      </c>
      <c r="K10" s="38" t="n">
        <v>1373.333333333333</v>
      </c>
      <c r="L10" s="11" t="n">
        <v>1250</v>
      </c>
      <c r="M10" s="39" t="n">
        <v>0.9101941747572816</v>
      </c>
      <c r="N10" s="38" t="inlineStr">
        <is>
          <t>n/a</t>
        </is>
      </c>
      <c r="O10" s="40" t="n">
        <v>0</v>
      </c>
      <c r="P10" s="11" t="inlineStr">
        <is>
          <t>n/a</t>
        </is>
      </c>
      <c r="Q10" s="40" t="n">
        <v>0</v>
      </c>
      <c r="R10" s="11" t="inlineStr">
        <is>
          <t>n/a</t>
        </is>
      </c>
      <c r="S10" s="40" t="n">
        <v>0</v>
      </c>
      <c r="T10" s="11" t="inlineStr">
        <is>
          <t>n/a</t>
        </is>
      </c>
      <c r="U10" s="40" t="n">
        <v>0</v>
      </c>
      <c r="V10" s="11" t="inlineStr">
        <is>
          <t>n/a</t>
        </is>
      </c>
      <c r="W10" s="40" t="n">
        <v>0</v>
      </c>
    </row>
    <row r="11">
      <c r="D11" s="36" t="inlineStr">
        <is>
          <t>Delsan Court</t>
        </is>
      </c>
      <c r="E11" s="36" t="inlineStr">
        <is>
          <t>3 Bed 1.5 Bath</t>
        </is>
      </c>
      <c r="F11" s="37" t="n">
        <v>11</v>
      </c>
      <c r="G11" s="9" t="n">
        <v>12</v>
      </c>
      <c r="H11" s="10" t="n">
        <v>14358</v>
      </c>
      <c r="I11" s="10" t="n">
        <v>1196.5</v>
      </c>
      <c r="J11" s="11" t="n">
        <v>1437.083333333333</v>
      </c>
      <c r="K11" s="38" t="n">
        <v>1458.636363636364</v>
      </c>
      <c r="L11" s="11" t="n">
        <v>1386.363636363636</v>
      </c>
      <c r="M11" s="39" t="n">
        <v>0.9504518541601744</v>
      </c>
      <c r="N11" s="38" t="n">
        <v>1200</v>
      </c>
      <c r="O11" s="40" t="n">
        <v>1</v>
      </c>
      <c r="P11" s="11" t="n">
        <v>1200</v>
      </c>
      <c r="Q11" s="40" t="n">
        <v>1</v>
      </c>
      <c r="R11" s="11" t="n">
        <v>1200</v>
      </c>
      <c r="S11" s="40" t="n">
        <v>1</v>
      </c>
      <c r="T11" s="11" t="n">
        <v>1200</v>
      </c>
      <c r="U11" s="40" t="n">
        <v>1</v>
      </c>
      <c r="V11" s="11" t="inlineStr">
        <is>
          <t>n/a</t>
        </is>
      </c>
      <c r="W11" s="40" t="n">
        <v>0</v>
      </c>
    </row>
    <row r="12">
      <c r="C12" s="13" t="inlineStr">
        <is>
          <t>Total/Wtd Average</t>
        </is>
      </c>
      <c r="D12" s="41" t="n"/>
      <c r="E12" s="41" t="n"/>
      <c r="F12" s="15" t="n">
        <v>111</v>
      </c>
      <c r="G12" s="15" t="n">
        <v>124</v>
      </c>
      <c r="H12" s="16" t="n">
        <v>117872</v>
      </c>
      <c r="I12" s="16" t="n">
        <v>950.5806451612904</v>
      </c>
      <c r="J12" s="17" t="n">
        <v>1309.838709677419</v>
      </c>
      <c r="K12" s="42" t="n">
        <v>1317.972972972973</v>
      </c>
      <c r="L12" s="17" t="n">
        <v>1257.864864864865</v>
      </c>
      <c r="M12" s="43" t="n">
        <v>0.9543935199425817</v>
      </c>
      <c r="N12" s="42" t="inlineStr">
        <is>
          <t>n/a</t>
        </is>
      </c>
      <c r="O12" s="44" t="n">
        <v>16</v>
      </c>
      <c r="P12" s="17" t="inlineStr">
        <is>
          <t>n/a</t>
        </is>
      </c>
      <c r="Q12" s="44" t="n">
        <v>10</v>
      </c>
      <c r="R12" s="17" t="inlineStr">
        <is>
          <t>n/a</t>
        </is>
      </c>
      <c r="S12" s="44" t="n">
        <v>5</v>
      </c>
      <c r="T12" s="17" t="inlineStr">
        <is>
          <t>n/a</t>
        </is>
      </c>
      <c r="U12" s="44" t="n">
        <v>2</v>
      </c>
      <c r="V12" s="17" t="inlineStr">
        <is>
          <t>n/a</t>
        </is>
      </c>
      <c r="W12" s="45" t="n">
        <v>1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124</v>
      </c>
    </row>
    <row r="60">
      <c r="Z60" s="26" t="inlineStr">
        <is>
          <t>Occ Units</t>
        </is>
      </c>
      <c r="AB60" s="27" t="n">
        <v>111</v>
      </c>
    </row>
    <row r="61">
      <c r="Z61" s="26" t="inlineStr">
        <is>
          <t>Unit %Occ</t>
        </is>
      </c>
      <c r="AB61" s="28" t="n">
        <v>0.8951612903225806</v>
      </c>
    </row>
    <row r="62">
      <c r="Z62" s="26" t="inlineStr">
        <is>
          <t>Net Sq Ft</t>
        </is>
      </c>
      <c r="AB62" s="27" t="n">
        <v>117872</v>
      </c>
    </row>
    <row r="63">
      <c r="Z63" s="26" t="inlineStr">
        <is>
          <t>SF Occ</t>
        </is>
      </c>
      <c r="AB63" s="27" t="n">
        <v>104862</v>
      </c>
    </row>
    <row r="64">
      <c r="Z64" s="26" t="inlineStr">
        <is>
          <t>% SF Occ</t>
        </is>
      </c>
      <c r="AB64" s="28" t="n">
        <v>0.8896260350210398</v>
      </c>
    </row>
    <row r="65">
      <c r="Z65" s="26" t="inlineStr">
        <is>
          <t>Mkt Rent</t>
        </is>
      </c>
      <c r="AB65" s="27" t="n">
        <v>162420</v>
      </c>
    </row>
    <row r="66">
      <c r="Z66" s="26" t="inlineStr">
        <is>
          <t>Cont Rent</t>
        </is>
      </c>
      <c r="AB66" s="27" t="n">
        <v>139623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Delsan Court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Delsan Court</t>
        </is>
      </c>
      <c r="E6" s="46" t="n">
        <v>1</v>
      </c>
      <c r="F6" s="8" t="n">
        <v>10</v>
      </c>
      <c r="G6" s="9" t="n">
        <v>10</v>
      </c>
      <c r="H6" s="10" t="n">
        <v>7600</v>
      </c>
      <c r="I6" s="10" t="n">
        <v>760</v>
      </c>
      <c r="J6" s="11" t="n">
        <v>11080</v>
      </c>
      <c r="K6" s="11" t="n">
        <v>1108</v>
      </c>
      <c r="L6" s="12" t="n">
        <v>1.457894736842105</v>
      </c>
      <c r="M6" s="11" t="n">
        <v>11013</v>
      </c>
      <c r="N6" s="11" t="n">
        <v>1101.3</v>
      </c>
      <c r="O6" s="12" t="n">
        <v>1.449078947368421</v>
      </c>
      <c r="P6" s="11" t="n">
        <v>1250</v>
      </c>
      <c r="Q6" s="11" t="n">
        <v>200</v>
      </c>
      <c r="S6" s="10" t="n">
        <v>7600</v>
      </c>
    </row>
    <row r="7">
      <c r="D7" s="7" t="inlineStr">
        <is>
          <t>Delsan Court</t>
        </is>
      </c>
      <c r="E7" s="46" t="n">
        <v>2</v>
      </c>
      <c r="F7" s="8" t="n">
        <v>84</v>
      </c>
      <c r="G7" s="9" t="n">
        <v>93</v>
      </c>
      <c r="H7" s="10" t="n">
        <v>86306</v>
      </c>
      <c r="I7" s="10" t="n">
        <v>928.0215053763441</v>
      </c>
      <c r="J7" s="11" t="n">
        <v>121550</v>
      </c>
      <c r="K7" s="11" t="n">
        <v>1306.989247311828</v>
      </c>
      <c r="L7" s="12" t="n">
        <v>1.408360948253887</v>
      </c>
      <c r="M7" s="11" t="n">
        <v>105290</v>
      </c>
      <c r="N7" s="11" t="n">
        <v>1253.452380952381</v>
      </c>
      <c r="O7" s="12" t="n">
        <v>1.352924547697368</v>
      </c>
      <c r="P7" s="11" t="n">
        <v>1450</v>
      </c>
      <c r="Q7" s="11" t="n">
        <v>625</v>
      </c>
      <c r="S7" s="10" t="n">
        <v>77824</v>
      </c>
    </row>
    <row r="8">
      <c r="D8" s="7" t="inlineStr">
        <is>
          <t>Delsan Court</t>
        </is>
      </c>
      <c r="E8" s="46" t="n">
        <v>3</v>
      </c>
      <c r="F8" s="8" t="n">
        <v>17</v>
      </c>
      <c r="G8" s="9" t="n">
        <v>21</v>
      </c>
      <c r="H8" s="10" t="n">
        <v>23966</v>
      </c>
      <c r="I8" s="10" t="n">
        <v>1141.238095238095</v>
      </c>
      <c r="J8" s="11" t="n">
        <v>29790</v>
      </c>
      <c r="K8" s="11" t="n">
        <v>1418.571428571429</v>
      </c>
      <c r="L8" s="12" t="n">
        <v>1.243010932153885</v>
      </c>
      <c r="M8" s="11" t="n">
        <v>23320</v>
      </c>
      <c r="N8" s="11" t="n">
        <v>1371.764705882353</v>
      </c>
      <c r="O8" s="12" t="n">
        <v>1.199711904516926</v>
      </c>
      <c r="P8" s="11" t="n">
        <v>1600</v>
      </c>
      <c r="Q8" s="11" t="n">
        <v>0</v>
      </c>
      <c r="S8" s="10" t="n">
        <v>19438</v>
      </c>
    </row>
    <row r="9">
      <c r="C9" s="13" t="inlineStr">
        <is>
          <t>Total/Wtd Average</t>
        </is>
      </c>
      <c r="D9" s="13" t="n"/>
      <c r="E9" s="13" t="n"/>
      <c r="F9" s="14" t="n">
        <v>111</v>
      </c>
      <c r="G9" s="15" t="n">
        <v>124</v>
      </c>
      <c r="H9" s="16" t="n">
        <v>117872</v>
      </c>
      <c r="I9" s="16" t="n">
        <v>950.5806451612904</v>
      </c>
      <c r="J9" s="17" t="n">
        <v>162420</v>
      </c>
      <c r="K9" s="17" t="n">
        <v>1309.838709677419</v>
      </c>
      <c r="L9" s="18" t="n">
        <v>1.377935387539025</v>
      </c>
      <c r="M9" s="17" t="n">
        <v>139623</v>
      </c>
      <c r="N9" s="17" t="n">
        <v>1257.864864864865</v>
      </c>
      <c r="O9" s="18" t="n">
        <v>1.331492819133719</v>
      </c>
      <c r="P9" s="17" t="inlineStr">
        <is>
          <t>N/A</t>
        </is>
      </c>
      <c r="Q9" s="17" t="n">
        <v>825</v>
      </c>
      <c r="S9" s="16" t="n">
        <v>104862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124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111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0.8951612903225806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117872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104862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0.8896260350210398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1949040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1675476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9900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1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Delsan Court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Delsan Court</t>
        </is>
      </c>
      <c r="E8" s="54" t="inlineStr">
        <is>
          <t>1</t>
        </is>
      </c>
      <c r="F8" s="54" t="inlineStr">
        <is>
          <t>1 Bed 1 Bath</t>
        </is>
      </c>
      <c r="G8" s="54" t="inlineStr">
        <is>
          <t>1 Bed 1 Bath</t>
        </is>
      </c>
      <c r="K8" s="36" t="inlineStr">
        <is>
          <t>Bly (TSI), Alisha</t>
        </is>
      </c>
      <c r="L8" s="55" t="n">
        <v>760</v>
      </c>
      <c r="M8" s="56" t="n">
        <v>1</v>
      </c>
      <c r="N8" s="56" t="n">
        <v>1</v>
      </c>
      <c r="Q8" s="57" t="inlineStr">
        <is>
          <t>Occ</t>
        </is>
      </c>
      <c r="U8" s="58" t="n">
        <v>1095</v>
      </c>
      <c r="V8" s="58" t="n">
        <v>1095</v>
      </c>
      <c r="W8" s="58" t="n">
        <v>0</v>
      </c>
      <c r="X8" s="58" t="n">
        <v>0</v>
      </c>
      <c r="Y8" s="58" t="n">
        <v>0</v>
      </c>
      <c r="Z8" s="59" t="n">
        <v>46023</v>
      </c>
      <c r="AA8" s="59" t="n">
        <v>46023</v>
      </c>
      <c r="AB8" s="59" t="n">
        <v>46418</v>
      </c>
    </row>
    <row r="9">
      <c r="D9" s="36" t="inlineStr">
        <is>
          <t>Delsan Court</t>
        </is>
      </c>
      <c r="E9" s="54" t="inlineStr">
        <is>
          <t>2</t>
        </is>
      </c>
      <c r="F9" s="54" t="inlineStr">
        <is>
          <t>3 Bed/1Bath FP</t>
        </is>
      </c>
      <c r="G9" s="54" t="inlineStr">
        <is>
          <t>3 Bed/1Bath FP</t>
        </is>
      </c>
      <c r="K9" s="36" t="inlineStr">
        <is>
          <t>Vacant</t>
        </is>
      </c>
      <c r="L9" s="55" t="n">
        <v>1026</v>
      </c>
      <c r="M9" s="56" t="n">
        <v>3</v>
      </c>
      <c r="N9" s="56" t="n">
        <v>1</v>
      </c>
      <c r="Q9" s="57" t="inlineStr">
        <is>
          <t>Vac</t>
        </is>
      </c>
      <c r="U9" s="58" t="n">
        <v>1375</v>
      </c>
      <c r="V9" s="58" t="n">
        <v>0</v>
      </c>
      <c r="W9" s="58" t="n">
        <v>0</v>
      </c>
      <c r="X9" s="58" t="n">
        <v>0</v>
      </c>
      <c r="Y9" s="58" t="n">
        <v>0</v>
      </c>
    </row>
    <row r="10">
      <c r="D10" s="36" t="inlineStr">
        <is>
          <t>Delsan Court</t>
        </is>
      </c>
      <c r="E10" s="54" t="inlineStr">
        <is>
          <t>3</t>
        </is>
      </c>
      <c r="F10" s="54" t="inlineStr">
        <is>
          <t>1 Bed 1 Bath</t>
        </is>
      </c>
      <c r="G10" s="54" t="inlineStr">
        <is>
          <t>1 Bed 1 Bath</t>
        </is>
      </c>
      <c r="K10" s="36" t="inlineStr">
        <is>
          <t>Bryant, Sarah (Belmont)</t>
        </is>
      </c>
      <c r="L10" s="55" t="n">
        <v>760</v>
      </c>
      <c r="M10" s="56" t="n">
        <v>1</v>
      </c>
      <c r="N10" s="56" t="n">
        <v>1</v>
      </c>
      <c r="Q10" s="57" t="inlineStr">
        <is>
          <t>Occ</t>
        </is>
      </c>
      <c r="U10" s="58" t="n">
        <v>1095</v>
      </c>
      <c r="V10" s="58" t="n">
        <v>1033</v>
      </c>
      <c r="W10" s="58" t="n">
        <v>0</v>
      </c>
      <c r="X10" s="58" t="n">
        <v>0</v>
      </c>
      <c r="Y10" s="58" t="n">
        <v>0</v>
      </c>
      <c r="Z10" s="59" t="n">
        <v>45961</v>
      </c>
      <c r="AA10" s="59" t="n">
        <v>45961</v>
      </c>
      <c r="AB10" s="59" t="n">
        <v>46691</v>
      </c>
    </row>
    <row r="11">
      <c r="D11" s="36" t="inlineStr">
        <is>
          <t>Delsan Court</t>
        </is>
      </c>
      <c r="E11" s="54" t="inlineStr">
        <is>
          <t>4</t>
        </is>
      </c>
      <c r="F11" s="54" t="inlineStr">
        <is>
          <t>3 Bed/1Bath FP</t>
        </is>
      </c>
      <c r="G11" s="54" t="inlineStr">
        <is>
          <t>3 Bed/1Bath FP</t>
        </is>
      </c>
      <c r="K11" s="36" t="inlineStr">
        <is>
          <t>Sapienza, Jenelle</t>
        </is>
      </c>
      <c r="L11" s="55" t="n">
        <v>1026</v>
      </c>
      <c r="M11" s="56" t="n">
        <v>3</v>
      </c>
      <c r="N11" s="56" t="n">
        <v>1</v>
      </c>
      <c r="Q11" s="57" t="inlineStr">
        <is>
          <t>Occ</t>
        </is>
      </c>
      <c r="U11" s="58" t="n">
        <v>1345</v>
      </c>
      <c r="V11" s="58" t="n">
        <v>1375</v>
      </c>
      <c r="W11" s="58" t="n">
        <v>0</v>
      </c>
      <c r="X11" s="58" t="n">
        <v>0</v>
      </c>
      <c r="Y11" s="58" t="n">
        <v>0</v>
      </c>
      <c r="Z11" s="59" t="n">
        <v>45747</v>
      </c>
      <c r="AA11" s="59" t="n">
        <v>45747</v>
      </c>
      <c r="AB11" s="59" t="n">
        <v>46477</v>
      </c>
    </row>
    <row r="12">
      <c r="D12" s="36" t="inlineStr">
        <is>
          <t>Delsan Court</t>
        </is>
      </c>
      <c r="E12" s="54" t="inlineStr">
        <is>
          <t>5</t>
        </is>
      </c>
      <c r="F12" s="54" t="inlineStr">
        <is>
          <t>1 Bed 1 Bath</t>
        </is>
      </c>
      <c r="G12" s="54" t="inlineStr">
        <is>
          <t>1 Bed 1 Bath</t>
        </is>
      </c>
      <c r="K12" s="36" t="inlineStr">
        <is>
          <t>Boice (RACB), Blake</t>
        </is>
      </c>
      <c r="L12" s="55" t="n">
        <v>760</v>
      </c>
      <c r="M12" s="56" t="n">
        <v>1</v>
      </c>
      <c r="N12" s="56" t="n">
        <v>1</v>
      </c>
      <c r="Q12" s="57" t="inlineStr">
        <is>
          <t>Occ</t>
        </is>
      </c>
      <c r="U12" s="58" t="n">
        <v>1195</v>
      </c>
      <c r="V12" s="58" t="n">
        <v>1095</v>
      </c>
      <c r="W12" s="58" t="n">
        <v>0</v>
      </c>
      <c r="X12" s="58" t="n">
        <v>0</v>
      </c>
      <c r="Y12" s="58" t="n">
        <v>0</v>
      </c>
      <c r="Z12" s="59" t="n">
        <v>46174</v>
      </c>
      <c r="AA12" s="59" t="n">
        <v>46174</v>
      </c>
      <c r="AB12" s="59" t="n">
        <v>46538</v>
      </c>
    </row>
    <row r="13">
      <c r="D13" s="36" t="inlineStr">
        <is>
          <t>Delsan Court</t>
        </is>
      </c>
      <c r="E13" s="54" t="inlineStr">
        <is>
          <t>6</t>
        </is>
      </c>
      <c r="F13" s="54" t="inlineStr">
        <is>
          <t>3 Bed/ 1Bath</t>
        </is>
      </c>
      <c r="G13" s="54" t="inlineStr">
        <is>
          <t>3 Bed/ 1Bath</t>
        </is>
      </c>
      <c r="K13" s="36" t="inlineStr">
        <is>
          <t>Ricks (BEL), Marickers</t>
        </is>
      </c>
      <c r="L13" s="55" t="n">
        <v>1026</v>
      </c>
      <c r="M13" s="56" t="n">
        <v>3</v>
      </c>
      <c r="N13" s="56" t="n">
        <v>1</v>
      </c>
      <c r="Q13" s="57" t="inlineStr">
        <is>
          <t>Occ</t>
        </is>
      </c>
      <c r="U13" s="58" t="n">
        <v>1450</v>
      </c>
      <c r="V13" s="58" t="n">
        <v>1450</v>
      </c>
      <c r="W13" s="58" t="n">
        <v>0</v>
      </c>
      <c r="X13" s="58" t="n">
        <v>0</v>
      </c>
      <c r="Y13" s="58" t="n">
        <v>0</v>
      </c>
      <c r="Z13" s="59" t="n">
        <v>45901</v>
      </c>
      <c r="AA13" s="59" t="n">
        <v>45901</v>
      </c>
      <c r="AB13" s="59" t="n">
        <v>46630</v>
      </c>
    </row>
    <row r="14">
      <c r="D14" s="36" t="inlineStr">
        <is>
          <t>Delsan Court</t>
        </is>
      </c>
      <c r="E14" s="54" t="inlineStr">
        <is>
          <t>7</t>
        </is>
      </c>
      <c r="F14" s="54" t="inlineStr">
        <is>
          <t>1 Bed 1 Bath</t>
        </is>
      </c>
      <c r="G14" s="54" t="inlineStr">
        <is>
          <t>1 Bed 1 Bath</t>
        </is>
      </c>
      <c r="K14" s="36" t="inlineStr">
        <is>
          <t>Webb, Darrell</t>
        </is>
      </c>
      <c r="L14" s="55" t="n">
        <v>760</v>
      </c>
      <c r="M14" s="56" t="n">
        <v>1</v>
      </c>
      <c r="N14" s="56" t="n">
        <v>1</v>
      </c>
      <c r="Q14" s="57" t="inlineStr">
        <is>
          <t>Occ</t>
        </is>
      </c>
      <c r="U14" s="58" t="n">
        <v>1100</v>
      </c>
      <c r="V14" s="58" t="n">
        <v>1075</v>
      </c>
      <c r="W14" s="58" t="n">
        <v>0</v>
      </c>
      <c r="X14" s="58" t="n">
        <v>0</v>
      </c>
      <c r="Y14" s="58" t="n">
        <v>0</v>
      </c>
      <c r="Z14" s="59" t="n">
        <v>41579</v>
      </c>
      <c r="AA14" s="59" t="n">
        <v>41579</v>
      </c>
      <c r="AB14" s="59" t="n">
        <v>46326</v>
      </c>
    </row>
    <row r="15">
      <c r="D15" s="36" t="inlineStr">
        <is>
          <t>Delsan Court</t>
        </is>
      </c>
      <c r="E15" s="54" t="inlineStr">
        <is>
          <t>8</t>
        </is>
      </c>
      <c r="F15" s="54" t="inlineStr">
        <is>
          <t>3 Bed/1Bath FP</t>
        </is>
      </c>
      <c r="G15" s="54" t="inlineStr">
        <is>
          <t>3 Bed/1Bath FP</t>
        </is>
      </c>
      <c r="K15" s="36" t="inlineStr">
        <is>
          <t>Vacant</t>
        </is>
      </c>
      <c r="L15" s="55" t="n">
        <v>1026</v>
      </c>
      <c r="M15" s="56" t="n">
        <v>3</v>
      </c>
      <c r="N15" s="56" t="n">
        <v>1</v>
      </c>
      <c r="Q15" s="57" t="inlineStr">
        <is>
          <t>Vac</t>
        </is>
      </c>
      <c r="U15" s="58" t="n">
        <v>1375</v>
      </c>
      <c r="V15" s="58" t="n">
        <v>0</v>
      </c>
      <c r="W15" s="58" t="n">
        <v>0</v>
      </c>
      <c r="X15" s="58" t="n">
        <v>0</v>
      </c>
      <c r="Y15" s="58" t="n">
        <v>0</v>
      </c>
    </row>
    <row r="16">
      <c r="D16" s="36" t="inlineStr">
        <is>
          <t>Delsan Court</t>
        </is>
      </c>
      <c r="E16" s="54" t="inlineStr">
        <is>
          <t>9</t>
        </is>
      </c>
      <c r="F16" s="54" t="inlineStr">
        <is>
          <t>1 Bed 1 Bath</t>
        </is>
      </c>
      <c r="G16" s="54" t="inlineStr">
        <is>
          <t>1 Bed 1 Bath</t>
        </is>
      </c>
      <c r="K16" s="36" t="inlineStr">
        <is>
          <t>Thomas, DeWayne</t>
        </is>
      </c>
      <c r="L16" s="55" t="n">
        <v>760</v>
      </c>
      <c r="M16" s="56" t="n">
        <v>1</v>
      </c>
      <c r="N16" s="56" t="n">
        <v>1</v>
      </c>
      <c r="Q16" s="57" t="inlineStr">
        <is>
          <t>Occ</t>
        </is>
      </c>
      <c r="U16" s="58" t="n">
        <v>1095</v>
      </c>
      <c r="V16" s="58" t="n">
        <v>950</v>
      </c>
      <c r="W16" s="58" t="n">
        <v>0</v>
      </c>
      <c r="X16" s="58" t="n">
        <v>0</v>
      </c>
      <c r="Y16" s="58" t="n">
        <v>0</v>
      </c>
      <c r="Z16" s="59" t="n">
        <v>42425</v>
      </c>
      <c r="AA16" s="59" t="n">
        <v>42425</v>
      </c>
      <c r="AB16" s="59" t="n">
        <v>46112</v>
      </c>
    </row>
    <row r="17">
      <c r="D17" s="36" t="inlineStr">
        <is>
          <t>Delsan Court</t>
        </is>
      </c>
      <c r="E17" s="54" t="inlineStr">
        <is>
          <t>10</t>
        </is>
      </c>
      <c r="F17" s="54" t="inlineStr">
        <is>
          <t>3 Bed/ 1Bath</t>
        </is>
      </c>
      <c r="G17" s="54" t="inlineStr">
        <is>
          <t>3 Bed/ 1Bath</t>
        </is>
      </c>
      <c r="K17" s="36" t="inlineStr">
        <is>
          <t>Rodriguez, Joehan</t>
        </is>
      </c>
      <c r="L17" s="55" t="n">
        <v>1026</v>
      </c>
      <c r="M17" s="56" t="n">
        <v>3</v>
      </c>
      <c r="N17" s="56" t="n">
        <v>1</v>
      </c>
      <c r="Q17" s="57" t="inlineStr">
        <is>
          <t>Occ</t>
        </is>
      </c>
      <c r="U17" s="58" t="n">
        <v>1400</v>
      </c>
      <c r="V17" s="58" t="n">
        <v>1375</v>
      </c>
      <c r="W17" s="58" t="n">
        <v>0</v>
      </c>
      <c r="X17" s="58" t="n">
        <v>0</v>
      </c>
      <c r="Y17" s="58" t="n">
        <v>0</v>
      </c>
      <c r="Z17" s="59" t="n">
        <v>46111</v>
      </c>
      <c r="AA17" s="59" t="n">
        <v>46111</v>
      </c>
      <c r="AB17" s="59" t="n">
        <v>46477</v>
      </c>
    </row>
    <row r="18">
      <c r="D18" s="36" t="inlineStr">
        <is>
          <t>Delsan Court</t>
        </is>
      </c>
      <c r="E18" s="54" t="inlineStr">
        <is>
          <t>11</t>
        </is>
      </c>
      <c r="F18" s="54" t="inlineStr">
        <is>
          <t>2 Bed 1 Bath</t>
        </is>
      </c>
      <c r="G18" s="54" t="inlineStr">
        <is>
          <t>2 Bed 1 Bath</t>
        </is>
      </c>
      <c r="K18" s="36" t="inlineStr">
        <is>
          <t>Simmons, David</t>
        </is>
      </c>
      <c r="L18" s="55" t="n">
        <v>904</v>
      </c>
      <c r="M18" s="56" t="n">
        <v>2</v>
      </c>
      <c r="N18" s="56" t="n">
        <v>1</v>
      </c>
      <c r="Q18" s="57" t="inlineStr">
        <is>
          <t>Occ</t>
        </is>
      </c>
      <c r="U18" s="58" t="n">
        <v>1325</v>
      </c>
      <c r="V18" s="58" t="n">
        <v>1225</v>
      </c>
      <c r="W18" s="58" t="n">
        <v>0</v>
      </c>
      <c r="X18" s="58" t="n">
        <v>0</v>
      </c>
      <c r="Y18" s="58" t="n">
        <v>0</v>
      </c>
      <c r="Z18" s="59" t="n">
        <v>42614</v>
      </c>
      <c r="AA18" s="59" t="n">
        <v>42614</v>
      </c>
      <c r="AB18" s="59" t="n">
        <v>46630</v>
      </c>
    </row>
    <row r="19">
      <c r="D19" s="36" t="inlineStr">
        <is>
          <t>Delsan Court</t>
        </is>
      </c>
      <c r="E19" s="54" t="inlineStr">
        <is>
          <t>12</t>
        </is>
      </c>
      <c r="F19" s="54" t="inlineStr">
        <is>
          <t>2 Bed 1 Bath</t>
        </is>
      </c>
      <c r="G19" s="54" t="inlineStr">
        <is>
          <t>2 Bed 1 Bath</t>
        </is>
      </c>
      <c r="K19" s="36" t="inlineStr">
        <is>
          <t>Flax (BEL), Julie</t>
        </is>
      </c>
      <c r="L19" s="55" t="n">
        <v>904</v>
      </c>
      <c r="M19" s="56" t="n">
        <v>2</v>
      </c>
      <c r="N19" s="56" t="n">
        <v>1</v>
      </c>
      <c r="Q19" s="57" t="inlineStr">
        <is>
          <t>Occ</t>
        </is>
      </c>
      <c r="U19" s="58" t="n">
        <v>1275</v>
      </c>
      <c r="V19" s="58" t="n">
        <v>1100</v>
      </c>
      <c r="W19" s="58" t="n">
        <v>0</v>
      </c>
      <c r="X19" s="58" t="n">
        <v>0</v>
      </c>
      <c r="Y19" s="58" t="n">
        <v>0</v>
      </c>
      <c r="Z19" s="59" t="n">
        <v>45811</v>
      </c>
      <c r="AA19" s="59" t="n">
        <v>45811</v>
      </c>
      <c r="AB19" s="59" t="n">
        <v>46173</v>
      </c>
    </row>
    <row r="20">
      <c r="D20" s="36" t="inlineStr">
        <is>
          <t>Delsan Court</t>
        </is>
      </c>
      <c r="E20" s="54" t="inlineStr">
        <is>
          <t>13</t>
        </is>
      </c>
      <c r="F20" s="54" t="inlineStr">
        <is>
          <t>2 Bed 1 Bath</t>
        </is>
      </c>
      <c r="G20" s="54" t="inlineStr">
        <is>
          <t>2 Bed 1 Bath</t>
        </is>
      </c>
      <c r="K20" s="36" t="inlineStr">
        <is>
          <t>Adams, Jetaun</t>
        </is>
      </c>
      <c r="L20" s="55" t="n">
        <v>904</v>
      </c>
      <c r="M20" s="56" t="n">
        <v>2</v>
      </c>
      <c r="N20" s="56" t="n">
        <v>1</v>
      </c>
      <c r="Q20" s="57" t="inlineStr">
        <is>
          <t>Occ</t>
        </is>
      </c>
      <c r="U20" s="58" t="n">
        <v>1275</v>
      </c>
      <c r="V20" s="58" t="n">
        <v>1275</v>
      </c>
      <c r="W20" s="58" t="n">
        <v>0</v>
      </c>
      <c r="X20" s="58" t="n">
        <v>0</v>
      </c>
      <c r="Y20" s="58" t="n">
        <v>0</v>
      </c>
      <c r="Z20" s="59" t="n">
        <v>45809</v>
      </c>
      <c r="AA20" s="59" t="n">
        <v>45809</v>
      </c>
      <c r="AB20" s="59" t="n">
        <v>46538</v>
      </c>
    </row>
    <row r="21">
      <c r="D21" s="36" t="inlineStr">
        <is>
          <t>Delsan Court</t>
        </is>
      </c>
      <c r="E21" s="54" t="inlineStr">
        <is>
          <t>14</t>
        </is>
      </c>
      <c r="F21" s="54" t="inlineStr">
        <is>
          <t>2 Bed 1 Bath</t>
        </is>
      </c>
      <c r="G21" s="54" t="inlineStr">
        <is>
          <t>2 Bed 1 Bath</t>
        </is>
      </c>
      <c r="K21" s="36" t="inlineStr">
        <is>
          <t>Vacant</t>
        </is>
      </c>
      <c r="L21" s="55" t="n">
        <v>904</v>
      </c>
      <c r="M21" s="56" t="n">
        <v>2</v>
      </c>
      <c r="N21" s="56" t="n">
        <v>1</v>
      </c>
      <c r="Q21" s="57" t="inlineStr">
        <is>
          <t>Vac</t>
        </is>
      </c>
      <c r="U21" s="58" t="n">
        <v>1200</v>
      </c>
      <c r="V21" s="58" t="n">
        <v>0</v>
      </c>
      <c r="W21" s="58" t="n">
        <v>0</v>
      </c>
      <c r="X21" s="58" t="n">
        <v>0</v>
      </c>
      <c r="Y21" s="58" t="n">
        <v>0</v>
      </c>
    </row>
    <row r="22">
      <c r="D22" s="36" t="inlineStr">
        <is>
          <t>Delsan Court</t>
        </is>
      </c>
      <c r="E22" s="54" t="inlineStr">
        <is>
          <t>15</t>
        </is>
      </c>
      <c r="F22" s="54" t="inlineStr">
        <is>
          <t>2 Bed 1 Bath</t>
        </is>
      </c>
      <c r="G22" s="54" t="inlineStr">
        <is>
          <t>2 Bed 1 Bath</t>
        </is>
      </c>
      <c r="K22" s="36" t="inlineStr">
        <is>
          <t>Dejesus, Ashanti</t>
        </is>
      </c>
      <c r="L22" s="55" t="n">
        <v>904</v>
      </c>
      <c r="M22" s="56" t="n">
        <v>2</v>
      </c>
      <c r="N22" s="56" t="n">
        <v>1</v>
      </c>
      <c r="Q22" s="57" t="inlineStr">
        <is>
          <t>Occ</t>
        </is>
      </c>
      <c r="U22" s="58" t="n">
        <v>1325</v>
      </c>
      <c r="V22" s="58" t="n">
        <v>1250</v>
      </c>
      <c r="W22" s="58" t="n">
        <v>0</v>
      </c>
      <c r="X22" s="58" t="n">
        <v>0</v>
      </c>
      <c r="Y22" s="58" t="n">
        <v>0</v>
      </c>
      <c r="Z22" s="59" t="n">
        <v>46155</v>
      </c>
      <c r="AA22" s="59" t="n">
        <v>46155</v>
      </c>
      <c r="AB22" s="59" t="n">
        <v>46538</v>
      </c>
    </row>
    <row r="23">
      <c r="D23" s="36" t="inlineStr">
        <is>
          <t>Delsan Court</t>
        </is>
      </c>
      <c r="E23" s="54" t="inlineStr">
        <is>
          <t>16</t>
        </is>
      </c>
      <c r="F23" s="54" t="inlineStr">
        <is>
          <t>2 Bed 1 Bath</t>
        </is>
      </c>
      <c r="G23" s="54" t="inlineStr">
        <is>
          <t>2 Bed 1 Bath</t>
        </is>
      </c>
      <c r="K23" s="36" t="inlineStr">
        <is>
          <t>Novara, Christopher</t>
        </is>
      </c>
      <c r="L23" s="55" t="n">
        <v>904</v>
      </c>
      <c r="M23" s="56" t="n">
        <v>2</v>
      </c>
      <c r="N23" s="56" t="n">
        <v>1</v>
      </c>
      <c r="Q23" s="57" t="inlineStr">
        <is>
          <t>Occ</t>
        </is>
      </c>
      <c r="U23" s="58" t="n">
        <v>1325</v>
      </c>
      <c r="V23" s="58" t="n">
        <v>1375</v>
      </c>
      <c r="W23" s="58" t="n">
        <v>0</v>
      </c>
      <c r="X23" s="58" t="n">
        <v>0</v>
      </c>
      <c r="Y23" s="58" t="n">
        <v>0</v>
      </c>
      <c r="Z23" s="59" t="n">
        <v>45427</v>
      </c>
      <c r="AA23" s="59" t="n">
        <v>45427</v>
      </c>
      <c r="AB23" s="59" t="n">
        <v>46173</v>
      </c>
    </row>
    <row r="24">
      <c r="D24" s="36" t="inlineStr">
        <is>
          <t>Delsan Court</t>
        </is>
      </c>
      <c r="E24" s="54" t="inlineStr">
        <is>
          <t>17</t>
        </is>
      </c>
      <c r="F24" s="54" t="inlineStr">
        <is>
          <t>2 Bed 1 Bath</t>
        </is>
      </c>
      <c r="G24" s="54" t="inlineStr">
        <is>
          <t>2 Bed 1 Bath</t>
        </is>
      </c>
      <c r="K24" s="36" t="inlineStr">
        <is>
          <t>Watkins, Joanna</t>
        </is>
      </c>
      <c r="L24" s="55" t="n">
        <v>904</v>
      </c>
      <c r="M24" s="56" t="n">
        <v>2</v>
      </c>
      <c r="N24" s="56" t="n">
        <v>1</v>
      </c>
      <c r="Q24" s="57" t="inlineStr">
        <is>
          <t>Occ</t>
        </is>
      </c>
      <c r="U24" s="58" t="n">
        <v>1325</v>
      </c>
      <c r="V24" s="58" t="n">
        <v>1325</v>
      </c>
      <c r="W24" s="58" t="n">
        <v>0</v>
      </c>
      <c r="X24" s="58" t="n">
        <v>0</v>
      </c>
      <c r="Y24" s="58" t="n">
        <v>0</v>
      </c>
      <c r="Z24" s="59" t="n">
        <v>45031</v>
      </c>
      <c r="AA24" s="59" t="n">
        <v>45031</v>
      </c>
    </row>
    <row r="25">
      <c r="D25" s="36" t="inlineStr">
        <is>
          <t>Delsan Court</t>
        </is>
      </c>
      <c r="E25" s="54" t="inlineStr">
        <is>
          <t>18</t>
        </is>
      </c>
      <c r="F25" s="54" t="inlineStr">
        <is>
          <t>2 Bed 1 Bath</t>
        </is>
      </c>
      <c r="G25" s="54" t="inlineStr">
        <is>
          <t>2 Bed 1 Bath</t>
        </is>
      </c>
      <c r="K25" s="36" t="inlineStr">
        <is>
          <t>Brown (RACB), Richard</t>
        </is>
      </c>
      <c r="L25" s="55" t="n">
        <v>904</v>
      </c>
      <c r="M25" s="56" t="n">
        <v>2</v>
      </c>
      <c r="N25" s="56" t="n">
        <v>1</v>
      </c>
      <c r="Q25" s="57" t="inlineStr">
        <is>
          <t>Occ</t>
        </is>
      </c>
      <c r="U25" s="58" t="n">
        <v>1325</v>
      </c>
      <c r="V25" s="58" t="n">
        <v>1225</v>
      </c>
      <c r="W25" s="58" t="n">
        <v>0</v>
      </c>
      <c r="X25" s="58" t="n">
        <v>0</v>
      </c>
      <c r="Y25" s="58" t="n">
        <v>0</v>
      </c>
      <c r="Z25" s="59" t="n">
        <v>41456</v>
      </c>
      <c r="AA25" s="59" t="n">
        <v>41456</v>
      </c>
      <c r="AB25" s="59" t="n">
        <v>46173</v>
      </c>
    </row>
    <row r="26">
      <c r="D26" s="36" t="inlineStr">
        <is>
          <t>Delsan Court</t>
        </is>
      </c>
      <c r="E26" s="54" t="inlineStr">
        <is>
          <t>19</t>
        </is>
      </c>
      <c r="F26" s="54" t="inlineStr">
        <is>
          <t>2 Bed 1 Bath</t>
        </is>
      </c>
      <c r="G26" s="54" t="inlineStr">
        <is>
          <t>2 Bed 1 Bath</t>
        </is>
      </c>
      <c r="K26" s="36" t="inlineStr">
        <is>
          <t>Washington, Lanaya (RACB)</t>
        </is>
      </c>
      <c r="L26" s="55" t="n">
        <v>1250</v>
      </c>
      <c r="M26" s="56" t="n">
        <v>2</v>
      </c>
      <c r="N26" s="56" t="n">
        <v>1</v>
      </c>
      <c r="Q26" s="57" t="inlineStr">
        <is>
          <t>Occ</t>
        </is>
      </c>
      <c r="U26" s="58" t="n">
        <v>1325</v>
      </c>
      <c r="V26" s="58" t="n">
        <v>1223</v>
      </c>
      <c r="W26" s="58" t="n">
        <v>0</v>
      </c>
      <c r="X26" s="58" t="n">
        <v>0</v>
      </c>
      <c r="Y26" s="58" t="n">
        <v>0</v>
      </c>
      <c r="Z26" s="59" t="n">
        <v>45916</v>
      </c>
      <c r="AA26" s="59" t="n">
        <v>45916</v>
      </c>
      <c r="AB26" s="59" t="n">
        <v>46295</v>
      </c>
    </row>
    <row r="27">
      <c r="D27" s="36" t="inlineStr">
        <is>
          <t>Delsan Court</t>
        </is>
      </c>
      <c r="E27" s="54" t="inlineStr">
        <is>
          <t>20</t>
        </is>
      </c>
      <c r="F27" s="54" t="inlineStr">
        <is>
          <t>3 Bed 1.5 Bath</t>
        </is>
      </c>
      <c r="G27" s="54" t="inlineStr">
        <is>
          <t>3 Bed 1.5 Bath</t>
        </is>
      </c>
      <c r="K27" s="36" t="inlineStr">
        <is>
          <t>Gloster, Brittany</t>
        </is>
      </c>
      <c r="L27" s="55" t="n">
        <v>1400</v>
      </c>
      <c r="M27" s="56" t="n">
        <v>3</v>
      </c>
      <c r="N27" s="56" t="n">
        <v>1.5</v>
      </c>
      <c r="Q27" s="57" t="inlineStr">
        <is>
          <t>Occ</t>
        </is>
      </c>
      <c r="U27" s="58" t="n">
        <v>1400</v>
      </c>
      <c r="V27" s="58" t="n">
        <v>1400</v>
      </c>
      <c r="W27" s="58" t="n">
        <v>0</v>
      </c>
      <c r="X27" s="58" t="n">
        <v>0</v>
      </c>
      <c r="Y27" s="58" t="n">
        <v>0</v>
      </c>
      <c r="Z27" s="59" t="n">
        <v>45925</v>
      </c>
      <c r="AA27" s="59" t="n">
        <v>45925</v>
      </c>
      <c r="AB27" s="59" t="n">
        <v>46660</v>
      </c>
    </row>
    <row r="28">
      <c r="D28" s="36" t="inlineStr">
        <is>
          <t>Delsan Court</t>
        </is>
      </c>
      <c r="E28" s="54" t="inlineStr">
        <is>
          <t>21</t>
        </is>
      </c>
      <c r="F28" s="54" t="inlineStr">
        <is>
          <t>3 Bed 1.5 Bath</t>
        </is>
      </c>
      <c r="G28" s="54" t="inlineStr">
        <is>
          <t>3 Bed 1.5 Bath</t>
        </is>
      </c>
      <c r="K28" s="36" t="inlineStr">
        <is>
          <t>Pratt, Famatta</t>
        </is>
      </c>
      <c r="L28" s="55" t="n">
        <v>1076</v>
      </c>
      <c r="M28" s="56" t="n">
        <v>3</v>
      </c>
      <c r="N28" s="56" t="n">
        <v>1.5</v>
      </c>
      <c r="Q28" s="57" t="inlineStr">
        <is>
          <t>Occ</t>
        </is>
      </c>
      <c r="U28" s="58" t="n">
        <v>1450</v>
      </c>
      <c r="V28" s="58" t="n">
        <v>1150</v>
      </c>
      <c r="W28" s="58" t="n">
        <v>0</v>
      </c>
      <c r="X28" s="58" t="n">
        <v>0</v>
      </c>
      <c r="Y28" s="58" t="n">
        <v>0</v>
      </c>
      <c r="Z28" s="59" t="n">
        <v>43556</v>
      </c>
      <c r="AA28" s="59" t="n">
        <v>43556</v>
      </c>
      <c r="AB28" s="59" t="n">
        <v>46477</v>
      </c>
    </row>
    <row r="29">
      <c r="D29" s="36" t="inlineStr">
        <is>
          <t>Delsan Court</t>
        </is>
      </c>
      <c r="E29" s="54" t="inlineStr">
        <is>
          <t>22</t>
        </is>
      </c>
      <c r="F29" s="54" t="inlineStr">
        <is>
          <t>2 Bed 1 Bath</t>
        </is>
      </c>
      <c r="G29" s="54" t="inlineStr">
        <is>
          <t>2 Bed 1 Bath</t>
        </is>
      </c>
      <c r="K29" s="36" t="inlineStr">
        <is>
          <t>Merriweather, Tonya</t>
        </is>
      </c>
      <c r="L29" s="55" t="n">
        <v>904</v>
      </c>
      <c r="M29" s="56" t="n">
        <v>2</v>
      </c>
      <c r="N29" s="56" t="n">
        <v>1</v>
      </c>
      <c r="Q29" s="57" t="inlineStr">
        <is>
          <t>Occ</t>
        </is>
      </c>
      <c r="U29" s="58" t="n">
        <v>1325</v>
      </c>
      <c r="V29" s="58" t="n">
        <v>1075</v>
      </c>
      <c r="W29" s="58" t="n">
        <v>0</v>
      </c>
      <c r="X29" s="58" t="n">
        <v>0</v>
      </c>
      <c r="Y29" s="58" t="n">
        <v>200</v>
      </c>
      <c r="Z29" s="59" t="n">
        <v>41395</v>
      </c>
      <c r="AA29" s="59" t="n">
        <v>41395</v>
      </c>
      <c r="AB29" s="59" t="n">
        <v>45777</v>
      </c>
    </row>
    <row r="30">
      <c r="D30" s="36" t="inlineStr">
        <is>
          <t>Delsan Court</t>
        </is>
      </c>
      <c r="E30" s="54" t="inlineStr">
        <is>
          <t>23</t>
        </is>
      </c>
      <c r="F30" s="54" t="inlineStr">
        <is>
          <t>2 Bed 1 Bath</t>
        </is>
      </c>
      <c r="G30" s="54" t="inlineStr">
        <is>
          <t>2 Bed 1 Bath</t>
        </is>
      </c>
      <c r="K30" s="36" t="inlineStr">
        <is>
          <t>Bernier (TSI), Angie</t>
        </is>
      </c>
      <c r="L30" s="55" t="n">
        <v>904</v>
      </c>
      <c r="M30" s="56" t="n">
        <v>2</v>
      </c>
      <c r="N30" s="56" t="n">
        <v>1</v>
      </c>
      <c r="Q30" s="57" t="inlineStr">
        <is>
          <t>Occ</t>
        </is>
      </c>
      <c r="U30" s="58" t="n">
        <v>1325</v>
      </c>
      <c r="V30" s="58" t="n">
        <v>1450</v>
      </c>
      <c r="W30" s="58" t="n">
        <v>0</v>
      </c>
      <c r="X30" s="58" t="n">
        <v>0</v>
      </c>
      <c r="Y30" s="58" t="n">
        <v>0</v>
      </c>
      <c r="Z30" s="59" t="n">
        <v>44516</v>
      </c>
      <c r="AA30" s="59" t="n">
        <v>44516</v>
      </c>
      <c r="AB30" s="59" t="n">
        <v>46356</v>
      </c>
    </row>
    <row r="31">
      <c r="D31" s="36" t="inlineStr">
        <is>
          <t>Delsan Court</t>
        </is>
      </c>
      <c r="E31" s="54" t="inlineStr">
        <is>
          <t>24</t>
        </is>
      </c>
      <c r="F31" s="54" t="inlineStr">
        <is>
          <t>2 Bed 1 Bath</t>
        </is>
      </c>
      <c r="G31" s="54" t="inlineStr">
        <is>
          <t>2 Bed 1 Bath</t>
        </is>
      </c>
      <c r="K31" s="36" t="inlineStr">
        <is>
          <t>Vacant</t>
        </is>
      </c>
      <c r="L31" s="55" t="n">
        <v>904</v>
      </c>
      <c r="M31" s="56" t="n">
        <v>2</v>
      </c>
      <c r="N31" s="56" t="n">
        <v>1</v>
      </c>
      <c r="Q31" s="57" t="inlineStr">
        <is>
          <t>Vac</t>
        </is>
      </c>
      <c r="U31" s="58" t="n">
        <v>1200</v>
      </c>
      <c r="V31" s="58" t="n">
        <v>0</v>
      </c>
      <c r="W31" s="58" t="n">
        <v>0</v>
      </c>
      <c r="X31" s="58" t="n">
        <v>0</v>
      </c>
      <c r="Y31" s="58" t="n">
        <v>0</v>
      </c>
    </row>
    <row r="32">
      <c r="D32" s="36" t="inlineStr">
        <is>
          <t>Delsan Court</t>
        </is>
      </c>
      <c r="E32" s="54" t="inlineStr">
        <is>
          <t>25</t>
        </is>
      </c>
      <c r="F32" s="54" t="inlineStr">
        <is>
          <t>2 Bed 1 Bath</t>
        </is>
      </c>
      <c r="G32" s="54" t="inlineStr">
        <is>
          <t>2 Bed 1 Bath</t>
        </is>
      </c>
      <c r="K32" s="36" t="inlineStr">
        <is>
          <t>Nix, Terence</t>
        </is>
      </c>
      <c r="L32" s="55" t="n">
        <v>904</v>
      </c>
      <c r="M32" s="56" t="n">
        <v>2</v>
      </c>
      <c r="N32" s="56" t="n">
        <v>1</v>
      </c>
      <c r="Q32" s="57" t="inlineStr">
        <is>
          <t>Occ</t>
        </is>
      </c>
      <c r="U32" s="58" t="n">
        <v>1325</v>
      </c>
      <c r="V32" s="58" t="n">
        <v>825</v>
      </c>
      <c r="W32" s="58" t="n">
        <v>0</v>
      </c>
      <c r="X32" s="58" t="n">
        <v>0</v>
      </c>
      <c r="Y32" s="58" t="n">
        <v>200</v>
      </c>
      <c r="Z32" s="59" t="n">
        <v>42856</v>
      </c>
      <c r="AA32" s="59" t="n">
        <v>42856</v>
      </c>
      <c r="AB32" s="59" t="n">
        <v>46022</v>
      </c>
    </row>
    <row r="33">
      <c r="D33" s="36" t="inlineStr">
        <is>
          <t>Delsan Court</t>
        </is>
      </c>
      <c r="E33" s="54" t="inlineStr">
        <is>
          <t>26</t>
        </is>
      </c>
      <c r="F33" s="54" t="inlineStr">
        <is>
          <t>2 Bed 1 Bath</t>
        </is>
      </c>
      <c r="G33" s="54" t="inlineStr">
        <is>
          <t>2 Bed 1 Bath</t>
        </is>
      </c>
      <c r="K33" s="36" t="inlineStr">
        <is>
          <t>Sandoval, Chelsey</t>
        </is>
      </c>
      <c r="L33" s="55" t="n">
        <v>904</v>
      </c>
      <c r="M33" s="56" t="n">
        <v>2</v>
      </c>
      <c r="N33" s="56" t="n">
        <v>1</v>
      </c>
      <c r="Q33" s="57" t="inlineStr">
        <is>
          <t>Occ</t>
        </is>
      </c>
      <c r="U33" s="58" t="n">
        <v>1325</v>
      </c>
      <c r="V33" s="58" t="n">
        <v>1250</v>
      </c>
      <c r="W33" s="58" t="n">
        <v>0</v>
      </c>
      <c r="X33" s="58" t="n">
        <v>0</v>
      </c>
      <c r="Y33" s="58" t="n">
        <v>0</v>
      </c>
      <c r="Z33" s="59" t="n">
        <v>46115</v>
      </c>
      <c r="AA33" s="59" t="n">
        <v>46115</v>
      </c>
      <c r="AB33" s="59" t="n">
        <v>46507</v>
      </c>
    </row>
    <row r="34">
      <c r="D34" s="36" t="inlineStr">
        <is>
          <t>Delsan Court</t>
        </is>
      </c>
      <c r="E34" s="54" t="inlineStr">
        <is>
          <t>27</t>
        </is>
      </c>
      <c r="F34" s="54" t="inlineStr">
        <is>
          <t>2 Bed 1 Bath</t>
        </is>
      </c>
      <c r="G34" s="54" t="inlineStr">
        <is>
          <t>2 Bed 1 Bath</t>
        </is>
      </c>
      <c r="K34" s="36" t="inlineStr">
        <is>
          <t>Frase, Stephen</t>
        </is>
      </c>
      <c r="L34" s="55" t="n">
        <v>904</v>
      </c>
      <c r="M34" s="56" t="n">
        <v>2</v>
      </c>
      <c r="N34" s="56" t="n">
        <v>1</v>
      </c>
      <c r="Q34" s="57" t="inlineStr">
        <is>
          <t>Occ</t>
        </is>
      </c>
      <c r="U34" s="58" t="n">
        <v>1325</v>
      </c>
      <c r="V34" s="58" t="n">
        <v>725</v>
      </c>
      <c r="W34" s="58" t="n">
        <v>0</v>
      </c>
      <c r="X34" s="58" t="n">
        <v>0</v>
      </c>
      <c r="Y34" s="58" t="n">
        <v>0</v>
      </c>
      <c r="Z34" s="59" t="n">
        <v>36800</v>
      </c>
      <c r="AA34" s="59" t="n">
        <v>36800</v>
      </c>
      <c r="AB34" s="59" t="n">
        <v>46691</v>
      </c>
    </row>
    <row r="35">
      <c r="D35" s="36" t="inlineStr">
        <is>
          <t>Delsan Court</t>
        </is>
      </c>
      <c r="E35" s="54" t="inlineStr">
        <is>
          <t>28</t>
        </is>
      </c>
      <c r="F35" s="54" t="inlineStr">
        <is>
          <t>2 Bed 1 Bath</t>
        </is>
      </c>
      <c r="G35" s="54" t="inlineStr">
        <is>
          <t>2 Bed 1 Bath</t>
        </is>
      </c>
      <c r="K35" s="36" t="inlineStr">
        <is>
          <t>Brown, Nardisha</t>
        </is>
      </c>
      <c r="L35" s="55" t="n">
        <v>904</v>
      </c>
      <c r="M35" s="56" t="n">
        <v>2</v>
      </c>
      <c r="N35" s="56" t="n">
        <v>1</v>
      </c>
      <c r="Q35" s="57" t="inlineStr">
        <is>
          <t>Occ</t>
        </is>
      </c>
      <c r="U35" s="58" t="n">
        <v>1275</v>
      </c>
      <c r="V35" s="58" t="n">
        <v>1200</v>
      </c>
      <c r="W35" s="58" t="n">
        <v>0</v>
      </c>
      <c r="X35" s="58" t="n">
        <v>0</v>
      </c>
      <c r="Y35" s="58" t="n">
        <v>0</v>
      </c>
      <c r="Z35" s="59" t="n">
        <v>46127</v>
      </c>
      <c r="AA35" s="59" t="n">
        <v>46127</v>
      </c>
      <c r="AB35" s="59" t="n">
        <v>46507</v>
      </c>
    </row>
    <row r="36">
      <c r="D36" s="36" t="inlineStr">
        <is>
          <t>Delsan Court</t>
        </is>
      </c>
      <c r="E36" s="54" t="inlineStr">
        <is>
          <t>29</t>
        </is>
      </c>
      <c r="F36" s="54" t="inlineStr">
        <is>
          <t>2 Bed 1 Bath</t>
        </is>
      </c>
      <c r="G36" s="54" t="inlineStr">
        <is>
          <t>2 Bed 1 Bath</t>
        </is>
      </c>
      <c r="K36" s="36" t="inlineStr">
        <is>
          <t>Vacant</t>
        </is>
      </c>
      <c r="L36" s="55" t="n">
        <v>904</v>
      </c>
      <c r="M36" s="56" t="n">
        <v>2</v>
      </c>
      <c r="N36" s="56" t="n">
        <v>1</v>
      </c>
      <c r="Q36" s="57" t="inlineStr">
        <is>
          <t>Vac</t>
        </is>
      </c>
      <c r="U36" s="58" t="n">
        <v>1200</v>
      </c>
      <c r="V36" s="58" t="n">
        <v>0</v>
      </c>
      <c r="W36" s="58" t="n">
        <v>0</v>
      </c>
      <c r="X36" s="58" t="n">
        <v>0</v>
      </c>
      <c r="Y36" s="58" t="n">
        <v>0</v>
      </c>
    </row>
    <row r="37">
      <c r="D37" s="36" t="inlineStr">
        <is>
          <t>Delsan Court</t>
        </is>
      </c>
      <c r="E37" s="54" t="inlineStr">
        <is>
          <t>30</t>
        </is>
      </c>
      <c r="F37" s="54" t="inlineStr">
        <is>
          <t>2 Bed 1 Bath</t>
        </is>
      </c>
      <c r="G37" s="54" t="inlineStr">
        <is>
          <t>2 Bed 1 Bath</t>
        </is>
      </c>
      <c r="K37" s="36" t="inlineStr">
        <is>
          <t>Elder (PP), Bobbie jean</t>
        </is>
      </c>
      <c r="L37" s="55" t="n">
        <v>904</v>
      </c>
      <c r="M37" s="56" t="n">
        <v>2</v>
      </c>
      <c r="N37" s="56" t="n">
        <v>1</v>
      </c>
      <c r="Q37" s="57" t="inlineStr">
        <is>
          <t>Occ</t>
        </is>
      </c>
      <c r="U37" s="58" t="n">
        <v>1325</v>
      </c>
      <c r="V37" s="58" t="n">
        <v>1350</v>
      </c>
      <c r="W37" s="58" t="n">
        <v>0</v>
      </c>
      <c r="X37" s="58" t="n">
        <v>0</v>
      </c>
      <c r="Y37" s="58" t="n">
        <v>0</v>
      </c>
      <c r="Z37" s="59" t="n">
        <v>45231</v>
      </c>
      <c r="AA37" s="59" t="n">
        <v>45231</v>
      </c>
      <c r="AB37" s="59" t="n">
        <v>46326</v>
      </c>
    </row>
    <row r="38">
      <c r="D38" s="36" t="inlineStr">
        <is>
          <t>Delsan Court</t>
        </is>
      </c>
      <c r="E38" s="54" t="inlineStr">
        <is>
          <t>31</t>
        </is>
      </c>
      <c r="F38" s="54" t="inlineStr">
        <is>
          <t>2 Bed 1 Bath</t>
        </is>
      </c>
      <c r="G38" s="54" t="inlineStr">
        <is>
          <t>2 Bed 1 Bath</t>
        </is>
      </c>
      <c r="K38" s="36" t="inlineStr">
        <is>
          <t>Land (BEL), Starlette</t>
        </is>
      </c>
      <c r="L38" s="55" t="n">
        <v>904</v>
      </c>
      <c r="M38" s="56" t="n">
        <v>2</v>
      </c>
      <c r="N38" s="56" t="n">
        <v>1</v>
      </c>
      <c r="Q38" s="57" t="inlineStr">
        <is>
          <t>Occ</t>
        </is>
      </c>
      <c r="U38" s="58" t="n">
        <v>1325</v>
      </c>
      <c r="V38" s="58" t="n">
        <v>1050</v>
      </c>
      <c r="W38" s="58" t="n">
        <v>0</v>
      </c>
      <c r="X38" s="58" t="n">
        <v>0</v>
      </c>
      <c r="Y38" s="58" t="n">
        <v>0</v>
      </c>
      <c r="Z38" s="59" t="n">
        <v>43132</v>
      </c>
      <c r="AA38" s="59" t="n">
        <v>43132</v>
      </c>
      <c r="AB38" s="59" t="n">
        <v>46507</v>
      </c>
    </row>
    <row r="39">
      <c r="D39" s="36" t="inlineStr">
        <is>
          <t>Delsan Court</t>
        </is>
      </c>
      <c r="E39" s="54" t="inlineStr">
        <is>
          <t>32</t>
        </is>
      </c>
      <c r="F39" s="54" t="inlineStr">
        <is>
          <t>2 Bed 1 Bath</t>
        </is>
      </c>
      <c r="G39" s="54" t="inlineStr">
        <is>
          <t>2 Bed 1 Bath</t>
        </is>
      </c>
      <c r="K39" s="36" t="inlineStr">
        <is>
          <t>Gravely (BEL), Jazzlyn</t>
        </is>
      </c>
      <c r="L39" s="55" t="n">
        <v>904</v>
      </c>
      <c r="M39" s="56" t="n">
        <v>2</v>
      </c>
      <c r="N39" s="56" t="n">
        <v>1</v>
      </c>
      <c r="Q39" s="57" t="inlineStr">
        <is>
          <t>Occ</t>
        </is>
      </c>
      <c r="U39" s="58" t="n">
        <v>1325</v>
      </c>
      <c r="V39" s="58" t="n">
        <v>1325</v>
      </c>
      <c r="W39" s="58" t="n">
        <v>0</v>
      </c>
      <c r="X39" s="58" t="n">
        <v>0</v>
      </c>
      <c r="Y39" s="58" t="n">
        <v>0</v>
      </c>
      <c r="Z39" s="59" t="n">
        <v>45962</v>
      </c>
      <c r="AA39" s="59" t="n">
        <v>45962</v>
      </c>
      <c r="AB39" s="59" t="n">
        <v>46691</v>
      </c>
    </row>
    <row r="40">
      <c r="D40" s="36" t="inlineStr">
        <is>
          <t>Delsan Court</t>
        </is>
      </c>
      <c r="E40" s="54" t="inlineStr">
        <is>
          <t>33</t>
        </is>
      </c>
      <c r="F40" s="54" t="inlineStr">
        <is>
          <t>2 Bed 1 Bath</t>
        </is>
      </c>
      <c r="G40" s="54" t="inlineStr">
        <is>
          <t>2 Bed 1 Bath</t>
        </is>
      </c>
      <c r="K40" s="36" t="inlineStr">
        <is>
          <t>Marshall, Jonathan</t>
        </is>
      </c>
      <c r="L40" s="55" t="n">
        <v>904</v>
      </c>
      <c r="M40" s="56" t="n">
        <v>2</v>
      </c>
      <c r="N40" s="56" t="n">
        <v>1</v>
      </c>
      <c r="Q40" s="57" t="inlineStr">
        <is>
          <t>Occ</t>
        </is>
      </c>
      <c r="U40" s="58" t="n">
        <v>1325</v>
      </c>
      <c r="V40" s="58" t="n">
        <v>1100</v>
      </c>
      <c r="W40" s="58" t="n">
        <v>0</v>
      </c>
      <c r="X40" s="58" t="n">
        <v>0</v>
      </c>
      <c r="Y40" s="58" t="n">
        <v>0</v>
      </c>
      <c r="Z40" s="59" t="n">
        <v>38018</v>
      </c>
      <c r="AA40" s="59" t="n">
        <v>38018</v>
      </c>
      <c r="AB40" s="59" t="n">
        <v>46660</v>
      </c>
    </row>
    <row r="41">
      <c r="D41" s="36" t="inlineStr">
        <is>
          <t>Delsan Court</t>
        </is>
      </c>
      <c r="E41" s="54" t="inlineStr">
        <is>
          <t>34</t>
        </is>
      </c>
      <c r="F41" s="54" t="inlineStr">
        <is>
          <t>2 Bed 1 Bath</t>
        </is>
      </c>
      <c r="G41" s="54" t="inlineStr">
        <is>
          <t>2 Bed 1 Bath</t>
        </is>
      </c>
      <c r="K41" s="36" t="inlineStr">
        <is>
          <t>Drayton, Rayshel</t>
        </is>
      </c>
      <c r="L41" s="55" t="n">
        <v>904</v>
      </c>
      <c r="M41" s="56" t="n">
        <v>2</v>
      </c>
      <c r="N41" s="56" t="n">
        <v>1</v>
      </c>
      <c r="Q41" s="57" t="inlineStr">
        <is>
          <t>Occ</t>
        </is>
      </c>
      <c r="U41" s="58" t="n">
        <v>1275</v>
      </c>
      <c r="V41" s="58" t="n">
        <v>1275</v>
      </c>
      <c r="W41" s="58" t="n">
        <v>0</v>
      </c>
      <c r="X41" s="58" t="n">
        <v>0</v>
      </c>
      <c r="Y41" s="58" t="n">
        <v>0</v>
      </c>
      <c r="Z41" s="59" t="n">
        <v>45792</v>
      </c>
      <c r="AA41" s="59" t="n">
        <v>45792</v>
      </c>
      <c r="AB41" s="59" t="n">
        <v>46538</v>
      </c>
    </row>
    <row r="42">
      <c r="D42" s="36" t="inlineStr">
        <is>
          <t>Delsan Court</t>
        </is>
      </c>
      <c r="E42" s="54" t="inlineStr">
        <is>
          <t>35</t>
        </is>
      </c>
      <c r="F42" s="54" t="inlineStr">
        <is>
          <t>2 Bed 1 Bath</t>
        </is>
      </c>
      <c r="G42" s="54" t="inlineStr">
        <is>
          <t>2 Bed 1 Bath</t>
        </is>
      </c>
      <c r="K42" s="36" t="inlineStr">
        <is>
          <t>Simmons-Mallory, Kimberly</t>
        </is>
      </c>
      <c r="L42" s="55" t="n">
        <v>904</v>
      </c>
      <c r="M42" s="56" t="n">
        <v>2</v>
      </c>
      <c r="N42" s="56" t="n">
        <v>1</v>
      </c>
      <c r="Q42" s="57" t="inlineStr">
        <is>
          <t>Occ</t>
        </is>
      </c>
      <c r="U42" s="58" t="n">
        <v>1325</v>
      </c>
      <c r="V42" s="58" t="n">
        <v>1125</v>
      </c>
      <c r="W42" s="58" t="n">
        <v>0</v>
      </c>
      <c r="X42" s="58" t="n">
        <v>0</v>
      </c>
      <c r="Y42" s="58" t="n">
        <v>0</v>
      </c>
      <c r="Z42" s="59" t="n">
        <v>42227</v>
      </c>
      <c r="AA42" s="59" t="n">
        <v>42227</v>
      </c>
      <c r="AB42" s="59" t="n">
        <v>46295</v>
      </c>
    </row>
    <row r="43">
      <c r="D43" s="36" t="inlineStr">
        <is>
          <t>Delsan Court</t>
        </is>
      </c>
      <c r="E43" s="54" t="inlineStr">
        <is>
          <t>36</t>
        </is>
      </c>
      <c r="F43" s="54" t="inlineStr">
        <is>
          <t>2 Bed 1 Bath</t>
        </is>
      </c>
      <c r="G43" s="54" t="inlineStr">
        <is>
          <t>2 Bed 1 Bath</t>
        </is>
      </c>
      <c r="K43" s="36" t="inlineStr">
        <is>
          <t>Dejesus, Jamira</t>
        </is>
      </c>
      <c r="L43" s="55" t="n">
        <v>904</v>
      </c>
      <c r="M43" s="56" t="n">
        <v>2</v>
      </c>
      <c r="N43" s="56" t="n">
        <v>1</v>
      </c>
      <c r="Q43" s="57" t="inlineStr">
        <is>
          <t>Occ</t>
        </is>
      </c>
      <c r="U43" s="58" t="n">
        <v>1325</v>
      </c>
      <c r="V43" s="58" t="n">
        <v>1250</v>
      </c>
      <c r="W43" s="58" t="n">
        <v>0</v>
      </c>
      <c r="X43" s="58" t="n">
        <v>0</v>
      </c>
      <c r="Y43" s="58" t="n">
        <v>0</v>
      </c>
      <c r="Z43" s="59" t="n">
        <v>46143</v>
      </c>
      <c r="AA43" s="59" t="n">
        <v>46143</v>
      </c>
      <c r="AB43" s="59" t="n">
        <v>46507</v>
      </c>
    </row>
    <row r="44">
      <c r="D44" s="36" t="inlineStr">
        <is>
          <t>Delsan Court</t>
        </is>
      </c>
      <c r="E44" s="54" t="inlineStr">
        <is>
          <t>37</t>
        </is>
      </c>
      <c r="F44" s="54" t="inlineStr">
        <is>
          <t>2 Bed 1 Bath</t>
        </is>
      </c>
      <c r="G44" s="54" t="inlineStr">
        <is>
          <t>2 Bed 1 Bath</t>
        </is>
      </c>
      <c r="K44" s="36" t="inlineStr">
        <is>
          <t>Copland (TSI), Christopher</t>
        </is>
      </c>
      <c r="L44" s="55" t="n">
        <v>904</v>
      </c>
      <c r="M44" s="56" t="n">
        <v>2</v>
      </c>
      <c r="N44" s="56" t="n">
        <v>1</v>
      </c>
      <c r="Q44" s="57" t="inlineStr">
        <is>
          <t>Occ</t>
        </is>
      </c>
      <c r="U44" s="58" t="n">
        <v>1325</v>
      </c>
      <c r="V44" s="58" t="n">
        <v>1450</v>
      </c>
      <c r="W44" s="58" t="n">
        <v>0</v>
      </c>
      <c r="X44" s="58" t="n">
        <v>0</v>
      </c>
      <c r="Y44" s="58" t="n">
        <v>0</v>
      </c>
      <c r="Z44" s="59" t="n">
        <v>44516</v>
      </c>
      <c r="AA44" s="59" t="n">
        <v>44516</v>
      </c>
      <c r="AB44" s="59" t="n">
        <v>46356</v>
      </c>
    </row>
    <row r="45">
      <c r="D45" s="36" t="inlineStr">
        <is>
          <t>Delsan Court</t>
        </is>
      </c>
      <c r="E45" s="54" t="inlineStr">
        <is>
          <t>38</t>
        </is>
      </c>
      <c r="F45" s="54" t="inlineStr">
        <is>
          <t>2 Bed 1 Bath</t>
        </is>
      </c>
      <c r="G45" s="54" t="inlineStr">
        <is>
          <t>2 Bed 1 Bath</t>
        </is>
      </c>
      <c r="K45" s="36" t="inlineStr">
        <is>
          <t>Mazhindu, Timothy</t>
        </is>
      </c>
      <c r="L45" s="55" t="n">
        <v>1250</v>
      </c>
      <c r="M45" s="56" t="n">
        <v>2</v>
      </c>
      <c r="N45" s="56" t="n">
        <v>1</v>
      </c>
      <c r="Q45" s="57" t="inlineStr">
        <is>
          <t>Occ</t>
        </is>
      </c>
      <c r="U45" s="58" t="n">
        <v>1325</v>
      </c>
      <c r="V45" s="58" t="n">
        <v>1400</v>
      </c>
      <c r="W45" s="58" t="n">
        <v>0</v>
      </c>
      <c r="X45" s="58" t="n">
        <v>0</v>
      </c>
      <c r="Y45" s="58" t="n">
        <v>0</v>
      </c>
      <c r="Z45" s="59" t="n">
        <v>45457</v>
      </c>
      <c r="AA45" s="59" t="n">
        <v>45457</v>
      </c>
      <c r="AB45" s="59" t="n">
        <v>46203</v>
      </c>
    </row>
    <row r="46">
      <c r="D46" s="36" t="inlineStr">
        <is>
          <t>Delsan Court</t>
        </is>
      </c>
      <c r="E46" s="54" t="inlineStr">
        <is>
          <t>39</t>
        </is>
      </c>
      <c r="F46" s="54" t="inlineStr">
        <is>
          <t>2 Bed 1 Bath</t>
        </is>
      </c>
      <c r="G46" s="54" t="inlineStr">
        <is>
          <t>2 Bed 1 Bath</t>
        </is>
      </c>
      <c r="K46" s="36" t="inlineStr">
        <is>
          <t>Rosado (BEL), Iraisa</t>
        </is>
      </c>
      <c r="L46" s="55" t="n">
        <v>904</v>
      </c>
      <c r="M46" s="56" t="n">
        <v>2</v>
      </c>
      <c r="N46" s="56" t="n">
        <v>1</v>
      </c>
      <c r="Q46" s="57" t="inlineStr">
        <is>
          <t>Occ</t>
        </is>
      </c>
      <c r="U46" s="58" t="n">
        <v>1275</v>
      </c>
      <c r="V46" s="58" t="n">
        <v>1275</v>
      </c>
      <c r="W46" s="58" t="n">
        <v>0</v>
      </c>
      <c r="X46" s="58" t="n">
        <v>0</v>
      </c>
      <c r="Y46" s="58" t="n">
        <v>0</v>
      </c>
      <c r="Z46" s="59" t="n">
        <v>45807</v>
      </c>
      <c r="AA46" s="59" t="n">
        <v>45807</v>
      </c>
      <c r="AB46" s="59" t="n">
        <v>46173</v>
      </c>
    </row>
    <row r="47">
      <c r="D47" s="36" t="inlineStr">
        <is>
          <t>Delsan Court</t>
        </is>
      </c>
      <c r="E47" s="54" t="inlineStr">
        <is>
          <t>40</t>
        </is>
      </c>
      <c r="F47" s="54" t="inlineStr">
        <is>
          <t>3 Bed 1.5 Bath</t>
        </is>
      </c>
      <c r="G47" s="54" t="inlineStr">
        <is>
          <t>3 Bed 1.5 Bath</t>
        </is>
      </c>
      <c r="K47" s="36" t="inlineStr">
        <is>
          <t>Vacant</t>
        </is>
      </c>
      <c r="L47" s="55" t="n">
        <v>1076</v>
      </c>
      <c r="M47" s="56" t="n">
        <v>3</v>
      </c>
      <c r="N47" s="56" t="n">
        <v>1.5</v>
      </c>
      <c r="Q47" s="57" t="inlineStr">
        <is>
          <t>Vac</t>
        </is>
      </c>
      <c r="U47" s="58" t="n">
        <v>1200</v>
      </c>
      <c r="V47" s="58" t="n">
        <v>0</v>
      </c>
      <c r="W47" s="58" t="n">
        <v>0</v>
      </c>
      <c r="X47" s="58" t="n">
        <v>0</v>
      </c>
      <c r="Y47" s="58" t="n">
        <v>0</v>
      </c>
    </row>
    <row r="48">
      <c r="D48" s="36" t="inlineStr">
        <is>
          <t>Delsan Court</t>
        </is>
      </c>
      <c r="E48" s="54" t="inlineStr">
        <is>
          <t>41</t>
        </is>
      </c>
      <c r="F48" s="54" t="inlineStr">
        <is>
          <t>3 Bed 1.5 Bath</t>
        </is>
      </c>
      <c r="G48" s="54" t="inlineStr">
        <is>
          <t>3 Bed 1.5 Bath</t>
        </is>
      </c>
      <c r="K48" s="36" t="inlineStr">
        <is>
          <t>Anderson BMHA, Nicole</t>
        </is>
      </c>
      <c r="L48" s="55" t="n">
        <v>1400</v>
      </c>
      <c r="M48" s="56" t="n">
        <v>3</v>
      </c>
      <c r="N48" s="56" t="n">
        <v>1.5</v>
      </c>
      <c r="Q48" s="57" t="inlineStr">
        <is>
          <t>Occ</t>
        </is>
      </c>
      <c r="U48" s="58" t="n">
        <v>1450</v>
      </c>
      <c r="V48" s="58" t="n">
        <v>1200</v>
      </c>
      <c r="W48" s="58" t="n">
        <v>0</v>
      </c>
      <c r="X48" s="58" t="n">
        <v>0</v>
      </c>
      <c r="Y48" s="58" t="n">
        <v>0</v>
      </c>
      <c r="Z48" s="59" t="n">
        <v>46220</v>
      </c>
      <c r="AA48" s="59" t="n">
        <v>46220</v>
      </c>
      <c r="AB48" s="59" t="n">
        <v>46599</v>
      </c>
    </row>
    <row r="49">
      <c r="D49" s="36" t="inlineStr">
        <is>
          <t>Delsan Court</t>
        </is>
      </c>
      <c r="E49" s="54" t="inlineStr">
        <is>
          <t>42</t>
        </is>
      </c>
      <c r="F49" s="54" t="inlineStr">
        <is>
          <t>2 Bed 1 Bath</t>
        </is>
      </c>
      <c r="G49" s="54" t="inlineStr">
        <is>
          <t>2 Bed 1 Bath</t>
        </is>
      </c>
      <c r="K49" s="36" t="inlineStr">
        <is>
          <t>Brown, Darius</t>
        </is>
      </c>
      <c r="L49" s="55" t="n">
        <v>904</v>
      </c>
      <c r="M49" s="56" t="n">
        <v>2</v>
      </c>
      <c r="N49" s="56" t="n">
        <v>1</v>
      </c>
      <c r="Q49" s="57" t="inlineStr">
        <is>
          <t>Occ</t>
        </is>
      </c>
      <c r="U49" s="58" t="n">
        <v>1325</v>
      </c>
      <c r="V49" s="58" t="n">
        <v>1295</v>
      </c>
      <c r="W49" s="58" t="n">
        <v>0</v>
      </c>
      <c r="X49" s="58" t="n">
        <v>0</v>
      </c>
      <c r="Y49" s="58" t="n">
        <v>0</v>
      </c>
      <c r="Z49" s="59" t="n">
        <v>46081</v>
      </c>
      <c r="AA49" s="59" t="n">
        <v>46081</v>
      </c>
      <c r="AB49" s="59" t="n">
        <v>46446</v>
      </c>
    </row>
    <row r="50">
      <c r="D50" s="36" t="inlineStr">
        <is>
          <t>Delsan Court</t>
        </is>
      </c>
      <c r="E50" s="54" t="inlineStr">
        <is>
          <t>43</t>
        </is>
      </c>
      <c r="F50" s="54" t="inlineStr">
        <is>
          <t>2 Bed 1 Bath</t>
        </is>
      </c>
      <c r="G50" s="54" t="inlineStr">
        <is>
          <t>2 Bed 1 Bath</t>
        </is>
      </c>
      <c r="K50" s="36" t="inlineStr">
        <is>
          <t>Nyamuke, Adoni</t>
        </is>
      </c>
      <c r="L50" s="55" t="n">
        <v>940</v>
      </c>
      <c r="M50" s="56" t="n">
        <v>2</v>
      </c>
      <c r="N50" s="56" t="n">
        <v>1</v>
      </c>
      <c r="Q50" s="57" t="inlineStr">
        <is>
          <t>Occ</t>
        </is>
      </c>
      <c r="U50" s="58" t="n">
        <v>1325</v>
      </c>
      <c r="V50" s="58" t="n">
        <v>1225</v>
      </c>
      <c r="W50" s="58" t="n">
        <v>0</v>
      </c>
      <c r="X50" s="58" t="n">
        <v>0</v>
      </c>
      <c r="Y50" s="58" t="n">
        <v>0</v>
      </c>
      <c r="Z50" s="59" t="n">
        <v>44113</v>
      </c>
      <c r="AA50" s="59" t="n">
        <v>44113</v>
      </c>
      <c r="AB50" s="59" t="n">
        <v>46326</v>
      </c>
    </row>
    <row r="51">
      <c r="D51" s="36" t="inlineStr">
        <is>
          <t>Delsan Court</t>
        </is>
      </c>
      <c r="E51" s="54" t="inlineStr">
        <is>
          <t>44</t>
        </is>
      </c>
      <c r="F51" s="54" t="inlineStr">
        <is>
          <t>2 Bed 1 Bath</t>
        </is>
      </c>
      <c r="G51" s="54" t="inlineStr">
        <is>
          <t>2 Bed 1 Bath</t>
        </is>
      </c>
      <c r="K51" s="36" t="inlineStr">
        <is>
          <t>Gregory, Shanay</t>
        </is>
      </c>
      <c r="L51" s="55" t="n">
        <v>904</v>
      </c>
      <c r="M51" s="56" t="n">
        <v>2</v>
      </c>
      <c r="N51" s="56" t="n">
        <v>1</v>
      </c>
      <c r="Q51" s="57" t="inlineStr">
        <is>
          <t>Occ</t>
        </is>
      </c>
      <c r="U51" s="58" t="n">
        <v>1325</v>
      </c>
      <c r="V51" s="58" t="n">
        <v>1250</v>
      </c>
      <c r="W51" s="58" t="n">
        <v>0</v>
      </c>
      <c r="X51" s="58" t="n">
        <v>0</v>
      </c>
      <c r="Y51" s="58" t="n">
        <v>0</v>
      </c>
      <c r="Z51" s="59" t="n">
        <v>46188</v>
      </c>
      <c r="AA51" s="59" t="n">
        <v>46188</v>
      </c>
      <c r="AB51" s="59" t="n">
        <v>46568</v>
      </c>
    </row>
    <row r="52">
      <c r="D52" s="36" t="inlineStr">
        <is>
          <t>Delsan Court</t>
        </is>
      </c>
      <c r="E52" s="54" t="inlineStr">
        <is>
          <t>45</t>
        </is>
      </c>
      <c r="F52" s="54" t="inlineStr">
        <is>
          <t>2 Bed 1 Bath</t>
        </is>
      </c>
      <c r="G52" s="54" t="inlineStr">
        <is>
          <t>2 Bed 1 Bath</t>
        </is>
      </c>
      <c r="K52" s="36" t="inlineStr">
        <is>
          <t>Sessum, Brittany</t>
        </is>
      </c>
      <c r="L52" s="55" t="n">
        <v>904</v>
      </c>
      <c r="M52" s="56" t="n">
        <v>2</v>
      </c>
      <c r="N52" s="56" t="n">
        <v>1</v>
      </c>
      <c r="Q52" s="57" t="inlineStr">
        <is>
          <t>Occ</t>
        </is>
      </c>
      <c r="U52" s="58" t="n">
        <v>1325</v>
      </c>
      <c r="V52" s="58" t="n">
        <v>1395</v>
      </c>
      <c r="W52" s="58" t="n">
        <v>0</v>
      </c>
      <c r="X52" s="58" t="n">
        <v>0</v>
      </c>
      <c r="Y52" s="58" t="n">
        <v>0</v>
      </c>
      <c r="Z52" s="59" t="n">
        <v>44564</v>
      </c>
      <c r="AA52" s="59" t="n">
        <v>44564</v>
      </c>
      <c r="AB52" s="59" t="n">
        <v>46387</v>
      </c>
    </row>
    <row r="53">
      <c r="D53" s="36" t="inlineStr">
        <is>
          <t>Delsan Court</t>
        </is>
      </c>
      <c r="E53" s="54" t="inlineStr">
        <is>
          <t>46</t>
        </is>
      </c>
      <c r="F53" s="54" t="inlineStr">
        <is>
          <t>2 Bed 1 Bath</t>
        </is>
      </c>
      <c r="G53" s="54" t="inlineStr">
        <is>
          <t>2 Bed 1 Bath</t>
        </is>
      </c>
      <c r="K53" s="36" t="inlineStr">
        <is>
          <t>Osby, Tierra</t>
        </is>
      </c>
      <c r="L53" s="55" t="n">
        <v>904</v>
      </c>
      <c r="M53" s="56" t="n">
        <v>2</v>
      </c>
      <c r="N53" s="56" t="n">
        <v>1</v>
      </c>
      <c r="Q53" s="57" t="inlineStr">
        <is>
          <t>Occ</t>
        </is>
      </c>
      <c r="U53" s="58" t="n">
        <v>1325</v>
      </c>
      <c r="V53" s="58" t="n">
        <v>1025</v>
      </c>
      <c r="W53" s="58" t="n">
        <v>0</v>
      </c>
      <c r="X53" s="58" t="n">
        <v>0</v>
      </c>
      <c r="Y53" s="58" t="n">
        <v>0</v>
      </c>
      <c r="Z53" s="59" t="n">
        <v>42781</v>
      </c>
      <c r="AA53" s="59" t="n">
        <v>42781</v>
      </c>
      <c r="AB53" s="59" t="n">
        <v>46203</v>
      </c>
    </row>
    <row r="54">
      <c r="D54" s="36" t="inlineStr">
        <is>
          <t>Delsan Court</t>
        </is>
      </c>
      <c r="E54" s="54" t="inlineStr">
        <is>
          <t>47</t>
        </is>
      </c>
      <c r="F54" s="54" t="inlineStr">
        <is>
          <t>2 Bed 1 Bath</t>
        </is>
      </c>
      <c r="G54" s="54" t="inlineStr">
        <is>
          <t>2 Bed 1 Bath</t>
        </is>
      </c>
      <c r="K54" s="36" t="inlineStr">
        <is>
          <t>White (BEL), Kimberly</t>
        </is>
      </c>
      <c r="L54" s="55" t="n">
        <v>904</v>
      </c>
      <c r="M54" s="56" t="n">
        <v>2</v>
      </c>
      <c r="N54" s="56" t="n">
        <v>1</v>
      </c>
      <c r="Q54" s="57" t="inlineStr">
        <is>
          <t>Occ</t>
        </is>
      </c>
      <c r="U54" s="58" t="n">
        <v>1325</v>
      </c>
      <c r="V54" s="58" t="n">
        <v>1175</v>
      </c>
      <c r="W54" s="58" t="n">
        <v>0</v>
      </c>
      <c r="X54" s="58" t="n">
        <v>0</v>
      </c>
      <c r="Y54" s="58" t="n">
        <v>0</v>
      </c>
      <c r="Z54" s="59" t="n">
        <v>42095</v>
      </c>
      <c r="AA54" s="59" t="n">
        <v>42095</v>
      </c>
      <c r="AB54" s="59" t="n">
        <v>46418</v>
      </c>
    </row>
    <row r="55">
      <c r="D55" s="36" t="inlineStr">
        <is>
          <t>Delsan Court</t>
        </is>
      </c>
      <c r="E55" s="54" t="inlineStr">
        <is>
          <t>48</t>
        </is>
      </c>
      <c r="F55" s="54" t="inlineStr">
        <is>
          <t>2 Bed 1 Bath</t>
        </is>
      </c>
      <c r="G55" s="54" t="inlineStr">
        <is>
          <t>2 Bed 1 Bath</t>
        </is>
      </c>
      <c r="K55" s="36" t="inlineStr">
        <is>
          <t>Meadows, Torriana</t>
        </is>
      </c>
      <c r="L55" s="55" t="n">
        <v>904</v>
      </c>
      <c r="M55" s="56" t="n">
        <v>2</v>
      </c>
      <c r="N55" s="56" t="n">
        <v>1</v>
      </c>
      <c r="Q55" s="57" t="inlineStr">
        <is>
          <t>Occ</t>
        </is>
      </c>
      <c r="U55" s="58" t="n">
        <v>1325</v>
      </c>
      <c r="V55" s="58" t="n">
        <v>1250</v>
      </c>
      <c r="W55" s="58" t="n">
        <v>0</v>
      </c>
      <c r="X55" s="58" t="n">
        <v>0</v>
      </c>
      <c r="Y55" s="58" t="n">
        <v>0</v>
      </c>
      <c r="Z55" s="59" t="n">
        <v>46174</v>
      </c>
      <c r="AA55" s="59" t="n">
        <v>46174</v>
      </c>
      <c r="AB55" s="59" t="n">
        <v>46538</v>
      </c>
    </row>
    <row r="56">
      <c r="D56" s="36" t="inlineStr">
        <is>
          <t>Delsan Court</t>
        </is>
      </c>
      <c r="E56" s="54" t="inlineStr">
        <is>
          <t>49</t>
        </is>
      </c>
      <c r="F56" s="54" t="inlineStr">
        <is>
          <t>2 Bed 1 Bath</t>
        </is>
      </c>
      <c r="G56" s="54" t="inlineStr">
        <is>
          <t>2 Bed 1 Bath</t>
        </is>
      </c>
      <c r="K56" s="36" t="inlineStr">
        <is>
          <t>Proctor (BEL), Reona</t>
        </is>
      </c>
      <c r="L56" s="55" t="n">
        <v>904</v>
      </c>
      <c r="M56" s="56" t="n">
        <v>2</v>
      </c>
      <c r="N56" s="56" t="n">
        <v>1</v>
      </c>
      <c r="Q56" s="57" t="inlineStr">
        <is>
          <t>Occ</t>
        </is>
      </c>
      <c r="U56" s="58" t="n">
        <v>1325</v>
      </c>
      <c r="V56" s="58" t="n">
        <v>1230</v>
      </c>
      <c r="W56" s="58" t="n">
        <v>0</v>
      </c>
      <c r="X56" s="58" t="n">
        <v>0</v>
      </c>
      <c r="Y56" s="58" t="n">
        <v>0</v>
      </c>
      <c r="Z56" s="59" t="n">
        <v>45722</v>
      </c>
      <c r="AA56" s="59" t="n">
        <v>45722</v>
      </c>
      <c r="AB56" s="59" t="n">
        <v>46446</v>
      </c>
    </row>
    <row r="57">
      <c r="D57" s="36" t="inlineStr">
        <is>
          <t>Delsan Court</t>
        </is>
      </c>
      <c r="E57" s="54" t="inlineStr">
        <is>
          <t>50</t>
        </is>
      </c>
      <c r="F57" s="54" t="inlineStr">
        <is>
          <t>2 Bed 1 Bath</t>
        </is>
      </c>
      <c r="G57" s="54" t="inlineStr">
        <is>
          <t>2 Bed 1 Bath</t>
        </is>
      </c>
      <c r="K57" s="36" t="inlineStr">
        <is>
          <t>Carter, Christina</t>
        </is>
      </c>
      <c r="L57" s="55" t="n">
        <v>904</v>
      </c>
      <c r="M57" s="56" t="n">
        <v>2</v>
      </c>
      <c r="N57" s="56" t="n">
        <v>1</v>
      </c>
      <c r="Q57" s="57" t="inlineStr">
        <is>
          <t>Occ</t>
        </is>
      </c>
      <c r="U57" s="58" t="n">
        <v>1325</v>
      </c>
      <c r="V57" s="58" t="n">
        <v>1075</v>
      </c>
      <c r="W57" s="58" t="n">
        <v>0</v>
      </c>
      <c r="X57" s="58" t="n">
        <v>0</v>
      </c>
      <c r="Y57" s="58" t="n">
        <v>0</v>
      </c>
      <c r="Z57" s="59" t="n">
        <v>43435</v>
      </c>
      <c r="AA57" s="59" t="n">
        <v>43435</v>
      </c>
      <c r="AB57" s="59" t="n">
        <v>46356</v>
      </c>
    </row>
    <row r="58">
      <c r="D58" s="36" t="inlineStr">
        <is>
          <t>Delsan Court</t>
        </is>
      </c>
      <c r="E58" s="54" t="inlineStr">
        <is>
          <t>51</t>
        </is>
      </c>
      <c r="F58" s="54" t="inlineStr">
        <is>
          <t>2 Bed 1 Bath</t>
        </is>
      </c>
      <c r="G58" s="54" t="inlineStr">
        <is>
          <t>2 Bed 1 Bath</t>
        </is>
      </c>
      <c r="K58" s="36" t="inlineStr">
        <is>
          <t>Seagroves, Sam</t>
        </is>
      </c>
      <c r="L58" s="55" t="n">
        <v>904</v>
      </c>
      <c r="M58" s="56" t="n">
        <v>2</v>
      </c>
      <c r="N58" s="56" t="n">
        <v>1</v>
      </c>
      <c r="Q58" s="57" t="inlineStr">
        <is>
          <t>Occ</t>
        </is>
      </c>
      <c r="U58" s="58" t="n">
        <v>1275</v>
      </c>
      <c r="V58" s="58" t="n">
        <v>1325</v>
      </c>
      <c r="W58" s="58" t="n">
        <v>0</v>
      </c>
      <c r="X58" s="58" t="n">
        <v>0</v>
      </c>
      <c r="Y58" s="58" t="n">
        <v>0</v>
      </c>
      <c r="Z58" s="59" t="n">
        <v>45684</v>
      </c>
      <c r="AA58" s="59" t="n">
        <v>45684</v>
      </c>
      <c r="AB58" s="59" t="n">
        <v>46418</v>
      </c>
    </row>
    <row r="59">
      <c r="D59" s="36" t="inlineStr">
        <is>
          <t>Delsan Court</t>
        </is>
      </c>
      <c r="E59" s="54" t="inlineStr">
        <is>
          <t>52</t>
        </is>
      </c>
      <c r="F59" s="54" t="inlineStr">
        <is>
          <t>2 Bed 1 Bath</t>
        </is>
      </c>
      <c r="G59" s="54" t="inlineStr">
        <is>
          <t>2 Bed 1 Bath</t>
        </is>
      </c>
      <c r="K59" s="36" t="inlineStr">
        <is>
          <t>Thornton (BMHA), Chanel</t>
        </is>
      </c>
      <c r="L59" s="55" t="n">
        <v>904</v>
      </c>
      <c r="M59" s="56" t="n">
        <v>2</v>
      </c>
      <c r="N59" s="56" t="n">
        <v>1</v>
      </c>
      <c r="Q59" s="57" t="inlineStr">
        <is>
          <t>Occ</t>
        </is>
      </c>
      <c r="U59" s="58" t="n">
        <v>1325</v>
      </c>
      <c r="V59" s="58" t="n">
        <v>1275</v>
      </c>
      <c r="W59" s="58" t="n">
        <v>0</v>
      </c>
      <c r="X59" s="58" t="n">
        <v>0</v>
      </c>
      <c r="Y59" s="58" t="n">
        <v>200</v>
      </c>
      <c r="Z59" s="59" t="n">
        <v>45576</v>
      </c>
      <c r="AA59" s="59" t="n">
        <v>45576</v>
      </c>
      <c r="AB59" s="59" t="n">
        <v>45961</v>
      </c>
    </row>
    <row r="60">
      <c r="D60" s="36" t="inlineStr">
        <is>
          <t>Delsan Court</t>
        </is>
      </c>
      <c r="E60" s="54" t="inlineStr">
        <is>
          <t>53</t>
        </is>
      </c>
      <c r="F60" s="54" t="inlineStr">
        <is>
          <t>2 Bed 1 Bath</t>
        </is>
      </c>
      <c r="G60" s="54" t="inlineStr">
        <is>
          <t>2 Bed 1 Bath</t>
        </is>
      </c>
      <c r="K60" s="36" t="inlineStr">
        <is>
          <t>McMillan, Taijanay</t>
        </is>
      </c>
      <c r="L60" s="55" t="n">
        <v>904</v>
      </c>
      <c r="M60" s="56" t="n">
        <v>2</v>
      </c>
      <c r="N60" s="56" t="n">
        <v>1</v>
      </c>
      <c r="Q60" s="57" t="inlineStr">
        <is>
          <t>Occ</t>
        </is>
      </c>
      <c r="U60" s="58" t="n">
        <v>1325</v>
      </c>
      <c r="V60" s="58" t="n">
        <v>1315</v>
      </c>
      <c r="W60" s="58" t="n">
        <v>0</v>
      </c>
      <c r="X60" s="58" t="n">
        <v>0</v>
      </c>
      <c r="Y60" s="58" t="n">
        <v>25</v>
      </c>
      <c r="Z60" s="59" t="n">
        <v>45198</v>
      </c>
      <c r="AA60" s="59" t="n">
        <v>45198</v>
      </c>
      <c r="AB60" s="59" t="n">
        <v>46295</v>
      </c>
    </row>
    <row r="61">
      <c r="D61" s="36" t="inlineStr">
        <is>
          <t>Delsan Court</t>
        </is>
      </c>
      <c r="E61" s="54" t="inlineStr">
        <is>
          <t>54</t>
        </is>
      </c>
      <c r="F61" s="54" t="inlineStr">
        <is>
          <t>2 Bed 1 Bath</t>
        </is>
      </c>
      <c r="G61" s="54" t="inlineStr">
        <is>
          <t>2 Bed 1 Bath</t>
        </is>
      </c>
      <c r="K61" s="36" t="inlineStr">
        <is>
          <t>Grabowski (TSI), Ariana</t>
        </is>
      </c>
      <c r="L61" s="55" t="n">
        <v>904</v>
      </c>
      <c r="M61" s="56" t="n">
        <v>2</v>
      </c>
      <c r="N61" s="56" t="n">
        <v>1</v>
      </c>
      <c r="Q61" s="57" t="inlineStr">
        <is>
          <t>Occ</t>
        </is>
      </c>
      <c r="U61" s="58" t="n">
        <v>1325</v>
      </c>
      <c r="V61" s="58" t="n">
        <v>1450</v>
      </c>
      <c r="W61" s="58" t="n">
        <v>0</v>
      </c>
      <c r="X61" s="58" t="n">
        <v>0</v>
      </c>
      <c r="Y61" s="58" t="n">
        <v>0</v>
      </c>
      <c r="Z61" s="59" t="n">
        <v>44515</v>
      </c>
      <c r="AA61" s="59" t="n">
        <v>44515</v>
      </c>
      <c r="AB61" s="59" t="n">
        <v>46356</v>
      </c>
    </row>
    <row r="62">
      <c r="D62" s="36" t="inlineStr">
        <is>
          <t>Delsan Court</t>
        </is>
      </c>
      <c r="E62" s="54" t="inlineStr">
        <is>
          <t>55</t>
        </is>
      </c>
      <c r="F62" s="54" t="inlineStr">
        <is>
          <t>2 Bed 1 Bath</t>
        </is>
      </c>
      <c r="G62" s="54" t="inlineStr">
        <is>
          <t>2 Bed 1 Bath</t>
        </is>
      </c>
      <c r="K62" s="36" t="inlineStr">
        <is>
          <t>Vacant</t>
        </is>
      </c>
      <c r="L62" s="55" t="n">
        <v>904</v>
      </c>
      <c r="M62" s="56" t="n">
        <v>2</v>
      </c>
      <c r="N62" s="56" t="n">
        <v>1</v>
      </c>
      <c r="Q62" s="57" t="inlineStr">
        <is>
          <t>Vac</t>
        </is>
      </c>
      <c r="U62" s="58" t="n">
        <v>1200</v>
      </c>
      <c r="V62" s="58" t="n">
        <v>0</v>
      </c>
      <c r="W62" s="58" t="n">
        <v>0</v>
      </c>
      <c r="X62" s="58" t="n">
        <v>0</v>
      </c>
      <c r="Y62" s="58" t="n">
        <v>0</v>
      </c>
    </row>
    <row r="63">
      <c r="D63" s="36" t="inlineStr">
        <is>
          <t>Delsan Court</t>
        </is>
      </c>
      <c r="E63" s="54" t="inlineStr">
        <is>
          <t>56</t>
        </is>
      </c>
      <c r="F63" s="54" t="inlineStr">
        <is>
          <t>2 Bed 1 Bath</t>
        </is>
      </c>
      <c r="G63" s="54" t="inlineStr">
        <is>
          <t>2 Bed 1 Bath</t>
        </is>
      </c>
      <c r="K63" s="36" t="inlineStr">
        <is>
          <t>Vacant</t>
        </is>
      </c>
      <c r="L63" s="55" t="n">
        <v>904</v>
      </c>
      <c r="M63" s="56" t="n">
        <v>2</v>
      </c>
      <c r="N63" s="56" t="n">
        <v>1</v>
      </c>
      <c r="Q63" s="57" t="inlineStr">
        <is>
          <t>Vac</t>
        </is>
      </c>
      <c r="U63" s="58" t="n">
        <v>1200</v>
      </c>
      <c r="V63" s="58" t="n">
        <v>0</v>
      </c>
      <c r="W63" s="58" t="n">
        <v>0</v>
      </c>
      <c r="X63" s="58" t="n">
        <v>0</v>
      </c>
      <c r="Y63" s="58" t="n">
        <v>0</v>
      </c>
    </row>
    <row r="64">
      <c r="D64" s="36" t="inlineStr">
        <is>
          <t>Delsan Court</t>
        </is>
      </c>
      <c r="E64" s="54" t="inlineStr">
        <is>
          <t>57</t>
        </is>
      </c>
      <c r="F64" s="54" t="inlineStr">
        <is>
          <t>2 Bed 1 Bath</t>
        </is>
      </c>
      <c r="G64" s="54" t="inlineStr">
        <is>
          <t>2 Bed 1 Bath</t>
        </is>
      </c>
      <c r="K64" s="36" t="inlineStr">
        <is>
          <t>Harden, Crystal</t>
        </is>
      </c>
      <c r="L64" s="55" t="n">
        <v>904</v>
      </c>
      <c r="M64" s="56" t="n">
        <v>2</v>
      </c>
      <c r="N64" s="56" t="n">
        <v>1</v>
      </c>
      <c r="Q64" s="57" t="inlineStr">
        <is>
          <t>Occ</t>
        </is>
      </c>
      <c r="U64" s="58" t="n">
        <v>1325</v>
      </c>
      <c r="V64" s="58" t="n">
        <v>1175</v>
      </c>
      <c r="W64" s="58" t="n">
        <v>0</v>
      </c>
      <c r="X64" s="58" t="n">
        <v>0</v>
      </c>
      <c r="Y64" s="58" t="n">
        <v>0</v>
      </c>
      <c r="Z64" s="59" t="n">
        <v>44028</v>
      </c>
      <c r="AA64" s="59" t="n">
        <v>44028</v>
      </c>
      <c r="AB64" s="59" t="n">
        <v>46630</v>
      </c>
    </row>
    <row r="65">
      <c r="D65" s="36" t="inlineStr">
        <is>
          <t>Delsan Court</t>
        </is>
      </c>
      <c r="E65" s="54" t="inlineStr">
        <is>
          <t>58</t>
        </is>
      </c>
      <c r="F65" s="54" t="inlineStr">
        <is>
          <t>3 Bed 1.5 Bath</t>
        </is>
      </c>
      <c r="G65" s="54" t="inlineStr">
        <is>
          <t>3 Bed 1.5 Bath</t>
        </is>
      </c>
      <c r="K65" s="36" t="inlineStr">
        <is>
          <t>Otero, Gladys</t>
        </is>
      </c>
      <c r="L65" s="55" t="n">
        <v>1076</v>
      </c>
      <c r="M65" s="56" t="n">
        <v>3</v>
      </c>
      <c r="N65" s="56" t="n">
        <v>1.5</v>
      </c>
      <c r="Q65" s="57" t="inlineStr">
        <is>
          <t>Occ</t>
        </is>
      </c>
      <c r="U65" s="58" t="n">
        <v>1450</v>
      </c>
      <c r="V65" s="58" t="n">
        <v>1400</v>
      </c>
      <c r="W65" s="58" t="n">
        <v>0</v>
      </c>
      <c r="X65" s="58" t="n">
        <v>0</v>
      </c>
      <c r="Y65" s="58" t="n">
        <v>0</v>
      </c>
      <c r="Z65" s="59" t="n">
        <v>45762</v>
      </c>
      <c r="AA65" s="59" t="n">
        <v>45762</v>
      </c>
      <c r="AB65" s="59" t="n">
        <v>46142</v>
      </c>
    </row>
    <row r="66">
      <c r="D66" s="36" t="inlineStr">
        <is>
          <t>Delsan Court</t>
        </is>
      </c>
      <c r="E66" s="54" t="inlineStr">
        <is>
          <t>59</t>
        </is>
      </c>
      <c r="F66" s="54" t="inlineStr">
        <is>
          <t>3 Bed 1.5 Bath</t>
        </is>
      </c>
      <c r="G66" s="54" t="inlineStr">
        <is>
          <t>3 Bed 1.5 Bath</t>
        </is>
      </c>
      <c r="K66" s="36" t="inlineStr">
        <is>
          <t>Szatkowski, Janay</t>
        </is>
      </c>
      <c r="L66" s="55" t="n">
        <v>1076</v>
      </c>
      <c r="M66" s="56" t="n">
        <v>3</v>
      </c>
      <c r="N66" s="56" t="n">
        <v>1.5</v>
      </c>
      <c r="Q66" s="57" t="inlineStr">
        <is>
          <t>Occ</t>
        </is>
      </c>
      <c r="U66" s="58" t="n">
        <v>1450</v>
      </c>
      <c r="V66" s="58" t="n">
        <v>1500</v>
      </c>
      <c r="W66" s="58" t="n">
        <v>0</v>
      </c>
      <c r="X66" s="58" t="n">
        <v>0</v>
      </c>
      <c r="Y66" s="58" t="n">
        <v>0</v>
      </c>
      <c r="Z66" s="59" t="n">
        <v>44896</v>
      </c>
      <c r="AA66" s="59" t="n">
        <v>44896</v>
      </c>
      <c r="AB66" s="59" t="n">
        <v>46387</v>
      </c>
    </row>
    <row r="67">
      <c r="D67" s="36" t="inlineStr">
        <is>
          <t>Delsan Court</t>
        </is>
      </c>
      <c r="E67" s="54" t="inlineStr">
        <is>
          <t>60</t>
        </is>
      </c>
      <c r="F67" s="54" t="inlineStr">
        <is>
          <t>2 Bed 1 Bath</t>
        </is>
      </c>
      <c r="G67" s="54" t="inlineStr">
        <is>
          <t>2 Bed 1 Bath</t>
        </is>
      </c>
      <c r="K67" s="36" t="inlineStr">
        <is>
          <t>Prince, Nathen</t>
        </is>
      </c>
      <c r="L67" s="55" t="n">
        <v>904</v>
      </c>
      <c r="M67" s="56" t="n">
        <v>2</v>
      </c>
      <c r="N67" s="56" t="n">
        <v>1</v>
      </c>
      <c r="Q67" s="57" t="inlineStr">
        <is>
          <t>Occ</t>
        </is>
      </c>
      <c r="U67" s="58" t="n">
        <v>1275</v>
      </c>
      <c r="V67" s="58" t="n">
        <v>1275</v>
      </c>
      <c r="W67" s="58" t="n">
        <v>0</v>
      </c>
      <c r="X67" s="58" t="n">
        <v>0</v>
      </c>
      <c r="Y67" s="58" t="n">
        <v>0</v>
      </c>
      <c r="Z67" s="59" t="n">
        <v>45834</v>
      </c>
      <c r="AA67" s="59" t="n">
        <v>45834</v>
      </c>
      <c r="AB67" s="59" t="n">
        <v>46568</v>
      </c>
    </row>
    <row r="68">
      <c r="D68" s="36" t="inlineStr">
        <is>
          <t>Delsan Court</t>
        </is>
      </c>
      <c r="E68" s="54" t="inlineStr">
        <is>
          <t>61</t>
        </is>
      </c>
      <c r="F68" s="54" t="inlineStr">
        <is>
          <t>2 Bed 1 Bath</t>
        </is>
      </c>
      <c r="G68" s="54" t="inlineStr">
        <is>
          <t>2 Bed 1 Bath</t>
        </is>
      </c>
      <c r="K68" s="36" t="inlineStr">
        <is>
          <t>Vacant</t>
        </is>
      </c>
      <c r="L68" s="55" t="n">
        <v>904</v>
      </c>
      <c r="M68" s="56" t="n">
        <v>2</v>
      </c>
      <c r="N68" s="56" t="n">
        <v>1</v>
      </c>
      <c r="Q68" s="57" t="inlineStr">
        <is>
          <t>Vac</t>
        </is>
      </c>
      <c r="U68" s="58" t="n">
        <v>1200</v>
      </c>
      <c r="V68" s="58" t="n">
        <v>0</v>
      </c>
      <c r="W68" s="58" t="n">
        <v>0</v>
      </c>
      <c r="X68" s="58" t="n">
        <v>0</v>
      </c>
      <c r="Y68" s="58" t="n">
        <v>0</v>
      </c>
    </row>
    <row r="69">
      <c r="D69" s="36" t="inlineStr">
        <is>
          <t>Delsan Court</t>
        </is>
      </c>
      <c r="E69" s="54" t="inlineStr">
        <is>
          <t>62</t>
        </is>
      </c>
      <c r="F69" s="54" t="inlineStr">
        <is>
          <t>2 Bed 1 Bath</t>
        </is>
      </c>
      <c r="G69" s="54" t="inlineStr">
        <is>
          <t>2 Bed 1 Bath</t>
        </is>
      </c>
      <c r="K69" s="36" t="inlineStr">
        <is>
          <t>Woods, Startrise</t>
        </is>
      </c>
      <c r="L69" s="55" t="n">
        <v>904</v>
      </c>
      <c r="M69" s="56" t="n">
        <v>2</v>
      </c>
      <c r="N69" s="56" t="n">
        <v>1</v>
      </c>
      <c r="Q69" s="57" t="inlineStr">
        <is>
          <t>Occ</t>
        </is>
      </c>
      <c r="U69" s="58" t="n">
        <v>1325</v>
      </c>
      <c r="V69" s="58" t="n">
        <v>1200</v>
      </c>
      <c r="W69" s="58" t="n">
        <v>0</v>
      </c>
      <c r="X69" s="58" t="n">
        <v>0</v>
      </c>
      <c r="Y69" s="58" t="n">
        <v>0</v>
      </c>
      <c r="Z69" s="59" t="n">
        <v>46234</v>
      </c>
      <c r="AA69" s="59" t="n">
        <v>46234</v>
      </c>
      <c r="AB69" s="59" t="n">
        <v>46599</v>
      </c>
    </row>
    <row r="70">
      <c r="D70" s="36" t="inlineStr">
        <is>
          <t>Delsan Court</t>
        </is>
      </c>
      <c r="E70" s="54" t="inlineStr">
        <is>
          <t>63</t>
        </is>
      </c>
      <c r="F70" s="54" t="inlineStr">
        <is>
          <t>2 Bed 1 Bath</t>
        </is>
      </c>
      <c r="G70" s="54" t="inlineStr">
        <is>
          <t>2 Bed 1 Bath</t>
        </is>
      </c>
      <c r="K70" s="36" t="inlineStr">
        <is>
          <t>Maciejewski (TSI), Bruce</t>
        </is>
      </c>
      <c r="L70" s="55" t="n">
        <v>904</v>
      </c>
      <c r="M70" s="56" t="n">
        <v>2</v>
      </c>
      <c r="N70" s="56" t="n">
        <v>1</v>
      </c>
      <c r="Q70" s="57" t="inlineStr">
        <is>
          <t>Occ</t>
        </is>
      </c>
      <c r="U70" s="58" t="n">
        <v>1325</v>
      </c>
      <c r="V70" s="58" t="n">
        <v>1450</v>
      </c>
      <c r="W70" s="58" t="n">
        <v>0</v>
      </c>
      <c r="X70" s="58" t="n">
        <v>0</v>
      </c>
      <c r="Y70" s="58" t="n">
        <v>0</v>
      </c>
      <c r="Z70" s="59" t="n">
        <v>44516</v>
      </c>
      <c r="AA70" s="59" t="n">
        <v>44516</v>
      </c>
      <c r="AB70" s="59" t="n">
        <v>46356</v>
      </c>
    </row>
    <row r="71">
      <c r="D71" s="36" t="inlineStr">
        <is>
          <t>Delsan Court</t>
        </is>
      </c>
      <c r="E71" s="54" t="inlineStr">
        <is>
          <t>64</t>
        </is>
      </c>
      <c r="F71" s="54" t="inlineStr">
        <is>
          <t>2 Bed 1 Bath</t>
        </is>
      </c>
      <c r="G71" s="54" t="inlineStr">
        <is>
          <t>2 Bed 1 Bath</t>
        </is>
      </c>
      <c r="K71" s="36" t="inlineStr">
        <is>
          <t>Negron, Brittney</t>
        </is>
      </c>
      <c r="L71" s="55" t="n">
        <v>1250</v>
      </c>
      <c r="M71" s="56" t="n">
        <v>2</v>
      </c>
      <c r="N71" s="56" t="n">
        <v>1</v>
      </c>
      <c r="Q71" s="57" t="inlineStr">
        <is>
          <t>Occ</t>
        </is>
      </c>
      <c r="U71" s="58" t="n">
        <v>1325</v>
      </c>
      <c r="V71" s="58" t="n">
        <v>1350</v>
      </c>
      <c r="W71" s="58" t="n">
        <v>0</v>
      </c>
      <c r="X71" s="58" t="n">
        <v>0</v>
      </c>
      <c r="Y71" s="58" t="n">
        <v>0</v>
      </c>
      <c r="Z71" s="59" t="n">
        <v>45596</v>
      </c>
      <c r="AA71" s="59" t="n">
        <v>45596</v>
      </c>
      <c r="AB71" s="59" t="n">
        <v>46326</v>
      </c>
    </row>
    <row r="72">
      <c r="D72" s="36" t="inlineStr">
        <is>
          <t>Delsan Court</t>
        </is>
      </c>
      <c r="E72" s="54" t="inlineStr">
        <is>
          <t>65</t>
        </is>
      </c>
      <c r="F72" s="54" t="inlineStr">
        <is>
          <t>2 Bed 1 Bath</t>
        </is>
      </c>
      <c r="G72" s="54" t="inlineStr">
        <is>
          <t>2 Bed 1 Bath</t>
        </is>
      </c>
      <c r="K72" s="36" t="inlineStr">
        <is>
          <t>Williams, Linda</t>
        </is>
      </c>
      <c r="L72" s="55" t="n">
        <v>904</v>
      </c>
      <c r="M72" s="56" t="n">
        <v>2</v>
      </c>
      <c r="N72" s="56" t="n">
        <v>1</v>
      </c>
      <c r="Q72" s="57" t="inlineStr">
        <is>
          <t>Occ</t>
        </is>
      </c>
      <c r="U72" s="58" t="n">
        <v>1325</v>
      </c>
      <c r="V72" s="58" t="n">
        <v>1125</v>
      </c>
      <c r="W72" s="58" t="n">
        <v>0</v>
      </c>
      <c r="X72" s="58" t="n">
        <v>0</v>
      </c>
      <c r="Y72" s="58" t="n">
        <v>0</v>
      </c>
      <c r="Z72" s="59" t="n">
        <v>41913</v>
      </c>
      <c r="AA72" s="59" t="n">
        <v>41913</v>
      </c>
      <c r="AB72" s="59" t="n">
        <v>46660</v>
      </c>
    </row>
    <row r="73">
      <c r="D73" s="36" t="inlineStr">
        <is>
          <t>Delsan Court</t>
        </is>
      </c>
      <c r="E73" s="54" t="inlineStr">
        <is>
          <t>66</t>
        </is>
      </c>
      <c r="F73" s="54" t="inlineStr">
        <is>
          <t>2 Bed 1 Bath</t>
        </is>
      </c>
      <c r="G73" s="54" t="inlineStr">
        <is>
          <t>2 Bed 1 Bath</t>
        </is>
      </c>
      <c r="K73" s="36" t="inlineStr">
        <is>
          <t>Jones, Michelle</t>
        </is>
      </c>
      <c r="L73" s="55" t="n">
        <v>904</v>
      </c>
      <c r="M73" s="56" t="n">
        <v>2</v>
      </c>
      <c r="N73" s="56" t="n">
        <v>1</v>
      </c>
      <c r="Q73" s="57" t="inlineStr">
        <is>
          <t>Occ</t>
        </is>
      </c>
      <c r="U73" s="58" t="n">
        <v>1325</v>
      </c>
      <c r="V73" s="58" t="n">
        <v>1425</v>
      </c>
      <c r="W73" s="58" t="n">
        <v>0</v>
      </c>
      <c r="X73" s="58" t="n">
        <v>0</v>
      </c>
      <c r="Y73" s="58" t="n">
        <v>0</v>
      </c>
      <c r="Z73" s="59" t="n">
        <v>44671</v>
      </c>
      <c r="AA73" s="59" t="n">
        <v>44671</v>
      </c>
      <c r="AB73" s="59" t="n">
        <v>46507</v>
      </c>
    </row>
    <row r="74">
      <c r="D74" s="36" t="inlineStr">
        <is>
          <t>Delsan Court</t>
        </is>
      </c>
      <c r="E74" s="54" t="inlineStr">
        <is>
          <t>67</t>
        </is>
      </c>
      <c r="F74" s="54" t="inlineStr">
        <is>
          <t>2 Bed 1 Bath</t>
        </is>
      </c>
      <c r="G74" s="54" t="inlineStr">
        <is>
          <t>2 Bed 1 Bath</t>
        </is>
      </c>
      <c r="K74" s="36" t="inlineStr">
        <is>
          <t>Vacant</t>
        </is>
      </c>
      <c r="L74" s="55" t="n">
        <v>904</v>
      </c>
      <c r="M74" s="56" t="n">
        <v>2</v>
      </c>
      <c r="N74" s="56" t="n">
        <v>1</v>
      </c>
      <c r="Q74" s="57" t="inlineStr">
        <is>
          <t>Vac</t>
        </is>
      </c>
      <c r="U74" s="58" t="n">
        <v>1200</v>
      </c>
      <c r="V74" s="58" t="n">
        <v>0</v>
      </c>
      <c r="W74" s="58" t="n">
        <v>0</v>
      </c>
      <c r="X74" s="58" t="n">
        <v>0</v>
      </c>
      <c r="Y74" s="58" t="n">
        <v>0</v>
      </c>
    </row>
    <row r="75">
      <c r="D75" s="36" t="inlineStr">
        <is>
          <t>Delsan Court</t>
        </is>
      </c>
      <c r="E75" s="54" t="inlineStr">
        <is>
          <t>68</t>
        </is>
      </c>
      <c r="F75" s="54" t="inlineStr">
        <is>
          <t>2 Bed 1 Bath</t>
        </is>
      </c>
      <c r="G75" s="54" t="inlineStr">
        <is>
          <t>2 Bed 1 Bath</t>
        </is>
      </c>
      <c r="K75" s="36" t="inlineStr">
        <is>
          <t>Smith, Arianna</t>
        </is>
      </c>
      <c r="L75" s="55" t="n">
        <v>904</v>
      </c>
      <c r="M75" s="56" t="n">
        <v>2</v>
      </c>
      <c r="N75" s="56" t="n">
        <v>1</v>
      </c>
      <c r="Q75" s="57" t="inlineStr">
        <is>
          <t>Occ</t>
        </is>
      </c>
      <c r="U75" s="58" t="n">
        <v>1275</v>
      </c>
      <c r="V75" s="58" t="n">
        <v>1275</v>
      </c>
      <c r="W75" s="58" t="n">
        <v>0</v>
      </c>
      <c r="X75" s="58" t="n">
        <v>0</v>
      </c>
      <c r="Y75" s="58" t="n">
        <v>0</v>
      </c>
      <c r="Z75" s="59" t="n">
        <v>45751</v>
      </c>
      <c r="AA75" s="59" t="n">
        <v>45751</v>
      </c>
      <c r="AB75" s="59" t="n">
        <v>46507</v>
      </c>
    </row>
    <row r="76">
      <c r="D76" s="36" t="inlineStr">
        <is>
          <t>Delsan Court</t>
        </is>
      </c>
      <c r="E76" s="54" t="inlineStr">
        <is>
          <t>69</t>
        </is>
      </c>
      <c r="F76" s="54" t="inlineStr">
        <is>
          <t>2 Bed 1 Bath</t>
        </is>
      </c>
      <c r="G76" s="54" t="inlineStr">
        <is>
          <t>2 Bed 1 Bath</t>
        </is>
      </c>
      <c r="K76" s="36" t="inlineStr">
        <is>
          <t>Martinez-Santana, Raysa</t>
        </is>
      </c>
      <c r="L76" s="55" t="n">
        <v>904</v>
      </c>
      <c r="M76" s="56" t="n">
        <v>2</v>
      </c>
      <c r="N76" s="56" t="n">
        <v>1</v>
      </c>
      <c r="Q76" s="57" t="inlineStr">
        <is>
          <t>Occ</t>
        </is>
      </c>
      <c r="U76" s="58" t="n">
        <v>1325</v>
      </c>
      <c r="V76" s="58" t="n">
        <v>1250</v>
      </c>
      <c r="W76" s="58" t="n">
        <v>0</v>
      </c>
      <c r="X76" s="58" t="n">
        <v>0</v>
      </c>
      <c r="Y76" s="58" t="n">
        <v>0</v>
      </c>
      <c r="Z76" s="59" t="n">
        <v>46162</v>
      </c>
      <c r="AA76" s="59" t="n">
        <v>46162</v>
      </c>
      <c r="AB76" s="59" t="n">
        <v>46538</v>
      </c>
    </row>
    <row r="77">
      <c r="D77" s="36" t="inlineStr">
        <is>
          <t>Delsan Court</t>
        </is>
      </c>
      <c r="E77" s="54" t="inlineStr">
        <is>
          <t>70</t>
        </is>
      </c>
      <c r="F77" s="54" t="inlineStr">
        <is>
          <t>2 Bed 1 Bath</t>
        </is>
      </c>
      <c r="G77" s="54" t="inlineStr">
        <is>
          <t>2 Bed 1 Bath</t>
        </is>
      </c>
      <c r="K77" s="36" t="inlineStr">
        <is>
          <t>Burgio, Monet</t>
        </is>
      </c>
      <c r="L77" s="55" t="n">
        <v>904</v>
      </c>
      <c r="M77" s="56" t="n">
        <v>2</v>
      </c>
      <c r="N77" s="56" t="n">
        <v>1</v>
      </c>
      <c r="Q77" s="57" t="inlineStr">
        <is>
          <t>Occ</t>
        </is>
      </c>
      <c r="U77" s="58" t="n">
        <v>1325</v>
      </c>
      <c r="V77" s="58" t="n">
        <v>1375</v>
      </c>
      <c r="W77" s="58" t="n">
        <v>0</v>
      </c>
      <c r="X77" s="58" t="n">
        <v>0</v>
      </c>
      <c r="Y77" s="58" t="n">
        <v>0</v>
      </c>
      <c r="Z77" s="59" t="n">
        <v>45184</v>
      </c>
      <c r="AA77" s="59" t="n">
        <v>45184</v>
      </c>
      <c r="AB77" s="59" t="n">
        <v>46295</v>
      </c>
    </row>
    <row r="78">
      <c r="D78" s="36" t="inlineStr">
        <is>
          <t>Delsan Court</t>
        </is>
      </c>
      <c r="E78" s="54" t="inlineStr">
        <is>
          <t>71</t>
        </is>
      </c>
      <c r="F78" s="54" t="inlineStr">
        <is>
          <t>2 Bed 1 Bath</t>
        </is>
      </c>
      <c r="G78" s="54" t="inlineStr">
        <is>
          <t>2 Bed 1 Bath</t>
        </is>
      </c>
      <c r="K78" s="36" t="inlineStr">
        <is>
          <t>May (RACB), John</t>
        </is>
      </c>
      <c r="L78" s="55" t="n">
        <v>904</v>
      </c>
      <c r="M78" s="56" t="n">
        <v>2</v>
      </c>
      <c r="N78" s="56" t="n">
        <v>1</v>
      </c>
      <c r="Q78" s="57" t="inlineStr">
        <is>
          <t>Occ</t>
        </is>
      </c>
      <c r="U78" s="58" t="n">
        <v>1325</v>
      </c>
      <c r="V78" s="58" t="n">
        <v>1350</v>
      </c>
      <c r="W78" s="58" t="n">
        <v>0</v>
      </c>
      <c r="X78" s="58" t="n">
        <v>0</v>
      </c>
      <c r="Y78" s="58" t="n">
        <v>0</v>
      </c>
      <c r="Z78" s="59" t="n">
        <v>45536</v>
      </c>
      <c r="AA78" s="59" t="n">
        <v>45536</v>
      </c>
      <c r="AB78" s="59" t="n">
        <v>46265</v>
      </c>
    </row>
    <row r="79">
      <c r="D79" s="36" t="inlineStr">
        <is>
          <t>Delsan Court</t>
        </is>
      </c>
      <c r="E79" s="54" t="inlineStr">
        <is>
          <t>72</t>
        </is>
      </c>
      <c r="F79" s="54" t="inlineStr">
        <is>
          <t>2 Bed 1 Bath</t>
        </is>
      </c>
      <c r="G79" s="54" t="inlineStr">
        <is>
          <t>2 Bed 1 Bath</t>
        </is>
      </c>
      <c r="K79" s="36" t="inlineStr">
        <is>
          <t>Services Inc, Transitional</t>
        </is>
      </c>
      <c r="L79" s="55" t="n">
        <v>904</v>
      </c>
      <c r="M79" s="56" t="n">
        <v>2</v>
      </c>
      <c r="N79" s="56" t="n">
        <v>1</v>
      </c>
      <c r="Q79" s="57" t="inlineStr">
        <is>
          <t>Occ</t>
        </is>
      </c>
      <c r="U79" s="58" t="n">
        <v>1325</v>
      </c>
      <c r="V79" s="58" t="n">
        <v>1200</v>
      </c>
      <c r="W79" s="58" t="n">
        <v>0</v>
      </c>
      <c r="X79" s="58" t="n">
        <v>0</v>
      </c>
      <c r="Y79" s="58" t="n">
        <v>0</v>
      </c>
      <c r="Z79" s="59" t="n">
        <v>41030</v>
      </c>
      <c r="AA79" s="59" t="n">
        <v>41030</v>
      </c>
      <c r="AB79" s="59" t="n">
        <v>46507</v>
      </c>
    </row>
    <row r="80">
      <c r="D80" s="36" t="inlineStr">
        <is>
          <t>Delsan Court</t>
        </is>
      </c>
      <c r="E80" s="54" t="inlineStr">
        <is>
          <t>73</t>
        </is>
      </c>
      <c r="F80" s="54" t="inlineStr">
        <is>
          <t>2 Bed 1 Bath</t>
        </is>
      </c>
      <c r="G80" s="54" t="inlineStr">
        <is>
          <t>2 Bed 1 Bath</t>
        </is>
      </c>
      <c r="K80" s="36" t="inlineStr">
        <is>
          <t>Delgado, Narraly</t>
        </is>
      </c>
      <c r="L80" s="55" t="n">
        <v>904</v>
      </c>
      <c r="M80" s="56" t="n">
        <v>2</v>
      </c>
      <c r="N80" s="56" t="n">
        <v>1</v>
      </c>
      <c r="Q80" s="57" t="inlineStr">
        <is>
          <t>Occ</t>
        </is>
      </c>
      <c r="U80" s="58" t="n">
        <v>1325</v>
      </c>
      <c r="V80" s="58" t="n">
        <v>1125</v>
      </c>
      <c r="W80" s="58" t="n">
        <v>0</v>
      </c>
      <c r="X80" s="58" t="n">
        <v>0</v>
      </c>
      <c r="Y80" s="58" t="n">
        <v>0</v>
      </c>
      <c r="Z80" s="59" t="n">
        <v>44235</v>
      </c>
      <c r="AA80" s="59" t="n">
        <v>44235</v>
      </c>
      <c r="AB80" s="59" t="n">
        <v>46142</v>
      </c>
    </row>
    <row r="81">
      <c r="D81" s="36" t="inlineStr">
        <is>
          <t>Delsan Court</t>
        </is>
      </c>
      <c r="E81" s="54" t="inlineStr">
        <is>
          <t>74</t>
        </is>
      </c>
      <c r="F81" s="54" t="inlineStr">
        <is>
          <t>2 Bed 1 Bath</t>
        </is>
      </c>
      <c r="G81" s="54" t="inlineStr">
        <is>
          <t>2 Bed 1 Bath</t>
        </is>
      </c>
      <c r="K81" s="36" t="inlineStr">
        <is>
          <t>Watkins, Kathleen</t>
        </is>
      </c>
      <c r="L81" s="55" t="n">
        <v>904</v>
      </c>
      <c r="M81" s="56" t="n">
        <v>2</v>
      </c>
      <c r="N81" s="56" t="n">
        <v>1</v>
      </c>
      <c r="Q81" s="57" t="inlineStr">
        <is>
          <t>Occ</t>
        </is>
      </c>
      <c r="U81" s="58" t="n">
        <v>1325</v>
      </c>
      <c r="V81" s="58" t="n">
        <v>1325</v>
      </c>
      <c r="W81" s="58" t="n">
        <v>0</v>
      </c>
      <c r="X81" s="58" t="n">
        <v>0</v>
      </c>
      <c r="Y81" s="58" t="n">
        <v>0</v>
      </c>
      <c r="Z81" s="59" t="n">
        <v>45047</v>
      </c>
      <c r="AA81" s="59" t="n">
        <v>45047</v>
      </c>
      <c r="AB81" s="59" t="n">
        <v>46142</v>
      </c>
    </row>
    <row r="82">
      <c r="D82" s="36" t="inlineStr">
        <is>
          <t>Delsan Court</t>
        </is>
      </c>
      <c r="E82" s="54" t="inlineStr">
        <is>
          <t>75</t>
        </is>
      </c>
      <c r="F82" s="54" t="inlineStr">
        <is>
          <t>2 Bed 1 Bath</t>
        </is>
      </c>
      <c r="G82" s="54" t="inlineStr">
        <is>
          <t>2 Bed 1 Bath</t>
        </is>
      </c>
      <c r="K82" s="36" t="inlineStr">
        <is>
          <t>Millington, Chevaneese</t>
        </is>
      </c>
      <c r="L82" s="55" t="n">
        <v>904</v>
      </c>
      <c r="M82" s="56" t="n">
        <v>2</v>
      </c>
      <c r="N82" s="56" t="n">
        <v>1</v>
      </c>
      <c r="Q82" s="57" t="inlineStr">
        <is>
          <t>Occ</t>
        </is>
      </c>
      <c r="U82" s="58" t="n">
        <v>1275</v>
      </c>
      <c r="V82" s="58" t="n">
        <v>1275</v>
      </c>
      <c r="W82" s="58" t="n">
        <v>0</v>
      </c>
      <c r="X82" s="58" t="n">
        <v>0</v>
      </c>
      <c r="Y82" s="58" t="n">
        <v>0</v>
      </c>
      <c r="Z82" s="59" t="n">
        <v>45807</v>
      </c>
      <c r="AA82" s="59" t="n">
        <v>45807</v>
      </c>
      <c r="AB82" s="59" t="n">
        <v>46568</v>
      </c>
    </row>
    <row r="83">
      <c r="D83" s="36" t="inlineStr">
        <is>
          <t>Delsan Court</t>
        </is>
      </c>
      <c r="E83" s="54" t="inlineStr">
        <is>
          <t>76</t>
        </is>
      </c>
      <c r="F83" s="54" t="inlineStr">
        <is>
          <t>2 Bed 1 Bath</t>
        </is>
      </c>
      <c r="G83" s="54" t="inlineStr">
        <is>
          <t>2 Bed 1 Bath</t>
        </is>
      </c>
      <c r="K83" s="36" t="inlineStr">
        <is>
          <t>Jackson (BEL), Alyshia</t>
        </is>
      </c>
      <c r="L83" s="55" t="n">
        <v>904</v>
      </c>
      <c r="M83" s="56" t="n">
        <v>2</v>
      </c>
      <c r="N83" s="56" t="n">
        <v>1</v>
      </c>
      <c r="Q83" s="57" t="inlineStr">
        <is>
          <t>Occ</t>
        </is>
      </c>
      <c r="U83" s="58" t="n">
        <v>1325</v>
      </c>
      <c r="V83" s="58" t="n">
        <v>1200</v>
      </c>
      <c r="W83" s="58" t="n">
        <v>0</v>
      </c>
      <c r="X83" s="58" t="n">
        <v>0</v>
      </c>
      <c r="Y83" s="58" t="n">
        <v>0</v>
      </c>
      <c r="Z83" s="59" t="n">
        <v>43719</v>
      </c>
      <c r="AA83" s="59" t="n">
        <v>43719</v>
      </c>
      <c r="AB83" s="59" t="n">
        <v>46507</v>
      </c>
    </row>
    <row r="84">
      <c r="D84" s="36" t="inlineStr">
        <is>
          <t>Delsan Court</t>
        </is>
      </c>
      <c r="E84" s="54" t="inlineStr">
        <is>
          <t>77</t>
        </is>
      </c>
      <c r="F84" s="54" t="inlineStr">
        <is>
          <t>2 Bed 1 Bath</t>
        </is>
      </c>
      <c r="G84" s="54" t="inlineStr">
        <is>
          <t>2 Bed 1 Bath</t>
        </is>
      </c>
      <c r="K84" s="36" t="inlineStr">
        <is>
          <t>Miles, Shawn</t>
        </is>
      </c>
      <c r="L84" s="55" t="n">
        <v>904</v>
      </c>
      <c r="M84" s="56" t="n">
        <v>2</v>
      </c>
      <c r="N84" s="56" t="n">
        <v>1</v>
      </c>
      <c r="Q84" s="57" t="inlineStr">
        <is>
          <t>Occ</t>
        </is>
      </c>
      <c r="U84" s="58" t="n">
        <v>1325</v>
      </c>
      <c r="V84" s="58" t="n">
        <v>1075</v>
      </c>
      <c r="W84" s="58" t="n">
        <v>0</v>
      </c>
      <c r="X84" s="58" t="n">
        <v>0</v>
      </c>
      <c r="Y84" s="58" t="n">
        <v>0</v>
      </c>
      <c r="Z84" s="59" t="n">
        <v>39295</v>
      </c>
      <c r="AA84" s="59" t="n">
        <v>39295</v>
      </c>
      <c r="AB84" s="59" t="n">
        <v>46507</v>
      </c>
    </row>
    <row r="85">
      <c r="D85" s="36" t="inlineStr">
        <is>
          <t>Delsan Court</t>
        </is>
      </c>
      <c r="E85" s="54" t="inlineStr">
        <is>
          <t>78</t>
        </is>
      </c>
      <c r="F85" s="54" t="inlineStr">
        <is>
          <t>3 Bed 1.5 Bath</t>
        </is>
      </c>
      <c r="G85" s="54" t="inlineStr">
        <is>
          <t>3 Bed 1.5 Bath</t>
        </is>
      </c>
      <c r="K85" s="36" t="inlineStr">
        <is>
          <t>Rivera (BMHA), Katherine</t>
        </is>
      </c>
      <c r="L85" s="55" t="n">
        <v>1400</v>
      </c>
      <c r="M85" s="56" t="n">
        <v>3</v>
      </c>
      <c r="N85" s="56" t="n">
        <v>1.5</v>
      </c>
      <c r="Q85" s="57" t="inlineStr">
        <is>
          <t>Occ</t>
        </is>
      </c>
      <c r="U85" s="58" t="n">
        <v>1450</v>
      </c>
      <c r="V85" s="58" t="n">
        <v>1525</v>
      </c>
      <c r="W85" s="58" t="n">
        <v>0</v>
      </c>
      <c r="X85" s="58" t="n">
        <v>0</v>
      </c>
      <c r="Y85" s="58" t="n">
        <v>0</v>
      </c>
      <c r="Z85" s="59" t="n">
        <v>45467</v>
      </c>
      <c r="AA85" s="59" t="n">
        <v>45467</v>
      </c>
      <c r="AB85" s="59" t="n">
        <v>46568</v>
      </c>
    </row>
    <row r="86">
      <c r="D86" s="36" t="inlineStr">
        <is>
          <t>Delsan Court</t>
        </is>
      </c>
      <c r="E86" s="54" t="inlineStr">
        <is>
          <t>79</t>
        </is>
      </c>
      <c r="F86" s="54" t="inlineStr">
        <is>
          <t>3 Bed 1.5 Bath</t>
        </is>
      </c>
      <c r="G86" s="54" t="inlineStr">
        <is>
          <t>3 Bed 1.5 Bath</t>
        </is>
      </c>
      <c r="K86" s="36" t="inlineStr">
        <is>
          <t>Hidalgo, Evelyn</t>
        </is>
      </c>
      <c r="L86" s="55" t="n">
        <v>1076</v>
      </c>
      <c r="M86" s="56" t="n">
        <v>3</v>
      </c>
      <c r="N86" s="56" t="n">
        <v>1.5</v>
      </c>
      <c r="Q86" s="57" t="inlineStr">
        <is>
          <t>Occ</t>
        </is>
      </c>
      <c r="U86" s="58" t="n">
        <v>1495</v>
      </c>
      <c r="V86" s="58" t="n">
        <v>1125</v>
      </c>
      <c r="W86" s="58" t="n">
        <v>0</v>
      </c>
      <c r="X86" s="58" t="n">
        <v>0</v>
      </c>
      <c r="Y86" s="58" t="n">
        <v>0</v>
      </c>
      <c r="Z86" s="59" t="n">
        <v>40421</v>
      </c>
      <c r="AA86" s="59" t="n">
        <v>40421</v>
      </c>
      <c r="AB86" s="59" t="n">
        <v>46265</v>
      </c>
    </row>
    <row r="87">
      <c r="D87" s="36" t="inlineStr">
        <is>
          <t>Delsan Court</t>
        </is>
      </c>
      <c r="E87" s="54" t="inlineStr">
        <is>
          <t>80</t>
        </is>
      </c>
      <c r="F87" s="54" t="inlineStr">
        <is>
          <t>2 Bed 1 Bath</t>
        </is>
      </c>
      <c r="G87" s="54" t="inlineStr">
        <is>
          <t>2 Bed 1 Bath</t>
        </is>
      </c>
      <c r="K87" s="36" t="inlineStr">
        <is>
          <t>Pilgrom, Jairus</t>
        </is>
      </c>
      <c r="L87" s="55" t="n">
        <v>904</v>
      </c>
      <c r="M87" s="56" t="n">
        <v>2</v>
      </c>
      <c r="N87" s="56" t="n">
        <v>1</v>
      </c>
      <c r="Q87" s="57" t="inlineStr">
        <is>
          <t>Occ</t>
        </is>
      </c>
      <c r="U87" s="58" t="n">
        <v>1275</v>
      </c>
      <c r="V87" s="58" t="n">
        <v>1250</v>
      </c>
      <c r="W87" s="58" t="n">
        <v>0</v>
      </c>
      <c r="X87" s="58" t="n">
        <v>0</v>
      </c>
      <c r="Y87" s="58" t="n">
        <v>0</v>
      </c>
      <c r="Z87" s="59" t="n">
        <v>46143</v>
      </c>
      <c r="AA87" s="59" t="n">
        <v>46143</v>
      </c>
      <c r="AB87" s="59" t="n">
        <v>46507</v>
      </c>
    </row>
    <row r="88">
      <c r="D88" s="36" t="inlineStr">
        <is>
          <t>Delsan Court</t>
        </is>
      </c>
      <c r="E88" s="54" t="inlineStr">
        <is>
          <t>81</t>
        </is>
      </c>
      <c r="F88" s="54" t="inlineStr">
        <is>
          <t>2 Bed 1 Bath</t>
        </is>
      </c>
      <c r="G88" s="54" t="inlineStr">
        <is>
          <t>2 Bed 1 Bath</t>
        </is>
      </c>
      <c r="K88" s="36" t="inlineStr">
        <is>
          <t>Robinson-Peoples (BMHA), Ciara</t>
        </is>
      </c>
      <c r="L88" s="55" t="n">
        <v>904</v>
      </c>
      <c r="M88" s="56" t="n">
        <v>2</v>
      </c>
      <c r="N88" s="56" t="n">
        <v>1</v>
      </c>
      <c r="Q88" s="57" t="inlineStr">
        <is>
          <t>Occ</t>
        </is>
      </c>
      <c r="U88" s="58" t="n">
        <v>1325</v>
      </c>
      <c r="V88" s="58" t="n">
        <v>1245</v>
      </c>
      <c r="W88" s="58" t="n">
        <v>0</v>
      </c>
      <c r="X88" s="58" t="n">
        <v>0</v>
      </c>
      <c r="Y88" s="58" t="n">
        <v>0</v>
      </c>
      <c r="Z88" s="59" t="n">
        <v>45726</v>
      </c>
      <c r="AA88" s="59" t="n">
        <v>45726</v>
      </c>
      <c r="AB88" s="59" t="n">
        <v>46477</v>
      </c>
    </row>
    <row r="89">
      <c r="D89" s="36" t="inlineStr">
        <is>
          <t>Delsan Court</t>
        </is>
      </c>
      <c r="E89" s="54" t="inlineStr">
        <is>
          <t>82</t>
        </is>
      </c>
      <c r="F89" s="54" t="inlineStr">
        <is>
          <t>2 Bed 1 Bath</t>
        </is>
      </c>
      <c r="G89" s="54" t="inlineStr">
        <is>
          <t>2 Bed 1 Bath</t>
        </is>
      </c>
      <c r="K89" s="36" t="inlineStr">
        <is>
          <t>Wigdor (RACB), Rachel</t>
        </is>
      </c>
      <c r="L89" s="55" t="n">
        <v>904</v>
      </c>
      <c r="M89" s="56" t="n">
        <v>2</v>
      </c>
      <c r="N89" s="56" t="n">
        <v>1</v>
      </c>
      <c r="Q89" s="57" t="inlineStr">
        <is>
          <t>Occ</t>
        </is>
      </c>
      <c r="U89" s="58" t="n">
        <v>1325</v>
      </c>
      <c r="V89" s="58" t="n">
        <v>1325</v>
      </c>
      <c r="W89" s="58" t="n">
        <v>0</v>
      </c>
      <c r="X89" s="58" t="n">
        <v>0</v>
      </c>
      <c r="Y89" s="58" t="n">
        <v>0</v>
      </c>
      <c r="Z89" s="59" t="n">
        <v>45359</v>
      </c>
      <c r="AA89" s="59" t="n">
        <v>45359</v>
      </c>
      <c r="AB89" s="59" t="n">
        <v>46477</v>
      </c>
    </row>
    <row r="90">
      <c r="D90" s="36" t="inlineStr">
        <is>
          <t>Delsan Court</t>
        </is>
      </c>
      <c r="E90" s="54" t="inlineStr">
        <is>
          <t>83</t>
        </is>
      </c>
      <c r="F90" s="54" t="inlineStr">
        <is>
          <t>2 Bed 1 Bath</t>
        </is>
      </c>
      <c r="G90" s="54" t="inlineStr">
        <is>
          <t>2 Bed 1 Bath</t>
        </is>
      </c>
      <c r="K90" s="36" t="inlineStr">
        <is>
          <t>Lofton (BEL), Chinira</t>
        </is>
      </c>
      <c r="L90" s="55" t="n">
        <v>904</v>
      </c>
      <c r="M90" s="56" t="n">
        <v>2</v>
      </c>
      <c r="N90" s="56" t="n">
        <v>1</v>
      </c>
      <c r="Q90" s="57" t="inlineStr">
        <is>
          <t>Occ</t>
        </is>
      </c>
      <c r="U90" s="58" t="n">
        <v>1325</v>
      </c>
      <c r="V90" s="58" t="n">
        <v>1230</v>
      </c>
      <c r="W90" s="58" t="n">
        <v>0</v>
      </c>
      <c r="X90" s="58" t="n">
        <v>0</v>
      </c>
      <c r="Y90" s="58" t="n">
        <v>0</v>
      </c>
      <c r="Z90" s="59" t="n">
        <v>45621</v>
      </c>
      <c r="AA90" s="59" t="n">
        <v>45621</v>
      </c>
      <c r="AB90" s="59" t="n">
        <v>45961</v>
      </c>
    </row>
    <row r="91">
      <c r="D91" s="36" t="inlineStr">
        <is>
          <t>Delsan Court</t>
        </is>
      </c>
      <c r="E91" s="54" t="inlineStr">
        <is>
          <t>84</t>
        </is>
      </c>
      <c r="F91" s="54" t="inlineStr">
        <is>
          <t>2 Bed 1 Bath</t>
        </is>
      </c>
      <c r="G91" s="54" t="inlineStr">
        <is>
          <t>2 Bed 1 Bath</t>
        </is>
      </c>
      <c r="K91" s="36" t="inlineStr">
        <is>
          <t>Lindsay, Nosa'J</t>
        </is>
      </c>
      <c r="L91" s="55" t="n">
        <v>1250</v>
      </c>
      <c r="M91" s="56" t="n">
        <v>2</v>
      </c>
      <c r="N91" s="56" t="n">
        <v>1</v>
      </c>
      <c r="Q91" s="57" t="inlineStr">
        <is>
          <t>Occ</t>
        </is>
      </c>
      <c r="U91" s="58" t="n">
        <v>1325</v>
      </c>
      <c r="V91" s="58" t="n">
        <v>1400</v>
      </c>
      <c r="W91" s="58" t="n">
        <v>0</v>
      </c>
      <c r="X91" s="58" t="n">
        <v>0</v>
      </c>
      <c r="Y91" s="58" t="n">
        <v>0</v>
      </c>
      <c r="Z91" s="59" t="n">
        <v>45565</v>
      </c>
      <c r="AA91" s="59" t="n">
        <v>45565</v>
      </c>
      <c r="AB91" s="59" t="n">
        <v>46295</v>
      </c>
    </row>
    <row r="92">
      <c r="D92" s="36" t="inlineStr">
        <is>
          <t>Delsan Court</t>
        </is>
      </c>
      <c r="E92" s="54" t="inlineStr">
        <is>
          <t>85</t>
        </is>
      </c>
      <c r="F92" s="54" t="inlineStr">
        <is>
          <t>2 Bed 1 Bath</t>
        </is>
      </c>
      <c r="G92" s="54" t="inlineStr">
        <is>
          <t>2 Bed 1 Bath</t>
        </is>
      </c>
      <c r="K92" s="36" t="inlineStr">
        <is>
          <t>Freeman (BFNC), Ebin</t>
        </is>
      </c>
      <c r="L92" s="55" t="n">
        <v>904</v>
      </c>
      <c r="M92" s="56" t="n">
        <v>2</v>
      </c>
      <c r="N92" s="56" t="n">
        <v>1</v>
      </c>
      <c r="Q92" s="57" t="inlineStr">
        <is>
          <t>Occ</t>
        </is>
      </c>
      <c r="U92" s="58" t="n">
        <v>1325</v>
      </c>
      <c r="V92" s="58" t="n">
        <v>1325</v>
      </c>
      <c r="W92" s="58" t="n">
        <v>0</v>
      </c>
      <c r="X92" s="58" t="n">
        <v>0</v>
      </c>
      <c r="Y92" s="58" t="n">
        <v>0</v>
      </c>
      <c r="Z92" s="59" t="n">
        <v>45853</v>
      </c>
      <c r="AA92" s="59" t="n">
        <v>45853</v>
      </c>
      <c r="AB92" s="59" t="n">
        <v>46599</v>
      </c>
    </row>
    <row r="93">
      <c r="D93" s="36" t="inlineStr">
        <is>
          <t>Delsan Court</t>
        </is>
      </c>
      <c r="E93" s="54" t="inlineStr">
        <is>
          <t>86</t>
        </is>
      </c>
      <c r="F93" s="54" t="inlineStr">
        <is>
          <t>2 Bed 1 Bath</t>
        </is>
      </c>
      <c r="G93" s="54" t="inlineStr">
        <is>
          <t>2 Bed 1 Bath</t>
        </is>
      </c>
      <c r="K93" s="36" t="inlineStr">
        <is>
          <t>Rosario, Jose</t>
        </is>
      </c>
      <c r="L93" s="55" t="n">
        <v>904</v>
      </c>
      <c r="M93" s="56" t="n">
        <v>2</v>
      </c>
      <c r="N93" s="56" t="n">
        <v>1</v>
      </c>
      <c r="Q93" s="57" t="inlineStr">
        <is>
          <t>Occ</t>
        </is>
      </c>
      <c r="U93" s="58" t="n">
        <v>1325</v>
      </c>
      <c r="V93" s="58" t="n">
        <v>1295</v>
      </c>
      <c r="W93" s="58" t="n">
        <v>0</v>
      </c>
      <c r="X93" s="58" t="n">
        <v>0</v>
      </c>
      <c r="Y93" s="58" t="n">
        <v>0</v>
      </c>
      <c r="Z93" s="59" t="n">
        <v>45243</v>
      </c>
      <c r="AA93" s="59" t="n">
        <v>45243</v>
      </c>
      <c r="AB93" s="59" t="n">
        <v>46356</v>
      </c>
    </row>
    <row r="94">
      <c r="D94" s="36" t="inlineStr">
        <is>
          <t>Delsan Court</t>
        </is>
      </c>
      <c r="E94" s="54" t="inlineStr">
        <is>
          <t>87</t>
        </is>
      </c>
      <c r="F94" s="54" t="inlineStr">
        <is>
          <t>2 Bed 1 Bath</t>
        </is>
      </c>
      <c r="G94" s="54" t="inlineStr">
        <is>
          <t>2 Bed 1 Bath</t>
        </is>
      </c>
      <c r="K94" s="36" t="inlineStr">
        <is>
          <t>Boykin, Jamee</t>
        </is>
      </c>
      <c r="L94" s="55" t="n">
        <v>904</v>
      </c>
      <c r="M94" s="56" t="n">
        <v>2</v>
      </c>
      <c r="N94" s="56" t="n">
        <v>1</v>
      </c>
      <c r="Q94" s="57" t="inlineStr">
        <is>
          <t>Occ</t>
        </is>
      </c>
      <c r="U94" s="58" t="n">
        <v>1325</v>
      </c>
      <c r="V94" s="58" t="n">
        <v>1275</v>
      </c>
      <c r="W94" s="58" t="n">
        <v>0</v>
      </c>
      <c r="X94" s="58" t="n">
        <v>0</v>
      </c>
      <c r="Y94" s="58" t="n">
        <v>0</v>
      </c>
      <c r="Z94" s="59" t="n">
        <v>46113</v>
      </c>
      <c r="AA94" s="59" t="n">
        <v>46113</v>
      </c>
      <c r="AB94" s="59" t="n">
        <v>46477</v>
      </c>
    </row>
    <row r="95">
      <c r="D95" s="36" t="inlineStr">
        <is>
          <t>Delsan Court</t>
        </is>
      </c>
      <c r="E95" s="54" t="inlineStr">
        <is>
          <t>88</t>
        </is>
      </c>
      <c r="F95" s="54" t="inlineStr">
        <is>
          <t>2 Bed 1 Bath</t>
        </is>
      </c>
      <c r="G95" s="54" t="inlineStr">
        <is>
          <t>2 Bed 1 Bath</t>
        </is>
      </c>
      <c r="K95" s="36" t="inlineStr">
        <is>
          <t>Nevler, Philip</t>
        </is>
      </c>
      <c r="L95" s="55" t="n">
        <v>904</v>
      </c>
      <c r="M95" s="56" t="n">
        <v>2</v>
      </c>
      <c r="N95" s="56" t="n">
        <v>1</v>
      </c>
      <c r="Q95" s="57" t="inlineStr">
        <is>
          <t>Occ</t>
        </is>
      </c>
      <c r="U95" s="58" t="n">
        <v>1325</v>
      </c>
      <c r="V95" s="58" t="n">
        <v>995</v>
      </c>
      <c r="W95" s="58" t="n">
        <v>0</v>
      </c>
      <c r="X95" s="58" t="n">
        <v>0</v>
      </c>
      <c r="Y95" s="58" t="n">
        <v>0</v>
      </c>
      <c r="Z95" s="59" t="n">
        <v>39052</v>
      </c>
      <c r="AA95" s="59" t="n">
        <v>39052</v>
      </c>
      <c r="AB95" s="59" t="n">
        <v>46356</v>
      </c>
    </row>
    <row r="96">
      <c r="D96" s="36" t="inlineStr">
        <is>
          <t>Delsan Court</t>
        </is>
      </c>
      <c r="E96" s="54" t="inlineStr">
        <is>
          <t>89</t>
        </is>
      </c>
      <c r="F96" s="54" t="inlineStr">
        <is>
          <t>2 Bed 1 Bath</t>
        </is>
      </c>
      <c r="G96" s="54" t="inlineStr">
        <is>
          <t>2 Bed 1 Bath</t>
        </is>
      </c>
      <c r="K96" s="36" t="inlineStr">
        <is>
          <t>Martin, Bennie</t>
        </is>
      </c>
      <c r="L96" s="55" t="n">
        <v>904</v>
      </c>
      <c r="M96" s="56" t="n">
        <v>2</v>
      </c>
      <c r="N96" s="56" t="n">
        <v>1</v>
      </c>
      <c r="Q96" s="57" t="inlineStr">
        <is>
          <t>Occ</t>
        </is>
      </c>
      <c r="U96" s="58" t="n">
        <v>1325</v>
      </c>
      <c r="V96" s="58" t="n">
        <v>1295</v>
      </c>
      <c r="W96" s="58" t="n">
        <v>0</v>
      </c>
      <c r="X96" s="58" t="n">
        <v>0</v>
      </c>
      <c r="Y96" s="58" t="n">
        <v>0</v>
      </c>
      <c r="Z96" s="59" t="n">
        <v>45122</v>
      </c>
      <c r="AA96" s="59" t="n">
        <v>45122</v>
      </c>
      <c r="AB96" s="59" t="n">
        <v>46418</v>
      </c>
    </row>
    <row r="97">
      <c r="D97" s="36" t="inlineStr">
        <is>
          <t>Delsan Court</t>
        </is>
      </c>
      <c r="E97" s="54" t="inlineStr">
        <is>
          <t>90</t>
        </is>
      </c>
      <c r="F97" s="54" t="inlineStr">
        <is>
          <t>2 Bed 1 Bath</t>
        </is>
      </c>
      <c r="G97" s="54" t="inlineStr">
        <is>
          <t>2 Bed 1 Bath</t>
        </is>
      </c>
      <c r="K97" s="36" t="inlineStr">
        <is>
          <t>Reinard (Bel), Amanda</t>
        </is>
      </c>
      <c r="L97" s="55" t="n">
        <v>904</v>
      </c>
      <c r="M97" s="56" t="n">
        <v>2</v>
      </c>
      <c r="N97" s="56" t="n">
        <v>1</v>
      </c>
      <c r="Q97" s="57" t="inlineStr">
        <is>
          <t>Occ</t>
        </is>
      </c>
      <c r="U97" s="58" t="n">
        <v>1275</v>
      </c>
      <c r="V97" s="58" t="n">
        <v>1192</v>
      </c>
      <c r="W97" s="58" t="n">
        <v>0</v>
      </c>
      <c r="X97" s="58" t="n">
        <v>0</v>
      </c>
      <c r="Y97" s="58" t="n">
        <v>0</v>
      </c>
      <c r="Z97" s="59" t="n">
        <v>45775</v>
      </c>
      <c r="AA97" s="59" t="n">
        <v>45775</v>
      </c>
      <c r="AB97" s="59" t="n">
        <v>46507</v>
      </c>
    </row>
    <row r="98">
      <c r="D98" s="36" t="inlineStr">
        <is>
          <t>Delsan Court</t>
        </is>
      </c>
      <c r="E98" s="54" t="inlineStr">
        <is>
          <t>91</t>
        </is>
      </c>
      <c r="F98" s="54" t="inlineStr">
        <is>
          <t>1 Bed 1 Bath</t>
        </is>
      </c>
      <c r="G98" s="54" t="inlineStr">
        <is>
          <t>1 Bed 1 Bath</t>
        </is>
      </c>
      <c r="K98" s="36" t="inlineStr">
        <is>
          <t>Jones (DePaul), Hope</t>
        </is>
      </c>
      <c r="L98" s="55" t="n">
        <v>760</v>
      </c>
      <c r="M98" s="56" t="n">
        <v>1</v>
      </c>
      <c r="N98" s="56" t="n">
        <v>1</v>
      </c>
      <c r="Q98" s="57" t="inlineStr">
        <is>
          <t>Occ</t>
        </is>
      </c>
      <c r="U98" s="58" t="n">
        <v>1100</v>
      </c>
      <c r="V98" s="58" t="n">
        <v>1195</v>
      </c>
      <c r="W98" s="58" t="n">
        <v>0</v>
      </c>
      <c r="X98" s="58" t="n">
        <v>0</v>
      </c>
      <c r="Y98" s="58" t="n">
        <v>0</v>
      </c>
      <c r="Z98" s="59" t="n">
        <v>45595</v>
      </c>
      <c r="AA98" s="59" t="n">
        <v>45595</v>
      </c>
      <c r="AB98" s="59" t="n">
        <v>46326</v>
      </c>
    </row>
    <row r="99">
      <c r="D99" s="36" t="inlineStr">
        <is>
          <t>Delsan Court</t>
        </is>
      </c>
      <c r="E99" s="54" t="inlineStr">
        <is>
          <t>92</t>
        </is>
      </c>
      <c r="F99" s="54" t="inlineStr">
        <is>
          <t>3 Bed/1Bath FP</t>
        </is>
      </c>
      <c r="G99" s="54" t="inlineStr">
        <is>
          <t>3 Bed/1Bath FP</t>
        </is>
      </c>
      <c r="K99" s="36" t="inlineStr">
        <is>
          <t>Williams-pearsall, Shavone</t>
        </is>
      </c>
      <c r="L99" s="55" t="n">
        <v>1026</v>
      </c>
      <c r="M99" s="56" t="n">
        <v>3</v>
      </c>
      <c r="N99" s="56" t="n">
        <v>1</v>
      </c>
      <c r="Q99" s="57" t="inlineStr">
        <is>
          <t>Occ</t>
        </is>
      </c>
      <c r="U99" s="58" t="n">
        <v>1450</v>
      </c>
      <c r="V99" s="58" t="n">
        <v>1375</v>
      </c>
      <c r="W99" s="58" t="n">
        <v>0</v>
      </c>
      <c r="X99" s="58" t="n">
        <v>0</v>
      </c>
      <c r="Y99" s="58" t="n">
        <v>0</v>
      </c>
      <c r="Z99" s="59" t="n">
        <v>46023</v>
      </c>
      <c r="AA99" s="59" t="n">
        <v>46023</v>
      </c>
      <c r="AB99" s="59" t="n">
        <v>46418</v>
      </c>
    </row>
    <row r="100">
      <c r="D100" s="36" t="inlineStr">
        <is>
          <t>Delsan Court</t>
        </is>
      </c>
      <c r="E100" s="54" t="inlineStr">
        <is>
          <t>93</t>
        </is>
      </c>
      <c r="F100" s="54" t="inlineStr">
        <is>
          <t>1 Bed 1 Bath</t>
        </is>
      </c>
      <c r="G100" s="54" t="inlineStr">
        <is>
          <t>1 Bed 1 Bath</t>
        </is>
      </c>
      <c r="K100" s="36" t="inlineStr">
        <is>
          <t>Gelia (RACB), Gina</t>
        </is>
      </c>
      <c r="L100" s="55" t="n">
        <v>760</v>
      </c>
      <c r="M100" s="56" t="n">
        <v>1</v>
      </c>
      <c r="N100" s="56" t="n">
        <v>1</v>
      </c>
      <c r="Q100" s="57" t="inlineStr">
        <is>
          <t>Occ</t>
        </is>
      </c>
      <c r="U100" s="58" t="n">
        <v>1100</v>
      </c>
      <c r="V100" s="58" t="n">
        <v>1125</v>
      </c>
      <c r="W100" s="58" t="n">
        <v>0</v>
      </c>
      <c r="X100" s="58" t="n">
        <v>0</v>
      </c>
      <c r="Y100" s="58" t="n">
        <v>200</v>
      </c>
      <c r="Z100" s="59" t="n">
        <v>45141</v>
      </c>
      <c r="AA100" s="59" t="n">
        <v>45141</v>
      </c>
      <c r="AB100" s="59" t="n">
        <v>45961</v>
      </c>
    </row>
    <row r="101">
      <c r="D101" s="36" t="inlineStr">
        <is>
          <t>Delsan Court</t>
        </is>
      </c>
      <c r="E101" s="54" t="inlineStr">
        <is>
          <t>94</t>
        </is>
      </c>
      <c r="F101" s="54" t="inlineStr">
        <is>
          <t>3 Bed/1Bath FP</t>
        </is>
      </c>
      <c r="G101" s="54" t="inlineStr">
        <is>
          <t>3 Bed/1Bath FP</t>
        </is>
      </c>
      <c r="K101" s="36" t="inlineStr">
        <is>
          <t>Vacant</t>
        </is>
      </c>
      <c r="L101" s="55" t="n">
        <v>1400</v>
      </c>
      <c r="M101" s="56" t="n">
        <v>3</v>
      </c>
      <c r="N101" s="56" t="n">
        <v>1</v>
      </c>
      <c r="Q101" s="57" t="inlineStr">
        <is>
          <t>Vac</t>
        </is>
      </c>
      <c r="U101" s="58" t="n">
        <v>1375</v>
      </c>
      <c r="V101" s="58" t="n">
        <v>0</v>
      </c>
      <c r="W101" s="58" t="n">
        <v>0</v>
      </c>
      <c r="X101" s="58" t="n">
        <v>0</v>
      </c>
      <c r="Y101" s="58" t="n">
        <v>0</v>
      </c>
    </row>
    <row r="102">
      <c r="D102" s="36" t="inlineStr">
        <is>
          <t>Delsan Court</t>
        </is>
      </c>
      <c r="E102" s="54" t="inlineStr">
        <is>
          <t>95</t>
        </is>
      </c>
      <c r="F102" s="54" t="inlineStr">
        <is>
          <t>1 Bed 1 Bath</t>
        </is>
      </c>
      <c r="G102" s="54" t="inlineStr">
        <is>
          <t>1 Bed 1 Bath</t>
        </is>
      </c>
      <c r="K102" s="36" t="inlineStr">
        <is>
          <t>Haslip, Brittany</t>
        </is>
      </c>
      <c r="L102" s="55" t="n">
        <v>760</v>
      </c>
      <c r="M102" s="56" t="n">
        <v>1</v>
      </c>
      <c r="N102" s="56" t="n">
        <v>1</v>
      </c>
      <c r="Q102" s="57" t="inlineStr">
        <is>
          <t>Occ</t>
        </is>
      </c>
      <c r="U102" s="58" t="n">
        <v>1100</v>
      </c>
      <c r="V102" s="58" t="n">
        <v>1250</v>
      </c>
      <c r="W102" s="58" t="n">
        <v>0</v>
      </c>
      <c r="X102" s="58" t="n">
        <v>0</v>
      </c>
      <c r="Y102" s="58" t="n">
        <v>0</v>
      </c>
      <c r="Z102" s="59" t="n">
        <v>45449</v>
      </c>
      <c r="AA102" s="59" t="n">
        <v>45449</v>
      </c>
      <c r="AB102" s="59" t="n">
        <v>46203</v>
      </c>
    </row>
    <row r="103">
      <c r="D103" s="36" t="inlineStr">
        <is>
          <t>Delsan Court</t>
        </is>
      </c>
      <c r="E103" s="54" t="inlineStr">
        <is>
          <t>96</t>
        </is>
      </c>
      <c r="F103" s="54" t="inlineStr">
        <is>
          <t>3 Bed/ 1Bath</t>
        </is>
      </c>
      <c r="G103" s="54" t="inlineStr">
        <is>
          <t>3 Bed/ 1Bath</t>
        </is>
      </c>
      <c r="K103" s="36" t="inlineStr">
        <is>
          <t>Madlock (BEL), Eaton</t>
        </is>
      </c>
      <c r="L103" s="55" t="n">
        <v>1026</v>
      </c>
      <c r="M103" s="56" t="n">
        <v>3</v>
      </c>
      <c r="N103" s="56" t="n">
        <v>1</v>
      </c>
      <c r="Q103" s="57" t="inlineStr">
        <is>
          <t>Occ</t>
        </is>
      </c>
      <c r="U103" s="58" t="n">
        <v>1450</v>
      </c>
      <c r="V103" s="58" t="n">
        <v>1495</v>
      </c>
      <c r="W103" s="58" t="n">
        <v>0</v>
      </c>
      <c r="X103" s="58" t="n">
        <v>0</v>
      </c>
      <c r="Y103" s="58" t="n">
        <v>0</v>
      </c>
      <c r="Z103" s="59" t="n">
        <v>45323</v>
      </c>
      <c r="AA103" s="59" t="n">
        <v>45323</v>
      </c>
      <c r="AB103" s="59" t="n">
        <v>46418</v>
      </c>
    </row>
    <row r="104">
      <c r="D104" s="36" t="inlineStr">
        <is>
          <t>Delsan Court</t>
        </is>
      </c>
      <c r="E104" s="54" t="inlineStr">
        <is>
          <t>97</t>
        </is>
      </c>
      <c r="F104" s="54" t="inlineStr">
        <is>
          <t>1 Bed 1 Bath</t>
        </is>
      </c>
      <c r="G104" s="54" t="inlineStr">
        <is>
          <t>1 Bed 1 Bath</t>
        </is>
      </c>
      <c r="K104" s="36" t="inlineStr">
        <is>
          <t>Torres, Carmen (BMHA)</t>
        </is>
      </c>
      <c r="L104" s="55" t="n">
        <v>760</v>
      </c>
      <c r="M104" s="56" t="n">
        <v>1</v>
      </c>
      <c r="N104" s="56" t="n">
        <v>1</v>
      </c>
      <c r="Q104" s="57" t="inlineStr">
        <is>
          <t>Occ</t>
        </is>
      </c>
      <c r="U104" s="58" t="n">
        <v>1100</v>
      </c>
      <c r="V104" s="58" t="n">
        <v>1100</v>
      </c>
      <c r="W104" s="58" t="n">
        <v>0</v>
      </c>
      <c r="X104" s="58" t="n">
        <v>0</v>
      </c>
      <c r="Y104" s="58" t="n">
        <v>0</v>
      </c>
      <c r="Z104" s="59" t="n">
        <v>46023</v>
      </c>
      <c r="AA104" s="59" t="n">
        <v>46023</v>
      </c>
      <c r="AB104" s="59" t="n">
        <v>46387</v>
      </c>
    </row>
    <row r="105">
      <c r="D105" s="36" t="inlineStr">
        <is>
          <t>Delsan Court</t>
        </is>
      </c>
      <c r="E105" s="54" t="inlineStr">
        <is>
          <t>98</t>
        </is>
      </c>
      <c r="F105" s="54" t="inlineStr">
        <is>
          <t>2 Bed 1 Bath</t>
        </is>
      </c>
      <c r="G105" s="54" t="inlineStr">
        <is>
          <t>2 Bed 1 Bath</t>
        </is>
      </c>
      <c r="K105" s="36" t="inlineStr">
        <is>
          <t>Patton (Evergreen), LaKaylea</t>
        </is>
      </c>
      <c r="L105" s="55" t="n">
        <v>1026</v>
      </c>
      <c r="M105" s="56" t="n">
        <v>2</v>
      </c>
      <c r="N105" s="56" t="n">
        <v>1</v>
      </c>
      <c r="Q105" s="57" t="inlineStr">
        <is>
          <t>Occ</t>
        </is>
      </c>
      <c r="U105" s="58" t="n">
        <v>1325</v>
      </c>
      <c r="V105" s="58" t="n">
        <v>1425</v>
      </c>
      <c r="W105" s="58" t="n">
        <v>0</v>
      </c>
      <c r="X105" s="58" t="n">
        <v>0</v>
      </c>
      <c r="Y105" s="58" t="n">
        <v>0</v>
      </c>
      <c r="Z105" s="59" t="n">
        <v>45602</v>
      </c>
      <c r="AA105" s="59" t="n">
        <v>45602</v>
      </c>
      <c r="AB105" s="59" t="n">
        <v>46356</v>
      </c>
    </row>
    <row r="106">
      <c r="D106" s="36" t="inlineStr">
        <is>
          <t>Delsan Court</t>
        </is>
      </c>
      <c r="E106" s="54" t="inlineStr">
        <is>
          <t>99</t>
        </is>
      </c>
      <c r="F106" s="54" t="inlineStr">
        <is>
          <t>1 Bed 1 Bath</t>
        </is>
      </c>
      <c r="G106" s="54" t="inlineStr">
        <is>
          <t>1 Bed 1 Bath</t>
        </is>
      </c>
      <c r="K106" s="36" t="inlineStr">
        <is>
          <t>Brown (BFNC), Chris</t>
        </is>
      </c>
      <c r="L106" s="55" t="n">
        <v>760</v>
      </c>
      <c r="M106" s="56" t="n">
        <v>1</v>
      </c>
      <c r="N106" s="56" t="n">
        <v>1</v>
      </c>
      <c r="Q106" s="57" t="inlineStr">
        <is>
          <t>Occ</t>
        </is>
      </c>
      <c r="U106" s="58" t="n">
        <v>1100</v>
      </c>
      <c r="V106" s="58" t="n">
        <v>1095</v>
      </c>
      <c r="W106" s="58" t="n">
        <v>0</v>
      </c>
      <c r="X106" s="58" t="n">
        <v>0</v>
      </c>
      <c r="Y106" s="58" t="n">
        <v>0</v>
      </c>
      <c r="Z106" s="59" t="n">
        <v>45931</v>
      </c>
      <c r="AA106" s="59" t="n">
        <v>45931</v>
      </c>
      <c r="AB106" s="59" t="n">
        <v>46295</v>
      </c>
    </row>
    <row r="107">
      <c r="D107" s="36" t="inlineStr">
        <is>
          <t>Delsan Court</t>
        </is>
      </c>
      <c r="E107" s="54" t="inlineStr">
        <is>
          <t>100</t>
        </is>
      </c>
      <c r="F107" s="54" t="inlineStr">
        <is>
          <t>3 Bed/1Bath FP</t>
        </is>
      </c>
      <c r="G107" s="54" t="inlineStr">
        <is>
          <t>3 Bed/1Bath FP</t>
        </is>
      </c>
      <c r="K107" s="36" t="inlineStr">
        <is>
          <t>McClerkin, Kierra</t>
        </is>
      </c>
      <c r="L107" s="55" t="n">
        <v>1026</v>
      </c>
      <c r="M107" s="56" t="n">
        <v>3</v>
      </c>
      <c r="N107" s="56" t="n">
        <v>1</v>
      </c>
      <c r="Q107" s="57" t="inlineStr">
        <is>
          <t>Occ</t>
        </is>
      </c>
      <c r="U107" s="58" t="n">
        <v>1325</v>
      </c>
      <c r="V107" s="58" t="n">
        <v>1000</v>
      </c>
      <c r="W107" s="58" t="n">
        <v>0</v>
      </c>
      <c r="X107" s="58" t="n">
        <v>0</v>
      </c>
      <c r="Y107" s="58" t="n">
        <v>0</v>
      </c>
      <c r="Z107" s="59" t="n">
        <v>42767</v>
      </c>
      <c r="AA107" s="59" t="n">
        <v>42767</v>
      </c>
      <c r="AB107" s="59" t="n">
        <v>46234</v>
      </c>
    </row>
    <row r="108">
      <c r="D108" s="36" t="inlineStr">
        <is>
          <t>Delsan Court</t>
        </is>
      </c>
      <c r="E108" s="54" t="inlineStr">
        <is>
          <t>101</t>
        </is>
      </c>
      <c r="F108" s="54" t="inlineStr">
        <is>
          <t>2 Bed 1 Bath</t>
        </is>
      </c>
      <c r="G108" s="54" t="inlineStr">
        <is>
          <t>2 Bed 1 Bath</t>
        </is>
      </c>
      <c r="K108" s="36" t="inlineStr">
        <is>
          <t>Podgorny, Elizabeth</t>
        </is>
      </c>
      <c r="L108" s="55" t="n">
        <v>904</v>
      </c>
      <c r="M108" s="56" t="n">
        <v>2</v>
      </c>
      <c r="N108" s="56" t="n">
        <v>1</v>
      </c>
      <c r="Q108" s="57" t="inlineStr">
        <is>
          <t>Occ</t>
        </is>
      </c>
      <c r="U108" s="58" t="n">
        <v>1325</v>
      </c>
      <c r="V108" s="58" t="n">
        <v>1050</v>
      </c>
      <c r="W108" s="58" t="n">
        <v>0</v>
      </c>
      <c r="X108" s="58" t="n">
        <v>0</v>
      </c>
      <c r="Y108" s="58" t="n">
        <v>0</v>
      </c>
      <c r="Z108" s="59" t="n">
        <v>42340</v>
      </c>
      <c r="AA108" s="59" t="n">
        <v>42340</v>
      </c>
      <c r="AB108" s="59" t="n">
        <v>46356</v>
      </c>
    </row>
    <row r="109">
      <c r="D109" s="36" t="inlineStr">
        <is>
          <t>Delsan Court</t>
        </is>
      </c>
      <c r="E109" s="54" t="inlineStr">
        <is>
          <t>102</t>
        </is>
      </c>
      <c r="F109" s="54" t="inlineStr">
        <is>
          <t>3 Bed 1.5 Bath</t>
        </is>
      </c>
      <c r="G109" s="54" t="inlineStr">
        <is>
          <t>3 Bed 1.5 Bath</t>
        </is>
      </c>
      <c r="K109" s="36" t="inlineStr">
        <is>
          <t>Matthews, Yakeyda (RACB)</t>
        </is>
      </c>
      <c r="L109" s="55" t="n">
        <v>1076</v>
      </c>
      <c r="M109" s="56" t="n">
        <v>3</v>
      </c>
      <c r="N109" s="56" t="n">
        <v>1.5</v>
      </c>
      <c r="Q109" s="57" t="inlineStr">
        <is>
          <t>Occ</t>
        </is>
      </c>
      <c r="U109" s="58" t="n">
        <v>1400</v>
      </c>
      <c r="V109" s="58" t="n">
        <v>1400</v>
      </c>
      <c r="W109" s="58" t="n">
        <v>0</v>
      </c>
      <c r="X109" s="58" t="n">
        <v>0</v>
      </c>
      <c r="Y109" s="58" t="n">
        <v>0</v>
      </c>
      <c r="Z109" s="59" t="n">
        <v>45931</v>
      </c>
      <c r="AA109" s="59" t="n">
        <v>45931</v>
      </c>
      <c r="AB109" s="59" t="n">
        <v>46660</v>
      </c>
    </row>
    <row r="110">
      <c r="D110" s="36" t="inlineStr">
        <is>
          <t>Delsan Court</t>
        </is>
      </c>
      <c r="E110" s="54" t="inlineStr">
        <is>
          <t>103</t>
        </is>
      </c>
      <c r="F110" s="54" t="inlineStr">
        <is>
          <t>3 Bed 1.5 Bath</t>
        </is>
      </c>
      <c r="G110" s="54" t="inlineStr">
        <is>
          <t>3 Bed 1.5 Bath</t>
        </is>
      </c>
      <c r="K110" s="36" t="inlineStr">
        <is>
          <t>Funderburk, Khadia</t>
        </is>
      </c>
      <c r="L110" s="55" t="n">
        <v>1076</v>
      </c>
      <c r="M110" s="56" t="n">
        <v>3</v>
      </c>
      <c r="N110" s="56" t="n">
        <v>1.5</v>
      </c>
      <c r="Q110" s="57" t="inlineStr">
        <is>
          <t>Occ</t>
        </is>
      </c>
      <c r="U110" s="58" t="n">
        <v>1450</v>
      </c>
      <c r="V110" s="58" t="n">
        <v>1450</v>
      </c>
      <c r="W110" s="58" t="n">
        <v>0</v>
      </c>
      <c r="X110" s="58" t="n">
        <v>0</v>
      </c>
      <c r="Y110" s="58" t="n">
        <v>0</v>
      </c>
      <c r="Z110" s="59" t="n">
        <v>45580</v>
      </c>
      <c r="AA110" s="59" t="n">
        <v>45580</v>
      </c>
      <c r="AB110" s="59" t="n">
        <v>46691</v>
      </c>
    </row>
    <row r="111">
      <c r="D111" s="36" t="inlineStr">
        <is>
          <t>Delsan Court</t>
        </is>
      </c>
      <c r="E111" s="54" t="inlineStr">
        <is>
          <t>104</t>
        </is>
      </c>
      <c r="F111" s="54" t="inlineStr">
        <is>
          <t>2 Bed 1 Bath</t>
        </is>
      </c>
      <c r="G111" s="54" t="inlineStr">
        <is>
          <t>2 Bed 1 Bath</t>
        </is>
      </c>
      <c r="K111" s="36" t="inlineStr">
        <is>
          <t>Swann, Gina</t>
        </is>
      </c>
      <c r="L111" s="55" t="n">
        <v>904</v>
      </c>
      <c r="M111" s="56" t="n">
        <v>2</v>
      </c>
      <c r="N111" s="56" t="n">
        <v>1</v>
      </c>
      <c r="Q111" s="57" t="inlineStr">
        <is>
          <t>Occ</t>
        </is>
      </c>
      <c r="U111" s="58" t="n">
        <v>1325</v>
      </c>
      <c r="V111" s="58" t="n">
        <v>1250</v>
      </c>
      <c r="W111" s="58" t="n">
        <v>0</v>
      </c>
      <c r="X111" s="58" t="n">
        <v>0</v>
      </c>
      <c r="Y111" s="58" t="n">
        <v>0</v>
      </c>
      <c r="Z111" s="59" t="n">
        <v>46143</v>
      </c>
      <c r="AA111" s="59" t="n">
        <v>46143</v>
      </c>
      <c r="AB111" s="59" t="n">
        <v>46507</v>
      </c>
    </row>
    <row r="112">
      <c r="D112" s="36" t="inlineStr">
        <is>
          <t>Delsan Court</t>
        </is>
      </c>
      <c r="E112" s="54" t="inlineStr">
        <is>
          <t>105</t>
        </is>
      </c>
      <c r="F112" s="54" t="inlineStr">
        <is>
          <t>2 Bed 1 Bath</t>
        </is>
      </c>
      <c r="G112" s="54" t="inlineStr">
        <is>
          <t>2 Bed 1 Bath</t>
        </is>
      </c>
      <c r="K112" s="36" t="inlineStr">
        <is>
          <t>Moseley, Dara</t>
        </is>
      </c>
      <c r="L112" s="55" t="n">
        <v>904</v>
      </c>
      <c r="M112" s="56" t="n">
        <v>2</v>
      </c>
      <c r="N112" s="56" t="n">
        <v>1</v>
      </c>
      <c r="Q112" s="57" t="inlineStr">
        <is>
          <t>Occ</t>
        </is>
      </c>
      <c r="U112" s="58" t="n">
        <v>1325</v>
      </c>
      <c r="V112" s="58" t="n">
        <v>1350</v>
      </c>
      <c r="W112" s="58" t="n">
        <v>0</v>
      </c>
      <c r="X112" s="58" t="n">
        <v>0</v>
      </c>
      <c r="Y112" s="58" t="n">
        <v>0</v>
      </c>
      <c r="Z112" s="59" t="n">
        <v>45085</v>
      </c>
      <c r="AA112" s="59" t="n">
        <v>45085</v>
      </c>
      <c r="AB112" s="59" t="n">
        <v>46203</v>
      </c>
    </row>
    <row r="113">
      <c r="D113" s="36" t="inlineStr">
        <is>
          <t>Delsan Court</t>
        </is>
      </c>
      <c r="E113" s="54" t="inlineStr">
        <is>
          <t>106</t>
        </is>
      </c>
      <c r="F113" s="54" t="inlineStr">
        <is>
          <t>2 Bed 1 Bath</t>
        </is>
      </c>
      <c r="G113" s="54" t="inlineStr">
        <is>
          <t>2 Bed 1 Bath</t>
        </is>
      </c>
      <c r="K113" s="36" t="inlineStr">
        <is>
          <t>Compton, Donald</t>
        </is>
      </c>
      <c r="L113" s="55" t="n">
        <v>904</v>
      </c>
      <c r="M113" s="56" t="n">
        <v>2</v>
      </c>
      <c r="N113" s="56" t="n">
        <v>1</v>
      </c>
      <c r="Q113" s="57" t="inlineStr">
        <is>
          <t>Occ</t>
        </is>
      </c>
      <c r="U113" s="58" t="n">
        <v>1325</v>
      </c>
      <c r="V113" s="58" t="n">
        <v>1295</v>
      </c>
      <c r="W113" s="58" t="n">
        <v>0</v>
      </c>
      <c r="X113" s="58" t="n">
        <v>0</v>
      </c>
      <c r="Y113" s="58" t="n">
        <v>0</v>
      </c>
      <c r="Z113" s="59" t="n">
        <v>46053</v>
      </c>
      <c r="AA113" s="59" t="n">
        <v>46053</v>
      </c>
      <c r="AB113" s="59" t="n">
        <v>46418</v>
      </c>
    </row>
    <row r="114">
      <c r="D114" s="36" t="inlineStr">
        <is>
          <t>Delsan Court</t>
        </is>
      </c>
      <c r="E114" s="54" t="inlineStr">
        <is>
          <t>107</t>
        </is>
      </c>
      <c r="F114" s="54" t="inlineStr">
        <is>
          <t>2 Bed 1 Bath</t>
        </is>
      </c>
      <c r="G114" s="54" t="inlineStr">
        <is>
          <t>2 Bed 1 Bath</t>
        </is>
      </c>
      <c r="K114" s="36" t="inlineStr">
        <is>
          <t>Reynolds (BEL), Warnette</t>
        </is>
      </c>
      <c r="L114" s="55" t="n">
        <v>904</v>
      </c>
      <c r="M114" s="56" t="n">
        <v>2</v>
      </c>
      <c r="N114" s="56" t="n">
        <v>1</v>
      </c>
      <c r="Q114" s="57" t="inlineStr">
        <is>
          <t>Occ</t>
        </is>
      </c>
      <c r="U114" s="58" t="n">
        <v>1325</v>
      </c>
      <c r="V114" s="58" t="n">
        <v>1050</v>
      </c>
      <c r="W114" s="58" t="n">
        <v>0</v>
      </c>
      <c r="X114" s="58" t="n">
        <v>0</v>
      </c>
      <c r="Y114" s="58" t="n">
        <v>0</v>
      </c>
      <c r="Z114" s="59" t="n">
        <v>42552</v>
      </c>
      <c r="AA114" s="59" t="n">
        <v>42552</v>
      </c>
      <c r="AB114" s="59" t="n">
        <v>46691</v>
      </c>
    </row>
    <row r="115">
      <c r="D115" s="36" t="inlineStr">
        <is>
          <t>Delsan Court</t>
        </is>
      </c>
      <c r="E115" s="54" t="inlineStr">
        <is>
          <t>108</t>
        </is>
      </c>
      <c r="F115" s="54" t="inlineStr">
        <is>
          <t>2 Bed 1 Bath</t>
        </is>
      </c>
      <c r="G115" s="54" t="inlineStr">
        <is>
          <t>2 Bed 1 Bath</t>
        </is>
      </c>
      <c r="K115" s="36" t="inlineStr">
        <is>
          <t>Copeland (RACB), Takela</t>
        </is>
      </c>
      <c r="L115" s="55" t="n">
        <v>904</v>
      </c>
      <c r="M115" s="56" t="n">
        <v>2</v>
      </c>
      <c r="N115" s="56" t="n">
        <v>1</v>
      </c>
      <c r="Q115" s="57" t="inlineStr">
        <is>
          <t>Occ</t>
        </is>
      </c>
      <c r="U115" s="58" t="n">
        <v>1325</v>
      </c>
      <c r="V115" s="58" t="n">
        <v>1250</v>
      </c>
      <c r="W115" s="58" t="n">
        <v>0</v>
      </c>
      <c r="X115" s="58" t="n">
        <v>0</v>
      </c>
      <c r="Y115" s="58" t="n">
        <v>0</v>
      </c>
      <c r="Z115" s="59" t="n">
        <v>45413</v>
      </c>
      <c r="AA115" s="59" t="n">
        <v>45413</v>
      </c>
      <c r="AB115" s="59" t="n">
        <v>46507</v>
      </c>
    </row>
    <row r="116">
      <c r="D116" s="36" t="inlineStr">
        <is>
          <t>Delsan Court</t>
        </is>
      </c>
      <c r="E116" s="54" t="inlineStr">
        <is>
          <t>109</t>
        </is>
      </c>
      <c r="F116" s="54" t="inlineStr">
        <is>
          <t>2 Bed 1 Bath</t>
        </is>
      </c>
      <c r="G116" s="54" t="inlineStr">
        <is>
          <t>2 Bed 1 Bath</t>
        </is>
      </c>
      <c r="K116" s="36" t="inlineStr">
        <is>
          <t>Holmes, Candice</t>
        </is>
      </c>
      <c r="L116" s="55" t="n">
        <v>904</v>
      </c>
      <c r="M116" s="56" t="n">
        <v>2</v>
      </c>
      <c r="N116" s="56" t="n">
        <v>1</v>
      </c>
      <c r="Q116" s="57" t="inlineStr">
        <is>
          <t>Occ</t>
        </is>
      </c>
      <c r="U116" s="58" t="n">
        <v>1325</v>
      </c>
      <c r="V116" s="58" t="n">
        <v>1425</v>
      </c>
      <c r="W116" s="58" t="n">
        <v>0</v>
      </c>
      <c r="X116" s="58" t="n">
        <v>0</v>
      </c>
      <c r="Y116" s="58" t="n">
        <v>0</v>
      </c>
      <c r="Z116" s="59" t="n">
        <v>44438</v>
      </c>
      <c r="AA116" s="59" t="n">
        <v>44438</v>
      </c>
      <c r="AB116" s="59" t="n">
        <v>45777</v>
      </c>
    </row>
    <row r="117">
      <c r="D117" s="36" t="inlineStr">
        <is>
          <t>Delsan Court</t>
        </is>
      </c>
      <c r="E117" s="54" t="inlineStr">
        <is>
          <t>110</t>
        </is>
      </c>
      <c r="F117" s="54" t="inlineStr">
        <is>
          <t>2 Bed 1 Bath</t>
        </is>
      </c>
      <c r="G117" s="54" t="inlineStr">
        <is>
          <t>2 Bed 1 Bath</t>
        </is>
      </c>
      <c r="K117" s="36" t="inlineStr">
        <is>
          <t>McCarter, Lynea</t>
        </is>
      </c>
      <c r="L117" s="55" t="n">
        <v>1250</v>
      </c>
      <c r="M117" s="56" t="n">
        <v>2</v>
      </c>
      <c r="N117" s="56" t="n">
        <v>1</v>
      </c>
      <c r="Q117" s="57" t="inlineStr">
        <is>
          <t>Occ</t>
        </is>
      </c>
      <c r="U117" s="58" t="n">
        <v>1325</v>
      </c>
      <c r="V117" s="58" t="n">
        <v>1275</v>
      </c>
      <c r="W117" s="58" t="n">
        <v>0</v>
      </c>
      <c r="X117" s="58" t="n">
        <v>0</v>
      </c>
      <c r="Y117" s="58" t="n">
        <v>0</v>
      </c>
      <c r="Z117" s="59" t="n">
        <v>45818</v>
      </c>
      <c r="AA117" s="59" t="n">
        <v>45818</v>
      </c>
      <c r="AB117" s="59" t="n">
        <v>46203</v>
      </c>
    </row>
    <row r="118">
      <c r="D118" s="36" t="inlineStr">
        <is>
          <t>Delsan Court</t>
        </is>
      </c>
      <c r="E118" s="54" t="inlineStr">
        <is>
          <t>111</t>
        </is>
      </c>
      <c r="F118" s="54" t="inlineStr">
        <is>
          <t>2 Bed 1 Bath</t>
        </is>
      </c>
      <c r="G118" s="54" t="inlineStr">
        <is>
          <t>2 Bed 1 Bath</t>
        </is>
      </c>
      <c r="K118" s="36" t="inlineStr">
        <is>
          <t>Garner, Antwan</t>
        </is>
      </c>
      <c r="L118" s="55" t="n">
        <v>904</v>
      </c>
      <c r="M118" s="56" t="n">
        <v>2</v>
      </c>
      <c r="N118" s="56" t="n">
        <v>1</v>
      </c>
      <c r="Q118" s="57" t="inlineStr">
        <is>
          <t>Occ</t>
        </is>
      </c>
      <c r="U118" s="58" t="n">
        <v>1325</v>
      </c>
      <c r="V118" s="58" t="n">
        <v>1295</v>
      </c>
      <c r="W118" s="58" t="n">
        <v>0</v>
      </c>
      <c r="X118" s="58" t="n">
        <v>0</v>
      </c>
      <c r="Y118" s="58" t="n">
        <v>0</v>
      </c>
      <c r="Z118" s="59" t="n">
        <v>46082</v>
      </c>
      <c r="AA118" s="59" t="n">
        <v>46082</v>
      </c>
      <c r="AB118" s="59" t="n">
        <v>46478</v>
      </c>
    </row>
    <row r="119">
      <c r="D119" s="36" t="inlineStr">
        <is>
          <t>Delsan Court</t>
        </is>
      </c>
      <c r="E119" s="54" t="inlineStr">
        <is>
          <t>112</t>
        </is>
      </c>
      <c r="F119" s="54" t="inlineStr">
        <is>
          <t>2 Bed 1 Bath</t>
        </is>
      </c>
      <c r="G119" s="54" t="inlineStr">
        <is>
          <t>2 Bed 1 Bath</t>
        </is>
      </c>
      <c r="K119" s="36" t="inlineStr">
        <is>
          <t>Vacant</t>
        </is>
      </c>
      <c r="L119" s="55" t="n">
        <v>1250</v>
      </c>
      <c r="M119" s="56" t="n">
        <v>2</v>
      </c>
      <c r="N119" s="56" t="n">
        <v>1</v>
      </c>
      <c r="Q119" s="57" t="inlineStr">
        <is>
          <t>Vac</t>
        </is>
      </c>
      <c r="U119" s="58" t="n">
        <v>1200</v>
      </c>
      <c r="V119" s="58" t="n">
        <v>0</v>
      </c>
      <c r="W119" s="58" t="n">
        <v>0</v>
      </c>
      <c r="X119" s="58" t="n">
        <v>0</v>
      </c>
      <c r="Y119" s="58" t="n">
        <v>0</v>
      </c>
    </row>
    <row r="120">
      <c r="D120" s="36" t="inlineStr">
        <is>
          <t>Delsan Court</t>
        </is>
      </c>
      <c r="E120" s="54" t="inlineStr">
        <is>
          <t>113</t>
        </is>
      </c>
      <c r="F120" s="54" t="inlineStr">
        <is>
          <t>2 Bed 1 Bath</t>
        </is>
      </c>
      <c r="G120" s="54" t="inlineStr">
        <is>
          <t>2 Bed 1 Bath</t>
        </is>
      </c>
      <c r="K120" s="36" t="inlineStr">
        <is>
          <t>Conway, Christian</t>
        </is>
      </c>
      <c r="L120" s="55" t="n">
        <v>904</v>
      </c>
      <c r="M120" s="56" t="n">
        <v>2</v>
      </c>
      <c r="N120" s="56" t="n">
        <v>1</v>
      </c>
      <c r="Q120" s="57" t="inlineStr">
        <is>
          <t>Occ</t>
        </is>
      </c>
      <c r="U120" s="58" t="n">
        <v>1325</v>
      </c>
      <c r="V120" s="58" t="n">
        <v>1325</v>
      </c>
      <c r="W120" s="58" t="n">
        <v>0</v>
      </c>
      <c r="X120" s="58" t="n">
        <v>0</v>
      </c>
      <c r="Y120" s="58" t="n">
        <v>0</v>
      </c>
      <c r="Z120" s="59" t="n">
        <v>45047</v>
      </c>
      <c r="AA120" s="59" t="n">
        <v>45047</v>
      </c>
      <c r="AB120" s="59" t="n">
        <v>46418</v>
      </c>
    </row>
    <row r="121">
      <c r="D121" s="36" t="inlineStr">
        <is>
          <t>Delsan Court</t>
        </is>
      </c>
      <c r="E121" s="54" t="inlineStr">
        <is>
          <t>114</t>
        </is>
      </c>
      <c r="F121" s="54" t="inlineStr">
        <is>
          <t>2 Bed 1 Bath</t>
        </is>
      </c>
      <c r="G121" s="54" t="inlineStr">
        <is>
          <t>2 Bed 1 Bath</t>
        </is>
      </c>
      <c r="K121" s="36" t="inlineStr">
        <is>
          <t>Battaglia (TSI), Anthony</t>
        </is>
      </c>
      <c r="L121" s="55" t="n">
        <v>904</v>
      </c>
      <c r="M121" s="56" t="n">
        <v>2</v>
      </c>
      <c r="N121" s="56" t="n">
        <v>1</v>
      </c>
      <c r="Q121" s="57" t="inlineStr">
        <is>
          <t>Occ</t>
        </is>
      </c>
      <c r="U121" s="58" t="n">
        <v>1325</v>
      </c>
      <c r="V121" s="58" t="n">
        <v>1450</v>
      </c>
      <c r="W121" s="58" t="n">
        <v>0</v>
      </c>
      <c r="X121" s="58" t="n">
        <v>0</v>
      </c>
      <c r="Y121" s="58" t="n">
        <v>0</v>
      </c>
      <c r="Z121" s="59" t="n">
        <v>44516</v>
      </c>
      <c r="AA121" s="59" t="n">
        <v>44516</v>
      </c>
      <c r="AB121" s="59" t="n">
        <v>46356</v>
      </c>
    </row>
    <row r="122">
      <c r="D122" s="36" t="inlineStr">
        <is>
          <t>Delsan Court</t>
        </is>
      </c>
      <c r="E122" s="54" t="inlineStr">
        <is>
          <t>115</t>
        </is>
      </c>
      <c r="F122" s="54" t="inlineStr">
        <is>
          <t>2 Bed 1 Bath</t>
        </is>
      </c>
      <c r="G122" s="54" t="inlineStr">
        <is>
          <t>2 Bed 1 Bath</t>
        </is>
      </c>
      <c r="K122" s="36" t="inlineStr">
        <is>
          <t>Flores Rosario, Gysellys</t>
        </is>
      </c>
      <c r="L122" s="55" t="n">
        <v>904</v>
      </c>
      <c r="M122" s="56" t="n">
        <v>2</v>
      </c>
      <c r="N122" s="56" t="n">
        <v>1</v>
      </c>
      <c r="Q122" s="57" t="inlineStr">
        <is>
          <t>Occ</t>
        </is>
      </c>
      <c r="U122" s="58" t="n">
        <v>1325</v>
      </c>
      <c r="V122" s="58" t="n">
        <v>1375</v>
      </c>
      <c r="W122" s="58" t="n">
        <v>0</v>
      </c>
      <c r="X122" s="58" t="n">
        <v>0</v>
      </c>
      <c r="Y122" s="58" t="n">
        <v>0</v>
      </c>
      <c r="Z122" s="59" t="n">
        <v>45370</v>
      </c>
      <c r="AA122" s="59" t="n">
        <v>45370</v>
      </c>
      <c r="AB122" s="59" t="n">
        <v>46477</v>
      </c>
    </row>
    <row r="123">
      <c r="D123" s="36" t="inlineStr">
        <is>
          <t>Delsan Court</t>
        </is>
      </c>
      <c r="E123" s="54" t="inlineStr">
        <is>
          <t>116</t>
        </is>
      </c>
      <c r="F123" s="54" t="inlineStr">
        <is>
          <t>2 Bed 1 Bath</t>
        </is>
      </c>
      <c r="G123" s="54" t="inlineStr">
        <is>
          <t>2 Bed 1 Bath</t>
        </is>
      </c>
      <c r="K123" s="36" t="inlineStr">
        <is>
          <t>Vacant</t>
        </is>
      </c>
      <c r="L123" s="55" t="n">
        <v>904</v>
      </c>
      <c r="M123" s="56" t="n">
        <v>2</v>
      </c>
      <c r="N123" s="56" t="n">
        <v>1</v>
      </c>
      <c r="Q123" s="57" t="inlineStr">
        <is>
          <t>Vac</t>
        </is>
      </c>
      <c r="U123" s="58" t="n">
        <v>1200</v>
      </c>
      <c r="V123" s="58" t="n">
        <v>0</v>
      </c>
      <c r="W123" s="58" t="n">
        <v>0</v>
      </c>
      <c r="X123" s="58" t="n">
        <v>0</v>
      </c>
      <c r="Y123" s="58" t="n">
        <v>0</v>
      </c>
    </row>
    <row r="124">
      <c r="D124" s="36" t="inlineStr">
        <is>
          <t>Delsan Court</t>
        </is>
      </c>
      <c r="E124" s="54" t="inlineStr">
        <is>
          <t>117</t>
        </is>
      </c>
      <c r="F124" s="54" t="inlineStr">
        <is>
          <t>2 Bed 1 Bath</t>
        </is>
      </c>
      <c r="G124" s="54" t="inlineStr">
        <is>
          <t>2 Bed 1 Bath</t>
        </is>
      </c>
      <c r="K124" s="36" t="inlineStr">
        <is>
          <t>Daniels, Samantha</t>
        </is>
      </c>
      <c r="L124" s="55" t="n">
        <v>904</v>
      </c>
      <c r="M124" s="56" t="n">
        <v>2</v>
      </c>
      <c r="N124" s="56" t="n">
        <v>1</v>
      </c>
      <c r="Q124" s="57" t="inlineStr">
        <is>
          <t>Occ</t>
        </is>
      </c>
      <c r="U124" s="58" t="n">
        <v>1325</v>
      </c>
      <c r="V124" s="58" t="n">
        <v>1200</v>
      </c>
      <c r="W124" s="58" t="n">
        <v>0</v>
      </c>
      <c r="X124" s="58" t="n">
        <v>0</v>
      </c>
      <c r="Y124" s="58" t="n">
        <v>0</v>
      </c>
      <c r="Z124" s="59" t="n">
        <v>43647</v>
      </c>
      <c r="AA124" s="59" t="n">
        <v>43647</v>
      </c>
      <c r="AB124" s="59" t="n">
        <v>46507</v>
      </c>
    </row>
    <row r="125">
      <c r="D125" s="36" t="inlineStr">
        <is>
          <t>Delsan Court</t>
        </is>
      </c>
      <c r="E125" s="54" t="inlineStr">
        <is>
          <t>118</t>
        </is>
      </c>
      <c r="F125" s="54" t="inlineStr">
        <is>
          <t>2 Bed 1 Bath</t>
        </is>
      </c>
      <c r="G125" s="54" t="inlineStr">
        <is>
          <t>2 Bed 1 Bath</t>
        </is>
      </c>
      <c r="K125" s="36" t="inlineStr">
        <is>
          <t>Pimental (RACB), Janet</t>
        </is>
      </c>
      <c r="L125" s="55" t="n">
        <v>904</v>
      </c>
      <c r="M125" s="56" t="n">
        <v>2</v>
      </c>
      <c r="N125" s="56" t="n">
        <v>1</v>
      </c>
      <c r="Q125" s="57" t="inlineStr">
        <is>
          <t>Occ</t>
        </is>
      </c>
      <c r="U125" s="58" t="n">
        <v>1325</v>
      </c>
      <c r="V125" s="58" t="n">
        <v>1395</v>
      </c>
      <c r="W125" s="58" t="n">
        <v>0</v>
      </c>
      <c r="X125" s="58" t="n">
        <v>0</v>
      </c>
      <c r="Y125" s="58" t="n">
        <v>0</v>
      </c>
      <c r="Z125" s="59" t="n">
        <v>38763</v>
      </c>
      <c r="AA125" s="59" t="n">
        <v>38763</v>
      </c>
      <c r="AB125" s="59" t="n">
        <v>46446</v>
      </c>
    </row>
    <row r="126">
      <c r="D126" s="36" t="inlineStr">
        <is>
          <t>Delsan Court</t>
        </is>
      </c>
      <c r="E126" s="54" t="inlineStr">
        <is>
          <t>119</t>
        </is>
      </c>
      <c r="F126" s="54" t="inlineStr">
        <is>
          <t>2 Bed 1 Bath</t>
        </is>
      </c>
      <c r="G126" s="54" t="inlineStr">
        <is>
          <t>2 Bed 1 Bath</t>
        </is>
      </c>
      <c r="K126" s="36" t="inlineStr">
        <is>
          <t>Allen, Joseph</t>
        </is>
      </c>
      <c r="L126" s="55" t="n">
        <v>904</v>
      </c>
      <c r="M126" s="56" t="n">
        <v>2</v>
      </c>
      <c r="N126" s="56" t="n">
        <v>1</v>
      </c>
      <c r="Q126" s="57" t="inlineStr">
        <is>
          <t>Occ</t>
        </is>
      </c>
      <c r="U126" s="58" t="n">
        <v>1325</v>
      </c>
      <c r="V126" s="58" t="n">
        <v>1325</v>
      </c>
      <c r="W126" s="58" t="n">
        <v>0</v>
      </c>
      <c r="X126" s="58" t="n">
        <v>0</v>
      </c>
      <c r="Y126" s="58" t="n">
        <v>0</v>
      </c>
      <c r="Z126" s="59" t="n">
        <v>46023</v>
      </c>
      <c r="AA126" s="59" t="n">
        <v>46023</v>
      </c>
      <c r="AB126" s="59" t="n">
        <v>46387</v>
      </c>
    </row>
    <row r="127">
      <c r="D127" s="36" t="inlineStr">
        <is>
          <t>Delsan Court</t>
        </is>
      </c>
      <c r="E127" s="54" t="inlineStr">
        <is>
          <t>120</t>
        </is>
      </c>
      <c r="F127" s="54" t="inlineStr">
        <is>
          <t>2 Bed 1 Bath</t>
        </is>
      </c>
      <c r="G127" s="54" t="inlineStr">
        <is>
          <t>2 Bed 1 Bath</t>
        </is>
      </c>
      <c r="K127" s="36" t="inlineStr">
        <is>
          <t>Johnson, Theressa</t>
        </is>
      </c>
      <c r="L127" s="55" t="n">
        <v>904</v>
      </c>
      <c r="M127" s="56" t="n">
        <v>2</v>
      </c>
      <c r="N127" s="56" t="n">
        <v>1</v>
      </c>
      <c r="Q127" s="57" t="inlineStr">
        <is>
          <t>Occ</t>
        </is>
      </c>
      <c r="U127" s="58" t="n">
        <v>1325</v>
      </c>
      <c r="V127" s="58" t="n">
        <v>1425</v>
      </c>
      <c r="W127" s="58" t="n">
        <v>0</v>
      </c>
      <c r="X127" s="58" t="n">
        <v>0</v>
      </c>
      <c r="Y127" s="58" t="n">
        <v>0</v>
      </c>
      <c r="Z127" s="59" t="n">
        <v>44927</v>
      </c>
      <c r="AA127" s="59" t="n">
        <v>44927</v>
      </c>
      <c r="AB127" s="59" t="n">
        <v>46418</v>
      </c>
    </row>
    <row r="128">
      <c r="D128" s="36" t="inlineStr">
        <is>
          <t>Delsan Court</t>
        </is>
      </c>
      <c r="E128" s="54" t="inlineStr">
        <is>
          <t>121</t>
        </is>
      </c>
      <c r="F128" s="54" t="inlineStr">
        <is>
          <t>3 Bed 1.5 Bath</t>
        </is>
      </c>
      <c r="G128" s="54" t="inlineStr">
        <is>
          <t>3 Bed 1.5 Bath</t>
        </is>
      </c>
      <c r="K128" s="36" t="inlineStr">
        <is>
          <t>Ross, Courtney</t>
        </is>
      </c>
      <c r="L128" s="55" t="n">
        <v>1550</v>
      </c>
      <c r="M128" s="56" t="n">
        <v>3</v>
      </c>
      <c r="N128" s="56" t="n">
        <v>1.5</v>
      </c>
      <c r="Q128" s="57" t="inlineStr">
        <is>
          <t>Occ</t>
        </is>
      </c>
      <c r="U128" s="58" t="n">
        <v>1450</v>
      </c>
      <c r="V128" s="58" t="n">
        <v>1500</v>
      </c>
      <c r="W128" s="58" t="n">
        <v>0</v>
      </c>
      <c r="X128" s="58" t="n">
        <v>0</v>
      </c>
      <c r="Y128" s="58" t="n">
        <v>0</v>
      </c>
      <c r="Z128" s="59" t="n">
        <v>45519</v>
      </c>
      <c r="AA128" s="59" t="n">
        <v>45519</v>
      </c>
      <c r="AB128" s="59" t="n">
        <v>46599</v>
      </c>
    </row>
    <row r="129">
      <c r="D129" s="36" t="inlineStr">
        <is>
          <t>Delsan Court</t>
        </is>
      </c>
      <c r="E129" s="54" t="inlineStr">
        <is>
          <t>122</t>
        </is>
      </c>
      <c r="F129" s="54" t="inlineStr">
        <is>
          <t>3 Bed 1.5 Bath</t>
        </is>
      </c>
      <c r="G129" s="54" t="inlineStr">
        <is>
          <t>3 Bed 1.5 Bath</t>
        </is>
      </c>
      <c r="K129" s="36" t="inlineStr">
        <is>
          <t>Smith, Paige</t>
        </is>
      </c>
      <c r="L129" s="55" t="n">
        <v>1076</v>
      </c>
      <c r="M129" s="56" t="n">
        <v>3</v>
      </c>
      <c r="N129" s="56" t="n">
        <v>1.5</v>
      </c>
      <c r="Q129" s="57" t="inlineStr">
        <is>
          <t>Occ</t>
        </is>
      </c>
      <c r="U129" s="58" t="n">
        <v>1600</v>
      </c>
      <c r="V129" s="58" t="n">
        <v>1600</v>
      </c>
      <c r="W129" s="58" t="n">
        <v>0</v>
      </c>
      <c r="X129" s="58" t="n">
        <v>0</v>
      </c>
      <c r="Y129" s="58" t="n">
        <v>0</v>
      </c>
      <c r="Z129" s="59" t="n">
        <v>45806</v>
      </c>
      <c r="AA129" s="59" t="n">
        <v>45806</v>
      </c>
      <c r="AB129" s="59" t="n">
        <v>46538</v>
      </c>
    </row>
    <row r="130">
      <c r="D130" s="36" t="inlineStr">
        <is>
          <t>Delsan Court</t>
        </is>
      </c>
      <c r="E130" s="54" t="inlineStr">
        <is>
          <t>123</t>
        </is>
      </c>
      <c r="F130" s="54" t="inlineStr">
        <is>
          <t>2 Bed 1 Bath</t>
        </is>
      </c>
      <c r="G130" s="54" t="inlineStr">
        <is>
          <t>2 Bed 1 Bath</t>
        </is>
      </c>
      <c r="K130" s="36" t="inlineStr">
        <is>
          <t>Massey (RACB), John</t>
        </is>
      </c>
      <c r="L130" s="55" t="n">
        <v>904</v>
      </c>
      <c r="M130" s="56" t="n">
        <v>2</v>
      </c>
      <c r="N130" s="56" t="n">
        <v>1</v>
      </c>
      <c r="Q130" s="57" t="inlineStr">
        <is>
          <t>Occ</t>
        </is>
      </c>
      <c r="U130" s="58" t="n">
        <v>1325</v>
      </c>
      <c r="V130" s="58" t="n">
        <v>1250</v>
      </c>
      <c r="W130" s="58" t="n">
        <v>0</v>
      </c>
      <c r="X130" s="58" t="n">
        <v>0</v>
      </c>
      <c r="Y130" s="58" t="n">
        <v>0</v>
      </c>
      <c r="Z130" s="59" t="n">
        <v>41944</v>
      </c>
      <c r="AA130" s="59" t="n">
        <v>41944</v>
      </c>
      <c r="AB130" s="59" t="n">
        <v>46234</v>
      </c>
    </row>
    <row r="131">
      <c r="D131" s="36" t="inlineStr">
        <is>
          <t>Delsan Court</t>
        </is>
      </c>
      <c r="E131" s="54" t="inlineStr">
        <is>
          <t>124</t>
        </is>
      </c>
      <c r="F131" s="54" t="inlineStr">
        <is>
          <t>2 Bed 1 Bath</t>
        </is>
      </c>
      <c r="G131" s="54" t="inlineStr">
        <is>
          <t>2 Bed 1 Bath</t>
        </is>
      </c>
      <c r="K131" s="36" t="inlineStr">
        <is>
          <t>Herby (RACB), Mary</t>
        </is>
      </c>
      <c r="L131" s="55" t="n">
        <v>904</v>
      </c>
      <c r="M131" s="56" t="n">
        <v>2</v>
      </c>
      <c r="N131" s="56" t="n">
        <v>1</v>
      </c>
      <c r="Q131" s="57" t="inlineStr">
        <is>
          <t>Occ</t>
        </is>
      </c>
      <c r="U131" s="58" t="n">
        <v>1325</v>
      </c>
      <c r="V131" s="58" t="n">
        <v>1195</v>
      </c>
      <c r="W131" s="58" t="n">
        <v>0</v>
      </c>
      <c r="X131" s="58" t="n">
        <v>0</v>
      </c>
      <c r="Y131" s="58" t="n">
        <v>0</v>
      </c>
      <c r="Z131" s="59" t="n">
        <v>36830</v>
      </c>
      <c r="AA131" s="59" t="n">
        <v>36830</v>
      </c>
      <c r="AB131" s="59" t="n">
        <v>46418</v>
      </c>
    </row>
    <row r="132">
      <c r="C132" s="60" t="inlineStr">
        <is>
          <t>Total / Wtd. Average</t>
        </is>
      </c>
      <c r="D132" s="61" t="n"/>
      <c r="E132" s="61" t="n"/>
      <c r="F132" s="61" t="n"/>
      <c r="G132" s="62" t="n">
        <v>124</v>
      </c>
      <c r="H132" s="61" t="n"/>
      <c r="I132" s="61" t="n"/>
      <c r="J132" s="61" t="n"/>
      <c r="K132" s="61" t="n"/>
      <c r="L132" s="63" t="n">
        <v>117872</v>
      </c>
      <c r="M132" s="61" t="n"/>
      <c r="N132" s="61" t="n"/>
      <c r="O132" s="61" t="n"/>
      <c r="P132" s="61" t="n"/>
      <c r="Q132" s="61" t="n"/>
      <c r="R132" s="61" t="n"/>
      <c r="S132" s="61" t="n"/>
      <c r="T132" s="61" t="n"/>
      <c r="U132" s="64" t="n">
        <v>162420</v>
      </c>
      <c r="V132" s="64" t="n">
        <v>139623</v>
      </c>
      <c r="W132" s="64" t="n">
        <v>0</v>
      </c>
      <c r="X132" s="64" t="n">
        <v>0</v>
      </c>
      <c r="Y132" s="64" t="n">
        <v>825</v>
      </c>
      <c r="Z132" s="61" t="n"/>
      <c r="AA132" s="61" t="n"/>
      <c r="AB132" s="61" t="n"/>
      <c r="AC132" s="61" t="n"/>
      <c r="AD132" s="61" t="n"/>
      <c r="AE132" s="65" t="n">
        <v>0</v>
      </c>
      <c r="AF132" s="65" t="n">
        <v>0</v>
      </c>
      <c r="AG132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B155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  <col width="13" customWidth="1" min="28" max="28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Bed 1 Bath</t>
        </is>
      </c>
      <c r="D5" s="72" t="inlineStr">
        <is>
          <t>1 Bed 1 Bath</t>
        </is>
      </c>
      <c r="E5" s="73" t="n">
        <v>1</v>
      </c>
      <c r="F5" s="74" t="n">
        <v>1</v>
      </c>
      <c r="G5" s="73" t="inlineStr">
        <is>
          <t>No</t>
        </is>
      </c>
      <c r="H5" s="75">
        <f>COUNTIFS($D$32:$D$155,$C5)</f>
        <v/>
      </c>
      <c r="I5" s="75">
        <f>COUNTIFS($D$32:$D$155,$C5,$C$32:$C$155,"Occ")+COUNTIFS($D$32:$D$155,$C5,$C$32:$C$155,"Admin")+COUNTIFS($D$32:$D$155,$C5,$C$32:$C$155,"Down")+COUNTIFS($D$32:$D$155,$C5,$C$32:$C$155,"Super")+COUNTIFS($D$32:$D$155,$C5,$C$32:$C$155,"Model")</f>
        <v/>
      </c>
      <c r="J5" s="75">
        <f>COUNTIFS($D$32:$D$155,$C5,$C$32:$C$155,"Vac")</f>
        <v/>
      </c>
      <c r="K5" s="75">
        <f>IFERROR(AVERAGEIFS($J$32:$J$155,$D$32:$D$155,$C5),"n/a")</f>
        <v/>
      </c>
      <c r="L5" s="75">
        <f>SUMIFS($J$32:$J$155,$D$32:$D$155,$C5)</f>
        <v/>
      </c>
      <c r="M5" s="75">
        <f>SUMIFS($J$32:$J$155,$D$32:$D$155,$C5,$C$32:$C$155,"Occ")+SUMIFS($J$32:$J$155,$D$32:$D$155,$C5,$C$32:$C$155,"Admin")+SUMIFS($J$32:$J$155,$D$32:$D$155,$C5,$C$32:$C$155,"Down")+SUMIFS($J$32:$J$155,$D$32:$D$155,$C5,$C$32:$C$155,"Super")+SUMIFS($J$32:$J$155,$D$32:$D$155,$C5,$C$32:$C$155,"Model")</f>
        <v/>
      </c>
      <c r="N5" s="75">
        <f>SUMIFS($J$32:$J$155,$D$32:$D$155,$C5,$C$32:$C$155,"Vac")</f>
        <v/>
      </c>
      <c r="O5" s="75">
        <f>SUMIFS($L$32:$L$155,$D$32:$D$155,$C5)</f>
        <v/>
      </c>
      <c r="P5" s="75">
        <f>SUMIFS($M$32:$M$155,$D$32:$D$155,$C5)</f>
        <v/>
      </c>
      <c r="Q5" s="75">
        <f>SUMIFS($R$32:$R$155,$D$32:$D$155,$C5)</f>
        <v/>
      </c>
      <c r="R5" s="75">
        <f>SUMIFS($S$32:$S$155,$D$32:$D$155,$C5)</f>
        <v/>
      </c>
      <c r="S5" s="75">
        <f>SUMIFS($T$32:$T$155,$D$32:$D$155,$C5)</f>
        <v/>
      </c>
    </row>
    <row r="6">
      <c r="C6" s="71" t="inlineStr">
        <is>
          <t>2 Bed 1 Bath</t>
        </is>
      </c>
      <c r="D6" s="72" t="inlineStr">
        <is>
          <t>2 Bed 1 Bath</t>
        </is>
      </c>
      <c r="E6" s="73" t="n">
        <v>2</v>
      </c>
      <c r="F6" s="74" t="n">
        <v>1</v>
      </c>
      <c r="G6" s="73" t="inlineStr">
        <is>
          <t>No</t>
        </is>
      </c>
      <c r="H6" s="75">
        <f>COUNTIFS($D$32:$D$155,$C6)</f>
        <v/>
      </c>
      <c r="I6" s="75">
        <f>COUNTIFS($D$32:$D$155,$C6,$C$32:$C$155,"Occ")+COUNTIFS($D$32:$D$155,$C6,$C$32:$C$155,"Admin")+COUNTIFS($D$32:$D$155,$C6,$C$32:$C$155,"Down")+COUNTIFS($D$32:$D$155,$C6,$C$32:$C$155,"Super")+COUNTIFS($D$32:$D$155,$C6,$C$32:$C$155,"Model")</f>
        <v/>
      </c>
      <c r="J6" s="75">
        <f>COUNTIFS($D$32:$D$155,$C6,$C$32:$C$155,"Vac")</f>
        <v/>
      </c>
      <c r="K6" s="75">
        <f>IFERROR(AVERAGEIFS($J$32:$J$155,$D$32:$D$155,$C6),"n/a")</f>
        <v/>
      </c>
      <c r="L6" s="75">
        <f>SUMIFS($J$32:$J$155,$D$32:$D$155,$C6)</f>
        <v/>
      </c>
      <c r="M6" s="75">
        <f>SUMIFS($J$32:$J$155,$D$32:$D$155,$C6,$C$32:$C$155,"Occ")+SUMIFS($J$32:$J$155,$D$32:$D$155,$C6,$C$32:$C$155,"Admin")+SUMIFS($J$32:$J$155,$D$32:$D$155,$C6,$C$32:$C$155,"Down")+SUMIFS($J$32:$J$155,$D$32:$D$155,$C6,$C$32:$C$155,"Super")+SUMIFS($J$32:$J$155,$D$32:$D$155,$C6,$C$32:$C$155,"Model")</f>
        <v/>
      </c>
      <c r="N6" s="75">
        <f>SUMIFS($J$32:$J$155,$D$32:$D$155,$C6,$C$32:$C$155,"Vac")</f>
        <v/>
      </c>
      <c r="O6" s="75">
        <f>SUMIFS($L$32:$L$155,$D$32:$D$155,$C6)</f>
        <v/>
      </c>
      <c r="P6" s="75">
        <f>SUMIFS($M$32:$M$155,$D$32:$D$155,$C6)</f>
        <v/>
      </c>
      <c r="Q6" s="75">
        <f>SUMIFS($R$32:$R$155,$D$32:$D$155,$C6)</f>
        <v/>
      </c>
      <c r="R6" s="75">
        <f>SUMIFS($S$32:$S$155,$D$32:$D$155,$C6)</f>
        <v/>
      </c>
      <c r="S6" s="75">
        <f>SUMIFS($T$32:$T$155,$D$32:$D$155,$C6)</f>
        <v/>
      </c>
    </row>
    <row r="7">
      <c r="C7" s="71" t="inlineStr">
        <is>
          <t>3 Bed/ 1Bath</t>
        </is>
      </c>
      <c r="D7" s="72" t="inlineStr">
        <is>
          <t>3 Bed/ 1Bath</t>
        </is>
      </c>
      <c r="E7" s="73" t="n">
        <v>3</v>
      </c>
      <c r="F7" s="74" t="n">
        <v>1</v>
      </c>
      <c r="G7" s="73" t="inlineStr">
        <is>
          <t>No</t>
        </is>
      </c>
      <c r="H7" s="75">
        <f>COUNTIFS($D$32:$D$155,$C7)</f>
        <v/>
      </c>
      <c r="I7" s="75">
        <f>COUNTIFS($D$32:$D$155,$C7,$C$32:$C$155,"Occ")+COUNTIFS($D$32:$D$155,$C7,$C$32:$C$155,"Admin")+COUNTIFS($D$32:$D$155,$C7,$C$32:$C$155,"Down")+COUNTIFS($D$32:$D$155,$C7,$C$32:$C$155,"Super")+COUNTIFS($D$32:$D$155,$C7,$C$32:$C$155,"Model")</f>
        <v/>
      </c>
      <c r="J7" s="75">
        <f>COUNTIFS($D$32:$D$155,$C7,$C$32:$C$155,"Vac")</f>
        <v/>
      </c>
      <c r="K7" s="75">
        <f>IFERROR(AVERAGEIFS($J$32:$J$155,$D$32:$D$155,$C7),"n/a")</f>
        <v/>
      </c>
      <c r="L7" s="75">
        <f>SUMIFS($J$32:$J$155,$D$32:$D$155,$C7)</f>
        <v/>
      </c>
      <c r="M7" s="75">
        <f>SUMIFS($J$32:$J$155,$D$32:$D$155,$C7,$C$32:$C$155,"Occ")+SUMIFS($J$32:$J$155,$D$32:$D$155,$C7,$C$32:$C$155,"Admin")+SUMIFS($J$32:$J$155,$D$32:$D$155,$C7,$C$32:$C$155,"Down")+SUMIFS($J$32:$J$155,$D$32:$D$155,$C7,$C$32:$C$155,"Super")+SUMIFS($J$32:$J$155,$D$32:$D$155,$C7,$C$32:$C$155,"Model")</f>
        <v/>
      </c>
      <c r="N7" s="75">
        <f>SUMIFS($J$32:$J$155,$D$32:$D$155,$C7,$C$32:$C$155,"Vac")</f>
        <v/>
      </c>
      <c r="O7" s="75">
        <f>SUMIFS($L$32:$L$155,$D$32:$D$155,$C7)</f>
        <v/>
      </c>
      <c r="P7" s="75">
        <f>SUMIFS($M$32:$M$155,$D$32:$D$155,$C7)</f>
        <v/>
      </c>
      <c r="Q7" s="75">
        <f>SUMIFS($R$32:$R$155,$D$32:$D$155,$C7)</f>
        <v/>
      </c>
      <c r="R7" s="75">
        <f>SUMIFS($S$32:$S$155,$D$32:$D$155,$C7)</f>
        <v/>
      </c>
      <c r="S7" s="75">
        <f>SUMIFS($T$32:$T$155,$D$32:$D$155,$C7)</f>
        <v/>
      </c>
    </row>
    <row r="8">
      <c r="C8" s="71" t="inlineStr">
        <is>
          <t>3 Bed/1Bath FP</t>
        </is>
      </c>
      <c r="D8" s="72" t="inlineStr">
        <is>
          <t>3 Bed/1Bath FP</t>
        </is>
      </c>
      <c r="E8" s="73" t="n">
        <v>3</v>
      </c>
      <c r="F8" s="74" t="n">
        <v>1</v>
      </c>
      <c r="G8" s="73" t="inlineStr">
        <is>
          <t>No</t>
        </is>
      </c>
      <c r="H8" s="75">
        <f>COUNTIFS($D$32:$D$155,$C8)</f>
        <v/>
      </c>
      <c r="I8" s="75">
        <f>COUNTIFS($D$32:$D$155,$C8,$C$32:$C$155,"Occ")+COUNTIFS($D$32:$D$155,$C8,$C$32:$C$155,"Admin")+COUNTIFS($D$32:$D$155,$C8,$C$32:$C$155,"Down")+COUNTIFS($D$32:$D$155,$C8,$C$32:$C$155,"Super")+COUNTIFS($D$32:$D$155,$C8,$C$32:$C$155,"Model")</f>
        <v/>
      </c>
      <c r="J8" s="75">
        <f>COUNTIFS($D$32:$D$155,$C8,$C$32:$C$155,"Vac")</f>
        <v/>
      </c>
      <c r="K8" s="75">
        <f>IFERROR(AVERAGEIFS($J$32:$J$155,$D$32:$D$155,$C8),"n/a")</f>
        <v/>
      </c>
      <c r="L8" s="75">
        <f>SUMIFS($J$32:$J$155,$D$32:$D$155,$C8)</f>
        <v/>
      </c>
      <c r="M8" s="75">
        <f>SUMIFS($J$32:$J$155,$D$32:$D$155,$C8,$C$32:$C$155,"Occ")+SUMIFS($J$32:$J$155,$D$32:$D$155,$C8,$C$32:$C$155,"Admin")+SUMIFS($J$32:$J$155,$D$32:$D$155,$C8,$C$32:$C$155,"Down")+SUMIFS($J$32:$J$155,$D$32:$D$155,$C8,$C$32:$C$155,"Super")+SUMIFS($J$32:$J$155,$D$32:$D$155,$C8,$C$32:$C$155,"Model")</f>
        <v/>
      </c>
      <c r="N8" s="75">
        <f>SUMIFS($J$32:$J$155,$D$32:$D$155,$C8,$C$32:$C$155,"Vac")</f>
        <v/>
      </c>
      <c r="O8" s="75">
        <f>SUMIFS($L$32:$L$155,$D$32:$D$155,$C8)</f>
        <v/>
      </c>
      <c r="P8" s="75">
        <f>SUMIFS($M$32:$M$155,$D$32:$D$155,$C8)</f>
        <v/>
      </c>
      <c r="Q8" s="75">
        <f>SUMIFS($R$32:$R$155,$D$32:$D$155,$C8)</f>
        <v/>
      </c>
      <c r="R8" s="75">
        <f>SUMIFS($S$32:$S$155,$D$32:$D$155,$C8)</f>
        <v/>
      </c>
      <c r="S8" s="75">
        <f>SUMIFS($T$32:$T$155,$D$32:$D$155,$C8)</f>
        <v/>
      </c>
    </row>
    <row r="9">
      <c r="C9" s="71" t="inlineStr">
        <is>
          <t>3 Bed 1.5 Bath</t>
        </is>
      </c>
      <c r="D9" s="72" t="inlineStr">
        <is>
          <t>3 Bed 1.5 Bath</t>
        </is>
      </c>
      <c r="E9" s="73" t="n">
        <v>3</v>
      </c>
      <c r="F9" s="74" t="n">
        <v>1.5</v>
      </c>
      <c r="G9" s="73" t="inlineStr">
        <is>
          <t>No</t>
        </is>
      </c>
      <c r="H9" s="75">
        <f>COUNTIFS($D$32:$D$155,$C9)</f>
        <v/>
      </c>
      <c r="I9" s="75">
        <f>COUNTIFS($D$32:$D$155,$C9,$C$32:$C$155,"Occ")+COUNTIFS($D$32:$D$155,$C9,$C$32:$C$155,"Admin")+COUNTIFS($D$32:$D$155,$C9,$C$32:$C$155,"Down")+COUNTIFS($D$32:$D$155,$C9,$C$32:$C$155,"Super")+COUNTIFS($D$32:$D$155,$C9,$C$32:$C$155,"Model")</f>
        <v/>
      </c>
      <c r="J9" s="75">
        <f>COUNTIFS($D$32:$D$155,$C9,$C$32:$C$155,"Vac")</f>
        <v/>
      </c>
      <c r="K9" s="75">
        <f>IFERROR(AVERAGEIFS($J$32:$J$155,$D$32:$D$155,$C9),"n/a")</f>
        <v/>
      </c>
      <c r="L9" s="75">
        <f>SUMIFS($J$32:$J$155,$D$32:$D$155,$C9)</f>
        <v/>
      </c>
      <c r="M9" s="75">
        <f>SUMIFS($J$32:$J$155,$D$32:$D$155,$C9,$C$32:$C$155,"Occ")+SUMIFS($J$32:$J$155,$D$32:$D$155,$C9,$C$32:$C$155,"Admin")+SUMIFS($J$32:$J$155,$D$32:$D$155,$C9,$C$32:$C$155,"Down")+SUMIFS($J$32:$J$155,$D$32:$D$155,$C9,$C$32:$C$155,"Super")+SUMIFS($J$32:$J$155,$D$32:$D$155,$C9,$C$32:$C$155,"Model")</f>
        <v/>
      </c>
      <c r="N9" s="75">
        <f>SUMIFS($J$32:$J$155,$D$32:$D$155,$C9,$C$32:$C$155,"Vac")</f>
        <v/>
      </c>
      <c r="O9" s="75">
        <f>SUMIFS($L$32:$L$155,$D$32:$D$155,$C9)</f>
        <v/>
      </c>
      <c r="P9" s="75">
        <f>SUMIFS($M$32:$M$155,$D$32:$D$155,$C9)</f>
        <v/>
      </c>
      <c r="Q9" s="75">
        <f>SUMIFS($R$32:$R$155,$D$32:$D$155,$C9)</f>
        <v/>
      </c>
      <c r="R9" s="75">
        <f>SUMIFS($S$32:$S$155,$D$32:$D$155,$C9)</f>
        <v/>
      </c>
      <c r="S9" s="75">
        <f>SUMIFS($T$32:$T$155,$D$32:$D$155,$C9)</f>
        <v/>
      </c>
    </row>
    <row r="10">
      <c r="C10" s="68" t="inlineStr">
        <is>
          <t>Totals</t>
        </is>
      </c>
      <c r="H10" s="76">
        <f>SUM(H5:H9)</f>
        <v/>
      </c>
      <c r="I10" s="76">
        <f>SUM(I5:I9)</f>
        <v/>
      </c>
      <c r="J10" s="76">
        <f>SUM(J5:J9)</f>
        <v/>
      </c>
      <c r="L10" s="76">
        <f>SUM(L5:L9)</f>
        <v/>
      </c>
      <c r="M10" s="76">
        <f>SUM(M5:M9)</f>
        <v/>
      </c>
      <c r="N10" s="76">
        <f>SUM(N5:N9)</f>
        <v/>
      </c>
      <c r="O10" s="76">
        <f>SUM(O5:O9)</f>
        <v/>
      </c>
      <c r="P10" s="76">
        <f>SUM(P5:P9)</f>
        <v/>
      </c>
      <c r="Q10" s="76">
        <f>SUM(Q5:Q9)</f>
        <v/>
      </c>
      <c r="R10" s="76">
        <f>SUM(R5:R9)</f>
        <v/>
      </c>
      <c r="S10" s="76">
        <f>SUM(S5:S9)</f>
        <v/>
      </c>
    </row>
    <row r="11">
      <c r="C11" s="68" t="inlineStr">
        <is>
          <t>%</t>
        </is>
      </c>
      <c r="I11" s="77">
        <f>I10/$H$10</f>
        <v/>
      </c>
      <c r="J11" s="77">
        <f>J10/$H$10</f>
        <v/>
      </c>
      <c r="M11" s="77">
        <f>IFERROR(M10/$L$10,"n/a")</f>
        <v/>
      </c>
      <c r="N11" s="77">
        <f>IFERROR(N10/$L$10,"n/a")</f>
        <v/>
      </c>
    </row>
    <row r="15">
      <c r="C15" s="78" t="inlineStr">
        <is>
          <t>Notes:</t>
        </is>
      </c>
    </row>
    <row r="16">
      <c r="C16" s="78" t="inlineStr">
        <is>
          <t>1. Vacant units market rent is the per-unit market/asking rent from the source.</t>
        </is>
      </c>
    </row>
    <row r="17">
      <c r="C17" s="78" t="inlineStr">
        <is>
          <t>2. BD/BA count is from the Unit Type mapping above (edit the yellow cells to adjust).</t>
        </is>
      </c>
    </row>
    <row r="22">
      <c r="C22" s="78" t="inlineStr">
        <is>
          <t>Property Name</t>
        </is>
      </c>
      <c r="D22" s="78" t="inlineStr">
        <is>
          <t>Delsan Court</t>
        </is>
      </c>
    </row>
    <row r="23">
      <c r="C23" s="78" t="inlineStr">
        <is>
          <t>Rent Roll Date</t>
        </is>
      </c>
      <c r="D23" s="79" t="n">
        <v>46265</v>
      </c>
    </row>
    <row r="30">
      <c r="Y30" s="67" t="inlineStr">
        <is>
          <t>Rent</t>
        </is>
      </c>
      <c r="AB30" s="67" t="inlineStr">
        <is>
          <t>Other Income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Misc Charges</t>
        </is>
      </c>
    </row>
    <row r="32">
      <c r="A32" s="72">
        <f>$D$22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INDEX($C$5:$C$9,MATCH(I32,$D$5:$D$9,0))</f>
        <v/>
      </c>
      <c r="E32" s="72">
        <f>INDEX($E$5:$E$9,MATCH(D32,$C$5:$C$9,0))</f>
        <v/>
      </c>
      <c r="F32" s="72">
        <f>INDEX($F$5:$F$9,MATCH(D32,$C$5:$C$9,0))</f>
        <v/>
      </c>
      <c r="G32" s="72">
        <f>INDEX($G$5:$G$9,MATCH(D32,$C$5:$C$9,0))</f>
        <v/>
      </c>
      <c r="H32" s="72" t="inlineStr">
        <is>
          <t>1</t>
        </is>
      </c>
      <c r="I32" s="72" t="inlineStr">
        <is>
          <t>1 Bed 1 Bath</t>
        </is>
      </c>
      <c r="J32" s="80" t="n">
        <v>760</v>
      </c>
      <c r="K32" s="72" t="inlineStr">
        <is>
          <t>Bly (TSI), Alisha</t>
        </is>
      </c>
      <c r="L32" s="81" t="n">
        <v>1095</v>
      </c>
      <c r="M32" s="81">
        <f>Y32</f>
        <v/>
      </c>
      <c r="N32" s="82" t="n">
        <v>46023</v>
      </c>
      <c r="O32" s="82" t="n">
        <v>46023</v>
      </c>
      <c r="P32" s="82" t="n">
        <v>46418</v>
      </c>
      <c r="R32" s="81">
        <f>SUM(AB32:AB32)</f>
        <v/>
      </c>
      <c r="S32" s="81" t="n">
        <v>0</v>
      </c>
      <c r="T32" s="81" t="n">
        <v>0</v>
      </c>
      <c r="Y32" s="81" t="n">
        <v>1095</v>
      </c>
    </row>
    <row r="33">
      <c r="A33" s="83">
        <f>$D$22</f>
        <v/>
      </c>
      <c r="B33" s="83">
        <f>B32+1</f>
        <v/>
      </c>
      <c r="C33" s="83">
        <f>IF(K33="Vacant","Vac",IF(K33="Model","Model",IF(K33="Admin","Admin",IF(K33="Down","Down",IF(K33="Super","Super","Occ")))))</f>
        <v/>
      </c>
      <c r="D33" s="83">
        <f>INDEX($C$5:$C$9,MATCH(I33,$D$5:$D$9,0))</f>
        <v/>
      </c>
      <c r="E33" s="83">
        <f>INDEX($E$5:$E$9,MATCH(D33,$C$5:$C$9,0))</f>
        <v/>
      </c>
      <c r="F33" s="83">
        <f>INDEX($F$5:$F$9,MATCH(D33,$C$5:$C$9,0))</f>
        <v/>
      </c>
      <c r="G33" s="83">
        <f>INDEX($G$5:$G$9,MATCH(D33,$C$5:$C$9,0))</f>
        <v/>
      </c>
      <c r="H33" s="83" t="inlineStr">
        <is>
          <t>2</t>
        </is>
      </c>
      <c r="I33" s="83" t="inlineStr">
        <is>
          <t>3 Bed/1Bath FP</t>
        </is>
      </c>
      <c r="J33" s="84" t="n">
        <v>1026</v>
      </c>
      <c r="K33" s="83" t="inlineStr">
        <is>
          <t>Vacant</t>
        </is>
      </c>
      <c r="L33" s="85" t="n">
        <v>1375</v>
      </c>
      <c r="M33" s="85">
        <f>Y33</f>
        <v/>
      </c>
      <c r="N33" s="86" t="n"/>
      <c r="O33" s="86" t="n"/>
      <c r="P33" s="86" t="n"/>
      <c r="Q33" s="86" t="n"/>
      <c r="R33" s="85">
        <f>SUM(AB33:AB33)</f>
        <v/>
      </c>
      <c r="S33" s="85" t="n">
        <v>0</v>
      </c>
      <c r="T33" s="85" t="n">
        <v>0</v>
      </c>
      <c r="U33" s="86" t="n"/>
      <c r="V33" s="86" t="n"/>
      <c r="W33" s="86" t="n"/>
      <c r="X33" s="86" t="n"/>
      <c r="Y33" s="85" t="n">
        <v>0</v>
      </c>
      <c r="Z33" s="86" t="n"/>
      <c r="AA33" s="86" t="n"/>
      <c r="AB33" s="86" t="n"/>
    </row>
    <row r="34">
      <c r="A34" s="72">
        <f>$D$22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INDEX($C$5:$C$9,MATCH(I34,$D$5:$D$9,0))</f>
        <v/>
      </c>
      <c r="E34" s="72">
        <f>INDEX($E$5:$E$9,MATCH(D34,$C$5:$C$9,0))</f>
        <v/>
      </c>
      <c r="F34" s="72">
        <f>INDEX($F$5:$F$9,MATCH(D34,$C$5:$C$9,0))</f>
        <v/>
      </c>
      <c r="G34" s="72">
        <f>INDEX($G$5:$G$9,MATCH(D34,$C$5:$C$9,0))</f>
        <v/>
      </c>
      <c r="H34" s="72" t="inlineStr">
        <is>
          <t>3</t>
        </is>
      </c>
      <c r="I34" s="72" t="inlineStr">
        <is>
          <t>1 Bed 1 Bath</t>
        </is>
      </c>
      <c r="J34" s="80" t="n">
        <v>760</v>
      </c>
      <c r="K34" s="72" t="inlineStr">
        <is>
          <t>Bryant, Sarah (Belmont)</t>
        </is>
      </c>
      <c r="L34" s="81" t="n">
        <v>1095</v>
      </c>
      <c r="M34" s="81">
        <f>Y34</f>
        <v/>
      </c>
      <c r="N34" s="82" t="n">
        <v>45961</v>
      </c>
      <c r="O34" s="82" t="n">
        <v>45961</v>
      </c>
      <c r="P34" s="82" t="n">
        <v>46691</v>
      </c>
      <c r="R34" s="81">
        <f>SUM(AB34:AB34)</f>
        <v/>
      </c>
      <c r="S34" s="81" t="n">
        <v>0</v>
      </c>
      <c r="T34" s="81" t="n">
        <v>0</v>
      </c>
      <c r="Y34" s="81" t="n">
        <v>1033</v>
      </c>
    </row>
    <row r="35">
      <c r="A35" s="72">
        <f>$D$22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INDEX($C$5:$C$9,MATCH(I35,$D$5:$D$9,0))</f>
        <v/>
      </c>
      <c r="E35" s="72">
        <f>INDEX($E$5:$E$9,MATCH(D35,$C$5:$C$9,0))</f>
        <v/>
      </c>
      <c r="F35" s="72">
        <f>INDEX($F$5:$F$9,MATCH(D35,$C$5:$C$9,0))</f>
        <v/>
      </c>
      <c r="G35" s="72">
        <f>INDEX($G$5:$G$9,MATCH(D35,$C$5:$C$9,0))</f>
        <v/>
      </c>
      <c r="H35" s="72" t="inlineStr">
        <is>
          <t>4</t>
        </is>
      </c>
      <c r="I35" s="72" t="inlineStr">
        <is>
          <t>3 Bed/1Bath FP</t>
        </is>
      </c>
      <c r="J35" s="80" t="n">
        <v>1026</v>
      </c>
      <c r="K35" s="72" t="inlineStr">
        <is>
          <t>Sapienza, Jenelle</t>
        </is>
      </c>
      <c r="L35" s="81" t="n">
        <v>1345</v>
      </c>
      <c r="M35" s="81">
        <f>Y35</f>
        <v/>
      </c>
      <c r="N35" s="82" t="n">
        <v>45747</v>
      </c>
      <c r="O35" s="82" t="n">
        <v>45747</v>
      </c>
      <c r="P35" s="82" t="n">
        <v>46477</v>
      </c>
      <c r="R35" s="81">
        <f>SUM(AB35:AB35)</f>
        <v/>
      </c>
      <c r="S35" s="81" t="n">
        <v>0</v>
      </c>
      <c r="T35" s="81" t="n">
        <v>0</v>
      </c>
      <c r="Y35" s="81" t="n">
        <v>1375</v>
      </c>
    </row>
    <row r="36">
      <c r="A36" s="72">
        <f>$D$22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INDEX($C$5:$C$9,MATCH(I36,$D$5:$D$9,0))</f>
        <v/>
      </c>
      <c r="E36" s="72">
        <f>INDEX($E$5:$E$9,MATCH(D36,$C$5:$C$9,0))</f>
        <v/>
      </c>
      <c r="F36" s="72">
        <f>INDEX($F$5:$F$9,MATCH(D36,$C$5:$C$9,0))</f>
        <v/>
      </c>
      <c r="G36" s="72">
        <f>INDEX($G$5:$G$9,MATCH(D36,$C$5:$C$9,0))</f>
        <v/>
      </c>
      <c r="H36" s="72" t="inlineStr">
        <is>
          <t>5</t>
        </is>
      </c>
      <c r="I36" s="72" t="inlineStr">
        <is>
          <t>1 Bed 1 Bath</t>
        </is>
      </c>
      <c r="J36" s="80" t="n">
        <v>760</v>
      </c>
      <c r="K36" s="72" t="inlineStr">
        <is>
          <t>Boice (RACB), Blake</t>
        </is>
      </c>
      <c r="L36" s="81" t="n">
        <v>1195</v>
      </c>
      <c r="M36" s="81">
        <f>Y36</f>
        <v/>
      </c>
      <c r="N36" s="82" t="n">
        <v>46174</v>
      </c>
      <c r="O36" s="82" t="n">
        <v>46174</v>
      </c>
      <c r="P36" s="82" t="n">
        <v>46538</v>
      </c>
      <c r="R36" s="81">
        <f>SUM(AB36:AB36)</f>
        <v/>
      </c>
      <c r="S36" s="81" t="n">
        <v>0</v>
      </c>
      <c r="T36" s="81" t="n">
        <v>0</v>
      </c>
      <c r="Y36" s="81" t="n">
        <v>1095</v>
      </c>
    </row>
    <row r="37">
      <c r="A37" s="72">
        <f>$D$22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INDEX($C$5:$C$9,MATCH(I37,$D$5:$D$9,0))</f>
        <v/>
      </c>
      <c r="E37" s="72">
        <f>INDEX($E$5:$E$9,MATCH(D37,$C$5:$C$9,0))</f>
        <v/>
      </c>
      <c r="F37" s="72">
        <f>INDEX($F$5:$F$9,MATCH(D37,$C$5:$C$9,0))</f>
        <v/>
      </c>
      <c r="G37" s="72">
        <f>INDEX($G$5:$G$9,MATCH(D37,$C$5:$C$9,0))</f>
        <v/>
      </c>
      <c r="H37" s="72" t="inlineStr">
        <is>
          <t>6</t>
        </is>
      </c>
      <c r="I37" s="72" t="inlineStr">
        <is>
          <t>3 Bed/ 1Bath</t>
        </is>
      </c>
      <c r="J37" s="80" t="n">
        <v>1026</v>
      </c>
      <c r="K37" s="72" t="inlineStr">
        <is>
          <t>Ricks (BEL), Marickers</t>
        </is>
      </c>
      <c r="L37" s="81" t="n">
        <v>1450</v>
      </c>
      <c r="M37" s="81">
        <f>Y37</f>
        <v/>
      </c>
      <c r="N37" s="82" t="n">
        <v>45901</v>
      </c>
      <c r="O37" s="82" t="n">
        <v>45901</v>
      </c>
      <c r="P37" s="82" t="n">
        <v>46630</v>
      </c>
      <c r="R37" s="81">
        <f>SUM(AB37:AB37)</f>
        <v/>
      </c>
      <c r="S37" s="81" t="n">
        <v>0</v>
      </c>
      <c r="T37" s="81" t="n">
        <v>0</v>
      </c>
      <c r="Y37" s="81" t="n">
        <v>1450</v>
      </c>
    </row>
    <row r="38">
      <c r="A38" s="72">
        <f>$D$22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INDEX($C$5:$C$9,MATCH(I38,$D$5:$D$9,0))</f>
        <v/>
      </c>
      <c r="E38" s="72">
        <f>INDEX($E$5:$E$9,MATCH(D38,$C$5:$C$9,0))</f>
        <v/>
      </c>
      <c r="F38" s="72">
        <f>INDEX($F$5:$F$9,MATCH(D38,$C$5:$C$9,0))</f>
        <v/>
      </c>
      <c r="G38" s="72">
        <f>INDEX($G$5:$G$9,MATCH(D38,$C$5:$C$9,0))</f>
        <v/>
      </c>
      <c r="H38" s="72" t="inlineStr">
        <is>
          <t>7</t>
        </is>
      </c>
      <c r="I38" s="72" t="inlineStr">
        <is>
          <t>1 Bed 1 Bath</t>
        </is>
      </c>
      <c r="J38" s="80" t="n">
        <v>760</v>
      </c>
      <c r="K38" s="72" t="inlineStr">
        <is>
          <t>Webb, Darrell</t>
        </is>
      </c>
      <c r="L38" s="81" t="n">
        <v>1100</v>
      </c>
      <c r="M38" s="81">
        <f>Y38</f>
        <v/>
      </c>
      <c r="N38" s="82" t="n">
        <v>41579</v>
      </c>
      <c r="O38" s="82" t="n">
        <v>41579</v>
      </c>
      <c r="P38" s="82" t="n">
        <v>46326</v>
      </c>
      <c r="R38" s="81">
        <f>SUM(AB38:AB38)</f>
        <v/>
      </c>
      <c r="S38" s="81" t="n">
        <v>0</v>
      </c>
      <c r="T38" s="81" t="n">
        <v>0</v>
      </c>
      <c r="Y38" s="81" t="n">
        <v>1075</v>
      </c>
    </row>
    <row r="39">
      <c r="A39" s="83">
        <f>$D$22</f>
        <v/>
      </c>
      <c r="B39" s="83">
        <f>B38+1</f>
        <v/>
      </c>
      <c r="C39" s="83">
        <f>IF(K39="Vacant","Vac",IF(K39="Model","Model",IF(K39="Admin","Admin",IF(K39="Down","Down",IF(K39="Super","Super","Occ")))))</f>
        <v/>
      </c>
      <c r="D39" s="83">
        <f>INDEX($C$5:$C$9,MATCH(I39,$D$5:$D$9,0))</f>
        <v/>
      </c>
      <c r="E39" s="83">
        <f>INDEX($E$5:$E$9,MATCH(D39,$C$5:$C$9,0))</f>
        <v/>
      </c>
      <c r="F39" s="83">
        <f>INDEX($F$5:$F$9,MATCH(D39,$C$5:$C$9,0))</f>
        <v/>
      </c>
      <c r="G39" s="83">
        <f>INDEX($G$5:$G$9,MATCH(D39,$C$5:$C$9,0))</f>
        <v/>
      </c>
      <c r="H39" s="83" t="inlineStr">
        <is>
          <t>8</t>
        </is>
      </c>
      <c r="I39" s="83" t="inlineStr">
        <is>
          <t>3 Bed/1Bath FP</t>
        </is>
      </c>
      <c r="J39" s="84" t="n">
        <v>1026</v>
      </c>
      <c r="K39" s="83" t="inlineStr">
        <is>
          <t>Vacant</t>
        </is>
      </c>
      <c r="L39" s="85" t="n">
        <v>1375</v>
      </c>
      <c r="M39" s="85">
        <f>Y39</f>
        <v/>
      </c>
      <c r="N39" s="86" t="n"/>
      <c r="O39" s="86" t="n"/>
      <c r="P39" s="86" t="n"/>
      <c r="Q39" s="86" t="n"/>
      <c r="R39" s="85">
        <f>SUM(AB39:AB39)</f>
        <v/>
      </c>
      <c r="S39" s="85" t="n">
        <v>0</v>
      </c>
      <c r="T39" s="85" t="n">
        <v>0</v>
      </c>
      <c r="U39" s="86" t="n"/>
      <c r="V39" s="86" t="n"/>
      <c r="W39" s="86" t="n"/>
      <c r="X39" s="86" t="n"/>
      <c r="Y39" s="85" t="n">
        <v>0</v>
      </c>
      <c r="Z39" s="86" t="n"/>
      <c r="AA39" s="86" t="n"/>
      <c r="AB39" s="86" t="n"/>
    </row>
    <row r="40">
      <c r="A40" s="72">
        <f>$D$22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INDEX($C$5:$C$9,MATCH(I40,$D$5:$D$9,0))</f>
        <v/>
      </c>
      <c r="E40" s="72">
        <f>INDEX($E$5:$E$9,MATCH(D40,$C$5:$C$9,0))</f>
        <v/>
      </c>
      <c r="F40" s="72">
        <f>INDEX($F$5:$F$9,MATCH(D40,$C$5:$C$9,0))</f>
        <v/>
      </c>
      <c r="G40" s="72">
        <f>INDEX($G$5:$G$9,MATCH(D40,$C$5:$C$9,0))</f>
        <v/>
      </c>
      <c r="H40" s="72" t="inlineStr">
        <is>
          <t>9</t>
        </is>
      </c>
      <c r="I40" s="72" t="inlineStr">
        <is>
          <t>1 Bed 1 Bath</t>
        </is>
      </c>
      <c r="J40" s="80" t="n">
        <v>760</v>
      </c>
      <c r="K40" s="72" t="inlineStr">
        <is>
          <t>Thomas, DeWayne</t>
        </is>
      </c>
      <c r="L40" s="81" t="n">
        <v>1095</v>
      </c>
      <c r="M40" s="81">
        <f>Y40</f>
        <v/>
      </c>
      <c r="N40" s="82" t="n">
        <v>42425</v>
      </c>
      <c r="O40" s="82" t="n">
        <v>42425</v>
      </c>
      <c r="P40" s="82" t="n">
        <v>46112</v>
      </c>
      <c r="R40" s="81">
        <f>SUM(AB40:AB40)</f>
        <v/>
      </c>
      <c r="S40" s="81" t="n">
        <v>0</v>
      </c>
      <c r="T40" s="81" t="n">
        <v>0</v>
      </c>
      <c r="Y40" s="81" t="n">
        <v>950</v>
      </c>
    </row>
    <row r="41">
      <c r="A41" s="72">
        <f>$D$22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INDEX($C$5:$C$9,MATCH(I41,$D$5:$D$9,0))</f>
        <v/>
      </c>
      <c r="E41" s="72">
        <f>INDEX($E$5:$E$9,MATCH(D41,$C$5:$C$9,0))</f>
        <v/>
      </c>
      <c r="F41" s="72">
        <f>INDEX($F$5:$F$9,MATCH(D41,$C$5:$C$9,0))</f>
        <v/>
      </c>
      <c r="G41" s="72">
        <f>INDEX($G$5:$G$9,MATCH(D41,$C$5:$C$9,0))</f>
        <v/>
      </c>
      <c r="H41" s="72" t="inlineStr">
        <is>
          <t>10</t>
        </is>
      </c>
      <c r="I41" s="72" t="inlineStr">
        <is>
          <t>3 Bed/ 1Bath</t>
        </is>
      </c>
      <c r="J41" s="80" t="n">
        <v>1026</v>
      </c>
      <c r="K41" s="72" t="inlineStr">
        <is>
          <t>Rodriguez, Joehan</t>
        </is>
      </c>
      <c r="L41" s="81" t="n">
        <v>1400</v>
      </c>
      <c r="M41" s="81">
        <f>Y41</f>
        <v/>
      </c>
      <c r="N41" s="82" t="n">
        <v>46111</v>
      </c>
      <c r="O41" s="82" t="n">
        <v>46111</v>
      </c>
      <c r="P41" s="82" t="n">
        <v>46477</v>
      </c>
      <c r="R41" s="81">
        <f>SUM(AB41:AB41)</f>
        <v/>
      </c>
      <c r="S41" s="81" t="n">
        <v>0</v>
      </c>
      <c r="T41" s="81" t="n">
        <v>0</v>
      </c>
      <c r="Y41" s="81" t="n">
        <v>1375</v>
      </c>
    </row>
    <row r="42">
      <c r="A42" s="72">
        <f>$D$22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INDEX($C$5:$C$9,MATCH(I42,$D$5:$D$9,0))</f>
        <v/>
      </c>
      <c r="E42" s="72">
        <f>INDEX($E$5:$E$9,MATCH(D42,$C$5:$C$9,0))</f>
        <v/>
      </c>
      <c r="F42" s="72">
        <f>INDEX($F$5:$F$9,MATCH(D42,$C$5:$C$9,0))</f>
        <v/>
      </c>
      <c r="G42" s="72">
        <f>INDEX($G$5:$G$9,MATCH(D42,$C$5:$C$9,0))</f>
        <v/>
      </c>
      <c r="H42" s="72" t="inlineStr">
        <is>
          <t>11</t>
        </is>
      </c>
      <c r="I42" s="72" t="inlineStr">
        <is>
          <t>2 Bed 1 Bath</t>
        </is>
      </c>
      <c r="J42" s="80" t="n">
        <v>904</v>
      </c>
      <c r="K42" s="72" t="inlineStr">
        <is>
          <t>Simmons, David</t>
        </is>
      </c>
      <c r="L42" s="81" t="n">
        <v>1325</v>
      </c>
      <c r="M42" s="81">
        <f>Y42</f>
        <v/>
      </c>
      <c r="N42" s="82" t="n">
        <v>42614</v>
      </c>
      <c r="O42" s="82" t="n">
        <v>42614</v>
      </c>
      <c r="P42" s="82" t="n">
        <v>46630</v>
      </c>
      <c r="R42" s="81">
        <f>SUM(AB42:AB42)</f>
        <v/>
      </c>
      <c r="S42" s="81" t="n">
        <v>0</v>
      </c>
      <c r="T42" s="81" t="n">
        <v>0</v>
      </c>
      <c r="Y42" s="81" t="n">
        <v>1225</v>
      </c>
    </row>
    <row r="43">
      <c r="A43" s="72">
        <f>$D$22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INDEX($C$5:$C$9,MATCH(I43,$D$5:$D$9,0))</f>
        <v/>
      </c>
      <c r="E43" s="72">
        <f>INDEX($E$5:$E$9,MATCH(D43,$C$5:$C$9,0))</f>
        <v/>
      </c>
      <c r="F43" s="72">
        <f>INDEX($F$5:$F$9,MATCH(D43,$C$5:$C$9,0))</f>
        <v/>
      </c>
      <c r="G43" s="72">
        <f>INDEX($G$5:$G$9,MATCH(D43,$C$5:$C$9,0))</f>
        <v/>
      </c>
      <c r="H43" s="72" t="inlineStr">
        <is>
          <t>12</t>
        </is>
      </c>
      <c r="I43" s="72" t="inlineStr">
        <is>
          <t>2 Bed 1 Bath</t>
        </is>
      </c>
      <c r="J43" s="80" t="n">
        <v>904</v>
      </c>
      <c r="K43" s="72" t="inlineStr">
        <is>
          <t>Flax (BEL), Julie</t>
        </is>
      </c>
      <c r="L43" s="81" t="n">
        <v>1275</v>
      </c>
      <c r="M43" s="81">
        <f>Y43</f>
        <v/>
      </c>
      <c r="N43" s="82" t="n">
        <v>45811</v>
      </c>
      <c r="O43" s="82" t="n">
        <v>45811</v>
      </c>
      <c r="P43" s="82" t="n">
        <v>46173</v>
      </c>
      <c r="R43" s="81">
        <f>SUM(AB43:AB43)</f>
        <v/>
      </c>
      <c r="S43" s="81" t="n">
        <v>0</v>
      </c>
      <c r="T43" s="81" t="n">
        <v>0</v>
      </c>
      <c r="Y43" s="81" t="n">
        <v>1100</v>
      </c>
    </row>
    <row r="44">
      <c r="A44" s="72">
        <f>$D$22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INDEX($C$5:$C$9,MATCH(I44,$D$5:$D$9,0))</f>
        <v/>
      </c>
      <c r="E44" s="72">
        <f>INDEX($E$5:$E$9,MATCH(D44,$C$5:$C$9,0))</f>
        <v/>
      </c>
      <c r="F44" s="72">
        <f>INDEX($F$5:$F$9,MATCH(D44,$C$5:$C$9,0))</f>
        <v/>
      </c>
      <c r="G44" s="72">
        <f>INDEX($G$5:$G$9,MATCH(D44,$C$5:$C$9,0))</f>
        <v/>
      </c>
      <c r="H44" s="72" t="inlineStr">
        <is>
          <t>13</t>
        </is>
      </c>
      <c r="I44" s="72" t="inlineStr">
        <is>
          <t>2 Bed 1 Bath</t>
        </is>
      </c>
      <c r="J44" s="80" t="n">
        <v>904</v>
      </c>
      <c r="K44" s="72" t="inlineStr">
        <is>
          <t>Adams, Jetaun</t>
        </is>
      </c>
      <c r="L44" s="81" t="n">
        <v>1275</v>
      </c>
      <c r="M44" s="81">
        <f>Y44</f>
        <v/>
      </c>
      <c r="N44" s="82" t="n">
        <v>45809</v>
      </c>
      <c r="O44" s="82" t="n">
        <v>45809</v>
      </c>
      <c r="P44" s="82" t="n">
        <v>46538</v>
      </c>
      <c r="R44" s="81">
        <f>SUM(AB44:AB44)</f>
        <v/>
      </c>
      <c r="S44" s="81" t="n">
        <v>0</v>
      </c>
      <c r="T44" s="81" t="n">
        <v>0</v>
      </c>
      <c r="Y44" s="81" t="n">
        <v>1275</v>
      </c>
    </row>
    <row r="45">
      <c r="A45" s="83">
        <f>$D$22</f>
        <v/>
      </c>
      <c r="B45" s="83">
        <f>B44+1</f>
        <v/>
      </c>
      <c r="C45" s="83">
        <f>IF(K45="Vacant","Vac",IF(K45="Model","Model",IF(K45="Admin","Admin",IF(K45="Down","Down",IF(K45="Super","Super","Occ")))))</f>
        <v/>
      </c>
      <c r="D45" s="83">
        <f>INDEX($C$5:$C$9,MATCH(I45,$D$5:$D$9,0))</f>
        <v/>
      </c>
      <c r="E45" s="83">
        <f>INDEX($E$5:$E$9,MATCH(D45,$C$5:$C$9,0))</f>
        <v/>
      </c>
      <c r="F45" s="83">
        <f>INDEX($F$5:$F$9,MATCH(D45,$C$5:$C$9,0))</f>
        <v/>
      </c>
      <c r="G45" s="83">
        <f>INDEX($G$5:$G$9,MATCH(D45,$C$5:$C$9,0))</f>
        <v/>
      </c>
      <c r="H45" s="83" t="inlineStr">
        <is>
          <t>14</t>
        </is>
      </c>
      <c r="I45" s="83" t="inlineStr">
        <is>
          <t>2 Bed 1 Bath</t>
        </is>
      </c>
      <c r="J45" s="84" t="n">
        <v>904</v>
      </c>
      <c r="K45" s="83" t="inlineStr">
        <is>
          <t>Vacant</t>
        </is>
      </c>
      <c r="L45" s="85" t="n">
        <v>1200</v>
      </c>
      <c r="M45" s="85">
        <f>Y45</f>
        <v/>
      </c>
      <c r="N45" s="86" t="n"/>
      <c r="O45" s="86" t="n"/>
      <c r="P45" s="86" t="n"/>
      <c r="Q45" s="86" t="n"/>
      <c r="R45" s="85">
        <f>SUM(AB45:AB45)</f>
        <v/>
      </c>
      <c r="S45" s="85" t="n">
        <v>0</v>
      </c>
      <c r="T45" s="85" t="n">
        <v>0</v>
      </c>
      <c r="U45" s="86" t="n"/>
      <c r="V45" s="86" t="n"/>
      <c r="W45" s="86" t="n"/>
      <c r="X45" s="86" t="n"/>
      <c r="Y45" s="85" t="n">
        <v>0</v>
      </c>
      <c r="Z45" s="86" t="n"/>
      <c r="AA45" s="86" t="n"/>
      <c r="AB45" s="86" t="n"/>
    </row>
    <row r="46">
      <c r="A46" s="72">
        <f>$D$22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INDEX($C$5:$C$9,MATCH(I46,$D$5:$D$9,0))</f>
        <v/>
      </c>
      <c r="E46" s="72">
        <f>INDEX($E$5:$E$9,MATCH(D46,$C$5:$C$9,0))</f>
        <v/>
      </c>
      <c r="F46" s="72">
        <f>INDEX($F$5:$F$9,MATCH(D46,$C$5:$C$9,0))</f>
        <v/>
      </c>
      <c r="G46" s="72">
        <f>INDEX($G$5:$G$9,MATCH(D46,$C$5:$C$9,0))</f>
        <v/>
      </c>
      <c r="H46" s="72" t="inlineStr">
        <is>
          <t>15</t>
        </is>
      </c>
      <c r="I46" s="72" t="inlineStr">
        <is>
          <t>2 Bed 1 Bath</t>
        </is>
      </c>
      <c r="J46" s="80" t="n">
        <v>904</v>
      </c>
      <c r="K46" s="72" t="inlineStr">
        <is>
          <t>Dejesus, Ashanti</t>
        </is>
      </c>
      <c r="L46" s="81" t="n">
        <v>1325</v>
      </c>
      <c r="M46" s="81">
        <f>Y46</f>
        <v/>
      </c>
      <c r="N46" s="82" t="n">
        <v>46155</v>
      </c>
      <c r="O46" s="82" t="n">
        <v>46155</v>
      </c>
      <c r="P46" s="82" t="n">
        <v>46538</v>
      </c>
      <c r="R46" s="81">
        <f>SUM(AB46:AB46)</f>
        <v/>
      </c>
      <c r="S46" s="81" t="n">
        <v>0</v>
      </c>
      <c r="T46" s="81" t="n">
        <v>0</v>
      </c>
      <c r="Y46" s="81" t="n">
        <v>1250</v>
      </c>
    </row>
    <row r="47">
      <c r="A47" s="72">
        <f>$D$22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INDEX($C$5:$C$9,MATCH(I47,$D$5:$D$9,0))</f>
        <v/>
      </c>
      <c r="E47" s="72">
        <f>INDEX($E$5:$E$9,MATCH(D47,$C$5:$C$9,0))</f>
        <v/>
      </c>
      <c r="F47" s="72">
        <f>INDEX($F$5:$F$9,MATCH(D47,$C$5:$C$9,0))</f>
        <v/>
      </c>
      <c r="G47" s="72">
        <f>INDEX($G$5:$G$9,MATCH(D47,$C$5:$C$9,0))</f>
        <v/>
      </c>
      <c r="H47" s="72" t="inlineStr">
        <is>
          <t>16</t>
        </is>
      </c>
      <c r="I47" s="72" t="inlineStr">
        <is>
          <t>2 Bed 1 Bath</t>
        </is>
      </c>
      <c r="J47" s="80" t="n">
        <v>904</v>
      </c>
      <c r="K47" s="72" t="inlineStr">
        <is>
          <t>Novara, Christopher</t>
        </is>
      </c>
      <c r="L47" s="81" t="n">
        <v>1325</v>
      </c>
      <c r="M47" s="81">
        <f>Y47</f>
        <v/>
      </c>
      <c r="N47" s="82" t="n">
        <v>45427</v>
      </c>
      <c r="O47" s="82" t="n">
        <v>45427</v>
      </c>
      <c r="P47" s="82" t="n">
        <v>46173</v>
      </c>
      <c r="R47" s="81">
        <f>SUM(AB47:AB47)</f>
        <v/>
      </c>
      <c r="S47" s="81" t="n">
        <v>0</v>
      </c>
      <c r="T47" s="81" t="n">
        <v>0</v>
      </c>
      <c r="Y47" s="81" t="n">
        <v>1375</v>
      </c>
    </row>
    <row r="48">
      <c r="A48" s="72">
        <f>$D$22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INDEX($C$5:$C$9,MATCH(I48,$D$5:$D$9,0))</f>
        <v/>
      </c>
      <c r="E48" s="72">
        <f>INDEX($E$5:$E$9,MATCH(D48,$C$5:$C$9,0))</f>
        <v/>
      </c>
      <c r="F48" s="72">
        <f>INDEX($F$5:$F$9,MATCH(D48,$C$5:$C$9,0))</f>
        <v/>
      </c>
      <c r="G48" s="72">
        <f>INDEX($G$5:$G$9,MATCH(D48,$C$5:$C$9,0))</f>
        <v/>
      </c>
      <c r="H48" s="72" t="inlineStr">
        <is>
          <t>17</t>
        </is>
      </c>
      <c r="I48" s="72" t="inlineStr">
        <is>
          <t>2 Bed 1 Bath</t>
        </is>
      </c>
      <c r="J48" s="80" t="n">
        <v>904</v>
      </c>
      <c r="K48" s="72" t="inlineStr">
        <is>
          <t>Watkins, Joanna</t>
        </is>
      </c>
      <c r="L48" s="81" t="n">
        <v>1325</v>
      </c>
      <c r="M48" s="81">
        <f>Y48</f>
        <v/>
      </c>
      <c r="N48" s="82" t="n">
        <v>45031</v>
      </c>
      <c r="O48" s="82" t="n">
        <v>45031</v>
      </c>
      <c r="R48" s="81">
        <f>SUM(AB48:AB48)</f>
        <v/>
      </c>
      <c r="S48" s="81" t="n">
        <v>0</v>
      </c>
      <c r="T48" s="81" t="n">
        <v>0</v>
      </c>
      <c r="Y48" s="81" t="n">
        <v>1325</v>
      </c>
    </row>
    <row r="49">
      <c r="A49" s="72">
        <f>$D$22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INDEX($C$5:$C$9,MATCH(I49,$D$5:$D$9,0))</f>
        <v/>
      </c>
      <c r="E49" s="72">
        <f>INDEX($E$5:$E$9,MATCH(D49,$C$5:$C$9,0))</f>
        <v/>
      </c>
      <c r="F49" s="72">
        <f>INDEX($F$5:$F$9,MATCH(D49,$C$5:$C$9,0))</f>
        <v/>
      </c>
      <c r="G49" s="72">
        <f>INDEX($G$5:$G$9,MATCH(D49,$C$5:$C$9,0))</f>
        <v/>
      </c>
      <c r="H49" s="72" t="inlineStr">
        <is>
          <t>18</t>
        </is>
      </c>
      <c r="I49" s="72" t="inlineStr">
        <is>
          <t>2 Bed 1 Bath</t>
        </is>
      </c>
      <c r="J49" s="80" t="n">
        <v>904</v>
      </c>
      <c r="K49" s="72" t="inlineStr">
        <is>
          <t>Brown (RACB), Richard</t>
        </is>
      </c>
      <c r="L49" s="81" t="n">
        <v>1325</v>
      </c>
      <c r="M49" s="81">
        <f>Y49</f>
        <v/>
      </c>
      <c r="N49" s="82" t="n">
        <v>41456</v>
      </c>
      <c r="O49" s="82" t="n">
        <v>41456</v>
      </c>
      <c r="P49" s="82" t="n">
        <v>46173</v>
      </c>
      <c r="R49" s="81">
        <f>SUM(AB49:AB49)</f>
        <v/>
      </c>
      <c r="S49" s="81" t="n">
        <v>0</v>
      </c>
      <c r="T49" s="81" t="n">
        <v>0</v>
      </c>
      <c r="Y49" s="81" t="n">
        <v>1225</v>
      </c>
    </row>
    <row r="50">
      <c r="A50" s="72">
        <f>$D$22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INDEX($C$5:$C$9,MATCH(I50,$D$5:$D$9,0))</f>
        <v/>
      </c>
      <c r="E50" s="72">
        <f>INDEX($E$5:$E$9,MATCH(D50,$C$5:$C$9,0))</f>
        <v/>
      </c>
      <c r="F50" s="72">
        <f>INDEX($F$5:$F$9,MATCH(D50,$C$5:$C$9,0))</f>
        <v/>
      </c>
      <c r="G50" s="72">
        <f>INDEX($G$5:$G$9,MATCH(D50,$C$5:$C$9,0))</f>
        <v/>
      </c>
      <c r="H50" s="72" t="inlineStr">
        <is>
          <t>19</t>
        </is>
      </c>
      <c r="I50" s="72" t="inlineStr">
        <is>
          <t>2 Bed 1 Bath</t>
        </is>
      </c>
      <c r="J50" s="80" t="n">
        <v>1250</v>
      </c>
      <c r="K50" s="72" t="inlineStr">
        <is>
          <t>Washington, Lanaya (RACB)</t>
        </is>
      </c>
      <c r="L50" s="81" t="n">
        <v>1325</v>
      </c>
      <c r="M50" s="81">
        <f>Y50</f>
        <v/>
      </c>
      <c r="N50" s="82" t="n">
        <v>45916</v>
      </c>
      <c r="O50" s="82" t="n">
        <v>45916</v>
      </c>
      <c r="P50" s="82" t="n">
        <v>46295</v>
      </c>
      <c r="R50" s="81">
        <f>SUM(AB50:AB50)</f>
        <v/>
      </c>
      <c r="S50" s="81" t="n">
        <v>0</v>
      </c>
      <c r="T50" s="81" t="n">
        <v>0</v>
      </c>
      <c r="Y50" s="81" t="n">
        <v>1223</v>
      </c>
    </row>
    <row r="51">
      <c r="A51" s="72">
        <f>$D$22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INDEX($C$5:$C$9,MATCH(I51,$D$5:$D$9,0))</f>
        <v/>
      </c>
      <c r="E51" s="72">
        <f>INDEX($E$5:$E$9,MATCH(D51,$C$5:$C$9,0))</f>
        <v/>
      </c>
      <c r="F51" s="72">
        <f>INDEX($F$5:$F$9,MATCH(D51,$C$5:$C$9,0))</f>
        <v/>
      </c>
      <c r="G51" s="72">
        <f>INDEX($G$5:$G$9,MATCH(D51,$C$5:$C$9,0))</f>
        <v/>
      </c>
      <c r="H51" s="72" t="inlineStr">
        <is>
          <t>20</t>
        </is>
      </c>
      <c r="I51" s="72" t="inlineStr">
        <is>
          <t>3 Bed 1.5 Bath</t>
        </is>
      </c>
      <c r="J51" s="80" t="n">
        <v>1400</v>
      </c>
      <c r="K51" s="72" t="inlineStr">
        <is>
          <t>Gloster, Brittany</t>
        </is>
      </c>
      <c r="L51" s="81" t="n">
        <v>1400</v>
      </c>
      <c r="M51" s="81">
        <f>Y51</f>
        <v/>
      </c>
      <c r="N51" s="82" t="n">
        <v>45925</v>
      </c>
      <c r="O51" s="82" t="n">
        <v>45925</v>
      </c>
      <c r="P51" s="82" t="n">
        <v>46660</v>
      </c>
      <c r="R51" s="81">
        <f>SUM(AB51:AB51)</f>
        <v/>
      </c>
      <c r="S51" s="81" t="n">
        <v>0</v>
      </c>
      <c r="T51" s="81" t="n">
        <v>0</v>
      </c>
      <c r="Y51" s="81" t="n">
        <v>1400</v>
      </c>
    </row>
    <row r="52">
      <c r="A52" s="72">
        <f>$D$22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INDEX($C$5:$C$9,MATCH(I52,$D$5:$D$9,0))</f>
        <v/>
      </c>
      <c r="E52" s="72">
        <f>INDEX($E$5:$E$9,MATCH(D52,$C$5:$C$9,0))</f>
        <v/>
      </c>
      <c r="F52" s="72">
        <f>INDEX($F$5:$F$9,MATCH(D52,$C$5:$C$9,0))</f>
        <v/>
      </c>
      <c r="G52" s="72">
        <f>INDEX($G$5:$G$9,MATCH(D52,$C$5:$C$9,0))</f>
        <v/>
      </c>
      <c r="H52" s="72" t="inlineStr">
        <is>
          <t>21</t>
        </is>
      </c>
      <c r="I52" s="72" t="inlineStr">
        <is>
          <t>3 Bed 1.5 Bath</t>
        </is>
      </c>
      <c r="J52" s="80" t="n">
        <v>1076</v>
      </c>
      <c r="K52" s="72" t="inlineStr">
        <is>
          <t>Pratt, Famatta</t>
        </is>
      </c>
      <c r="L52" s="81" t="n">
        <v>1450</v>
      </c>
      <c r="M52" s="81">
        <f>Y52</f>
        <v/>
      </c>
      <c r="N52" s="82" t="n">
        <v>43556</v>
      </c>
      <c r="O52" s="82" t="n">
        <v>43556</v>
      </c>
      <c r="P52" s="82" t="n">
        <v>46477</v>
      </c>
      <c r="R52" s="81">
        <f>SUM(AB52:AB52)</f>
        <v/>
      </c>
      <c r="S52" s="81" t="n">
        <v>0</v>
      </c>
      <c r="T52" s="81" t="n">
        <v>0</v>
      </c>
      <c r="Y52" s="81" t="n">
        <v>1150</v>
      </c>
    </row>
    <row r="53">
      <c r="A53" s="72">
        <f>$D$22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INDEX($C$5:$C$9,MATCH(I53,$D$5:$D$9,0))</f>
        <v/>
      </c>
      <c r="E53" s="72">
        <f>INDEX($E$5:$E$9,MATCH(D53,$C$5:$C$9,0))</f>
        <v/>
      </c>
      <c r="F53" s="72">
        <f>INDEX($F$5:$F$9,MATCH(D53,$C$5:$C$9,0))</f>
        <v/>
      </c>
      <c r="G53" s="72">
        <f>INDEX($G$5:$G$9,MATCH(D53,$C$5:$C$9,0))</f>
        <v/>
      </c>
      <c r="H53" s="72" t="inlineStr">
        <is>
          <t>22</t>
        </is>
      </c>
      <c r="I53" s="72" t="inlineStr">
        <is>
          <t>2 Bed 1 Bath</t>
        </is>
      </c>
      <c r="J53" s="80" t="n">
        <v>904</v>
      </c>
      <c r="K53" s="72" t="inlineStr">
        <is>
          <t>Merriweather, Tonya</t>
        </is>
      </c>
      <c r="L53" s="81" t="n">
        <v>1325</v>
      </c>
      <c r="M53" s="81">
        <f>Y53</f>
        <v/>
      </c>
      <c r="N53" s="82" t="n">
        <v>41395</v>
      </c>
      <c r="O53" s="82" t="n">
        <v>41395</v>
      </c>
      <c r="P53" s="82" t="n">
        <v>45777</v>
      </c>
      <c r="R53" s="81">
        <f>SUM(AB53:AB53)</f>
        <v/>
      </c>
      <c r="S53" s="81" t="n">
        <v>0</v>
      </c>
      <c r="T53" s="81" t="n">
        <v>0</v>
      </c>
      <c r="Y53" s="81" t="n">
        <v>1075</v>
      </c>
      <c r="AB53" s="81" t="n">
        <v>200</v>
      </c>
    </row>
    <row r="54">
      <c r="A54" s="72">
        <f>$D$22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INDEX($C$5:$C$9,MATCH(I54,$D$5:$D$9,0))</f>
        <v/>
      </c>
      <c r="E54" s="72">
        <f>INDEX($E$5:$E$9,MATCH(D54,$C$5:$C$9,0))</f>
        <v/>
      </c>
      <c r="F54" s="72">
        <f>INDEX($F$5:$F$9,MATCH(D54,$C$5:$C$9,0))</f>
        <v/>
      </c>
      <c r="G54" s="72">
        <f>INDEX($G$5:$G$9,MATCH(D54,$C$5:$C$9,0))</f>
        <v/>
      </c>
      <c r="H54" s="72" t="inlineStr">
        <is>
          <t>23</t>
        </is>
      </c>
      <c r="I54" s="72" t="inlineStr">
        <is>
          <t>2 Bed 1 Bath</t>
        </is>
      </c>
      <c r="J54" s="80" t="n">
        <v>904</v>
      </c>
      <c r="K54" s="72" t="inlineStr">
        <is>
          <t>Bernier (TSI), Angie</t>
        </is>
      </c>
      <c r="L54" s="81" t="n">
        <v>1325</v>
      </c>
      <c r="M54" s="81">
        <f>Y54</f>
        <v/>
      </c>
      <c r="N54" s="82" t="n">
        <v>44516</v>
      </c>
      <c r="O54" s="82" t="n">
        <v>44516</v>
      </c>
      <c r="P54" s="82" t="n">
        <v>46356</v>
      </c>
      <c r="R54" s="81">
        <f>SUM(AB54:AB54)</f>
        <v/>
      </c>
      <c r="S54" s="81" t="n">
        <v>0</v>
      </c>
      <c r="T54" s="81" t="n">
        <v>0</v>
      </c>
      <c r="Y54" s="81" t="n">
        <v>1450</v>
      </c>
    </row>
    <row r="55">
      <c r="A55" s="83">
        <f>$D$22</f>
        <v/>
      </c>
      <c r="B55" s="83">
        <f>B54+1</f>
        <v/>
      </c>
      <c r="C55" s="83">
        <f>IF(K55="Vacant","Vac",IF(K55="Model","Model",IF(K55="Admin","Admin",IF(K55="Down","Down",IF(K55="Super","Super","Occ")))))</f>
        <v/>
      </c>
      <c r="D55" s="83">
        <f>INDEX($C$5:$C$9,MATCH(I55,$D$5:$D$9,0))</f>
        <v/>
      </c>
      <c r="E55" s="83">
        <f>INDEX($E$5:$E$9,MATCH(D55,$C$5:$C$9,0))</f>
        <v/>
      </c>
      <c r="F55" s="83">
        <f>INDEX($F$5:$F$9,MATCH(D55,$C$5:$C$9,0))</f>
        <v/>
      </c>
      <c r="G55" s="83">
        <f>INDEX($G$5:$G$9,MATCH(D55,$C$5:$C$9,0))</f>
        <v/>
      </c>
      <c r="H55" s="83" t="inlineStr">
        <is>
          <t>24</t>
        </is>
      </c>
      <c r="I55" s="83" t="inlineStr">
        <is>
          <t>2 Bed 1 Bath</t>
        </is>
      </c>
      <c r="J55" s="84" t="n">
        <v>904</v>
      </c>
      <c r="K55" s="83" t="inlineStr">
        <is>
          <t>Vacant</t>
        </is>
      </c>
      <c r="L55" s="85" t="n">
        <v>1200</v>
      </c>
      <c r="M55" s="85">
        <f>Y55</f>
        <v/>
      </c>
      <c r="N55" s="86" t="n"/>
      <c r="O55" s="86" t="n"/>
      <c r="P55" s="86" t="n"/>
      <c r="Q55" s="86" t="n"/>
      <c r="R55" s="85">
        <f>SUM(AB55:AB55)</f>
        <v/>
      </c>
      <c r="S55" s="85" t="n">
        <v>0</v>
      </c>
      <c r="T55" s="85" t="n">
        <v>0</v>
      </c>
      <c r="U55" s="86" t="n"/>
      <c r="V55" s="86" t="n"/>
      <c r="W55" s="86" t="n"/>
      <c r="X55" s="86" t="n"/>
      <c r="Y55" s="85" t="n">
        <v>0</v>
      </c>
      <c r="Z55" s="86" t="n"/>
      <c r="AA55" s="86" t="n"/>
      <c r="AB55" s="86" t="n"/>
    </row>
    <row r="56">
      <c r="A56" s="72">
        <f>$D$22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INDEX($C$5:$C$9,MATCH(I56,$D$5:$D$9,0))</f>
        <v/>
      </c>
      <c r="E56" s="72">
        <f>INDEX($E$5:$E$9,MATCH(D56,$C$5:$C$9,0))</f>
        <v/>
      </c>
      <c r="F56" s="72">
        <f>INDEX($F$5:$F$9,MATCH(D56,$C$5:$C$9,0))</f>
        <v/>
      </c>
      <c r="G56" s="72">
        <f>INDEX($G$5:$G$9,MATCH(D56,$C$5:$C$9,0))</f>
        <v/>
      </c>
      <c r="H56" s="72" t="inlineStr">
        <is>
          <t>25</t>
        </is>
      </c>
      <c r="I56" s="72" t="inlineStr">
        <is>
          <t>2 Bed 1 Bath</t>
        </is>
      </c>
      <c r="J56" s="80" t="n">
        <v>904</v>
      </c>
      <c r="K56" s="72" t="inlineStr">
        <is>
          <t>Nix, Terence</t>
        </is>
      </c>
      <c r="L56" s="81" t="n">
        <v>1325</v>
      </c>
      <c r="M56" s="81">
        <f>Y56</f>
        <v/>
      </c>
      <c r="N56" s="82" t="n">
        <v>42856</v>
      </c>
      <c r="O56" s="82" t="n">
        <v>42856</v>
      </c>
      <c r="P56" s="82" t="n">
        <v>46022</v>
      </c>
      <c r="R56" s="81">
        <f>SUM(AB56:AB56)</f>
        <v/>
      </c>
      <c r="S56" s="81" t="n">
        <v>0</v>
      </c>
      <c r="T56" s="81" t="n">
        <v>0</v>
      </c>
      <c r="Y56" s="81" t="n">
        <v>825</v>
      </c>
      <c r="AB56" s="81" t="n">
        <v>200</v>
      </c>
    </row>
    <row r="57">
      <c r="A57" s="72">
        <f>$D$22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INDEX($C$5:$C$9,MATCH(I57,$D$5:$D$9,0))</f>
        <v/>
      </c>
      <c r="E57" s="72">
        <f>INDEX($E$5:$E$9,MATCH(D57,$C$5:$C$9,0))</f>
        <v/>
      </c>
      <c r="F57" s="72">
        <f>INDEX($F$5:$F$9,MATCH(D57,$C$5:$C$9,0))</f>
        <v/>
      </c>
      <c r="G57" s="72">
        <f>INDEX($G$5:$G$9,MATCH(D57,$C$5:$C$9,0))</f>
        <v/>
      </c>
      <c r="H57" s="72" t="inlineStr">
        <is>
          <t>26</t>
        </is>
      </c>
      <c r="I57" s="72" t="inlineStr">
        <is>
          <t>2 Bed 1 Bath</t>
        </is>
      </c>
      <c r="J57" s="80" t="n">
        <v>904</v>
      </c>
      <c r="K57" s="72" t="inlineStr">
        <is>
          <t>Sandoval, Chelsey</t>
        </is>
      </c>
      <c r="L57" s="81" t="n">
        <v>1325</v>
      </c>
      <c r="M57" s="81">
        <f>Y57</f>
        <v/>
      </c>
      <c r="N57" s="82" t="n">
        <v>46115</v>
      </c>
      <c r="O57" s="82" t="n">
        <v>46115</v>
      </c>
      <c r="P57" s="82" t="n">
        <v>46507</v>
      </c>
      <c r="R57" s="81">
        <f>SUM(AB57:AB57)</f>
        <v/>
      </c>
      <c r="S57" s="81" t="n">
        <v>0</v>
      </c>
      <c r="T57" s="81" t="n">
        <v>0</v>
      </c>
      <c r="Y57" s="81" t="n">
        <v>1250</v>
      </c>
    </row>
    <row r="58">
      <c r="A58" s="72">
        <f>$D$22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INDEX($C$5:$C$9,MATCH(I58,$D$5:$D$9,0))</f>
        <v/>
      </c>
      <c r="E58" s="72">
        <f>INDEX($E$5:$E$9,MATCH(D58,$C$5:$C$9,0))</f>
        <v/>
      </c>
      <c r="F58" s="72">
        <f>INDEX($F$5:$F$9,MATCH(D58,$C$5:$C$9,0))</f>
        <v/>
      </c>
      <c r="G58" s="72">
        <f>INDEX($G$5:$G$9,MATCH(D58,$C$5:$C$9,0))</f>
        <v/>
      </c>
      <c r="H58" s="72" t="inlineStr">
        <is>
          <t>27</t>
        </is>
      </c>
      <c r="I58" s="72" t="inlineStr">
        <is>
          <t>2 Bed 1 Bath</t>
        </is>
      </c>
      <c r="J58" s="80" t="n">
        <v>904</v>
      </c>
      <c r="K58" s="72" t="inlineStr">
        <is>
          <t>Frase, Stephen</t>
        </is>
      </c>
      <c r="L58" s="81" t="n">
        <v>1325</v>
      </c>
      <c r="M58" s="81">
        <f>Y58</f>
        <v/>
      </c>
      <c r="N58" s="82" t="n">
        <v>36800</v>
      </c>
      <c r="O58" s="82" t="n">
        <v>36800</v>
      </c>
      <c r="P58" s="82" t="n">
        <v>46691</v>
      </c>
      <c r="R58" s="81">
        <f>SUM(AB58:AB58)</f>
        <v/>
      </c>
      <c r="S58" s="81" t="n">
        <v>0</v>
      </c>
      <c r="T58" s="81" t="n">
        <v>0</v>
      </c>
      <c r="Y58" s="81" t="n">
        <v>725</v>
      </c>
    </row>
    <row r="59">
      <c r="A59" s="72">
        <f>$D$22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INDEX($C$5:$C$9,MATCH(I59,$D$5:$D$9,0))</f>
        <v/>
      </c>
      <c r="E59" s="72">
        <f>INDEX($E$5:$E$9,MATCH(D59,$C$5:$C$9,0))</f>
        <v/>
      </c>
      <c r="F59" s="72">
        <f>INDEX($F$5:$F$9,MATCH(D59,$C$5:$C$9,0))</f>
        <v/>
      </c>
      <c r="G59" s="72">
        <f>INDEX($G$5:$G$9,MATCH(D59,$C$5:$C$9,0))</f>
        <v/>
      </c>
      <c r="H59" s="72" t="inlineStr">
        <is>
          <t>28</t>
        </is>
      </c>
      <c r="I59" s="72" t="inlineStr">
        <is>
          <t>2 Bed 1 Bath</t>
        </is>
      </c>
      <c r="J59" s="80" t="n">
        <v>904</v>
      </c>
      <c r="K59" s="72" t="inlineStr">
        <is>
          <t>Brown, Nardisha</t>
        </is>
      </c>
      <c r="L59" s="81" t="n">
        <v>1275</v>
      </c>
      <c r="M59" s="81">
        <f>Y59</f>
        <v/>
      </c>
      <c r="N59" s="82" t="n">
        <v>46127</v>
      </c>
      <c r="O59" s="82" t="n">
        <v>46127</v>
      </c>
      <c r="P59" s="82" t="n">
        <v>46507</v>
      </c>
      <c r="R59" s="81">
        <f>SUM(AB59:AB59)</f>
        <v/>
      </c>
      <c r="S59" s="81" t="n">
        <v>0</v>
      </c>
      <c r="T59" s="81" t="n">
        <v>0</v>
      </c>
      <c r="Y59" s="81" t="n">
        <v>1200</v>
      </c>
    </row>
    <row r="60">
      <c r="A60" s="83">
        <f>$D$22</f>
        <v/>
      </c>
      <c r="B60" s="83">
        <f>B59+1</f>
        <v/>
      </c>
      <c r="C60" s="83">
        <f>IF(K60="Vacant","Vac",IF(K60="Model","Model",IF(K60="Admin","Admin",IF(K60="Down","Down",IF(K60="Super","Super","Occ")))))</f>
        <v/>
      </c>
      <c r="D60" s="83">
        <f>INDEX($C$5:$C$9,MATCH(I60,$D$5:$D$9,0))</f>
        <v/>
      </c>
      <c r="E60" s="83">
        <f>INDEX($E$5:$E$9,MATCH(D60,$C$5:$C$9,0))</f>
        <v/>
      </c>
      <c r="F60" s="83">
        <f>INDEX($F$5:$F$9,MATCH(D60,$C$5:$C$9,0))</f>
        <v/>
      </c>
      <c r="G60" s="83">
        <f>INDEX($G$5:$G$9,MATCH(D60,$C$5:$C$9,0))</f>
        <v/>
      </c>
      <c r="H60" s="83" t="inlineStr">
        <is>
          <t>29</t>
        </is>
      </c>
      <c r="I60" s="83" t="inlineStr">
        <is>
          <t>2 Bed 1 Bath</t>
        </is>
      </c>
      <c r="J60" s="84" t="n">
        <v>904</v>
      </c>
      <c r="K60" s="83" t="inlineStr">
        <is>
          <t>Vacant</t>
        </is>
      </c>
      <c r="L60" s="85" t="n">
        <v>1200</v>
      </c>
      <c r="M60" s="85">
        <f>Y60</f>
        <v/>
      </c>
      <c r="N60" s="86" t="n"/>
      <c r="O60" s="86" t="n"/>
      <c r="P60" s="86" t="n"/>
      <c r="Q60" s="86" t="n"/>
      <c r="R60" s="85">
        <f>SUM(AB60:AB60)</f>
        <v/>
      </c>
      <c r="S60" s="85" t="n">
        <v>0</v>
      </c>
      <c r="T60" s="85" t="n">
        <v>0</v>
      </c>
      <c r="U60" s="86" t="n"/>
      <c r="V60" s="86" t="n"/>
      <c r="W60" s="86" t="n"/>
      <c r="X60" s="86" t="n"/>
      <c r="Y60" s="85" t="n">
        <v>0</v>
      </c>
      <c r="Z60" s="86" t="n"/>
      <c r="AA60" s="86" t="n"/>
      <c r="AB60" s="86" t="n"/>
    </row>
    <row r="61">
      <c r="A61" s="72">
        <f>$D$22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INDEX($C$5:$C$9,MATCH(I61,$D$5:$D$9,0))</f>
        <v/>
      </c>
      <c r="E61" s="72">
        <f>INDEX($E$5:$E$9,MATCH(D61,$C$5:$C$9,0))</f>
        <v/>
      </c>
      <c r="F61" s="72">
        <f>INDEX($F$5:$F$9,MATCH(D61,$C$5:$C$9,0))</f>
        <v/>
      </c>
      <c r="G61" s="72">
        <f>INDEX($G$5:$G$9,MATCH(D61,$C$5:$C$9,0))</f>
        <v/>
      </c>
      <c r="H61" s="72" t="inlineStr">
        <is>
          <t>30</t>
        </is>
      </c>
      <c r="I61" s="72" t="inlineStr">
        <is>
          <t>2 Bed 1 Bath</t>
        </is>
      </c>
      <c r="J61" s="80" t="n">
        <v>904</v>
      </c>
      <c r="K61" s="72" t="inlineStr">
        <is>
          <t>Elder (PP), Bobbie jean</t>
        </is>
      </c>
      <c r="L61" s="81" t="n">
        <v>1325</v>
      </c>
      <c r="M61" s="81">
        <f>Y61</f>
        <v/>
      </c>
      <c r="N61" s="82" t="n">
        <v>45231</v>
      </c>
      <c r="O61" s="82" t="n">
        <v>45231</v>
      </c>
      <c r="P61" s="82" t="n">
        <v>46326</v>
      </c>
      <c r="Q61" s="82" t="n">
        <v>46326</v>
      </c>
      <c r="R61" s="81">
        <f>SUM(AB61:AB61)</f>
        <v/>
      </c>
      <c r="S61" s="81" t="n">
        <v>0</v>
      </c>
      <c r="T61" s="81" t="n">
        <v>0</v>
      </c>
      <c r="Y61" s="81" t="n">
        <v>1350</v>
      </c>
    </row>
    <row r="62">
      <c r="A62" s="72">
        <f>$D$22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INDEX($C$5:$C$9,MATCH(I62,$D$5:$D$9,0))</f>
        <v/>
      </c>
      <c r="E62" s="72">
        <f>INDEX($E$5:$E$9,MATCH(D62,$C$5:$C$9,0))</f>
        <v/>
      </c>
      <c r="F62" s="72">
        <f>INDEX($F$5:$F$9,MATCH(D62,$C$5:$C$9,0))</f>
        <v/>
      </c>
      <c r="G62" s="72">
        <f>INDEX($G$5:$G$9,MATCH(D62,$C$5:$C$9,0))</f>
        <v/>
      </c>
      <c r="H62" s="72" t="inlineStr">
        <is>
          <t>31</t>
        </is>
      </c>
      <c r="I62" s="72" t="inlineStr">
        <is>
          <t>2 Bed 1 Bath</t>
        </is>
      </c>
      <c r="J62" s="80" t="n">
        <v>904</v>
      </c>
      <c r="K62" s="72" t="inlineStr">
        <is>
          <t>Land (BEL), Starlette</t>
        </is>
      </c>
      <c r="L62" s="81" t="n">
        <v>1325</v>
      </c>
      <c r="M62" s="81">
        <f>Y62</f>
        <v/>
      </c>
      <c r="N62" s="82" t="n">
        <v>43132</v>
      </c>
      <c r="O62" s="82" t="n">
        <v>43132</v>
      </c>
      <c r="P62" s="82" t="n">
        <v>46507</v>
      </c>
      <c r="R62" s="81">
        <f>SUM(AB62:AB62)</f>
        <v/>
      </c>
      <c r="S62" s="81" t="n">
        <v>0</v>
      </c>
      <c r="T62" s="81" t="n">
        <v>0</v>
      </c>
      <c r="Y62" s="81" t="n">
        <v>1050</v>
      </c>
    </row>
    <row r="63">
      <c r="A63" s="72">
        <f>$D$22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INDEX($C$5:$C$9,MATCH(I63,$D$5:$D$9,0))</f>
        <v/>
      </c>
      <c r="E63" s="72">
        <f>INDEX($E$5:$E$9,MATCH(D63,$C$5:$C$9,0))</f>
        <v/>
      </c>
      <c r="F63" s="72">
        <f>INDEX($F$5:$F$9,MATCH(D63,$C$5:$C$9,0))</f>
        <v/>
      </c>
      <c r="G63" s="72">
        <f>INDEX($G$5:$G$9,MATCH(D63,$C$5:$C$9,0))</f>
        <v/>
      </c>
      <c r="H63" s="72" t="inlineStr">
        <is>
          <t>32</t>
        </is>
      </c>
      <c r="I63" s="72" t="inlineStr">
        <is>
          <t>2 Bed 1 Bath</t>
        </is>
      </c>
      <c r="J63" s="80" t="n">
        <v>904</v>
      </c>
      <c r="K63" s="72" t="inlineStr">
        <is>
          <t>Gravely (BEL), Jazzlyn</t>
        </is>
      </c>
      <c r="L63" s="81" t="n">
        <v>1325</v>
      </c>
      <c r="M63" s="81">
        <f>Y63</f>
        <v/>
      </c>
      <c r="N63" s="82" t="n">
        <v>45962</v>
      </c>
      <c r="O63" s="82" t="n">
        <v>45962</v>
      </c>
      <c r="P63" s="82" t="n">
        <v>46691</v>
      </c>
      <c r="R63" s="81">
        <f>SUM(AB63:AB63)</f>
        <v/>
      </c>
      <c r="S63" s="81" t="n">
        <v>0</v>
      </c>
      <c r="T63" s="81" t="n">
        <v>0</v>
      </c>
      <c r="Y63" s="81" t="n">
        <v>1325</v>
      </c>
    </row>
    <row r="64">
      <c r="A64" s="72">
        <f>$D$22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INDEX($C$5:$C$9,MATCH(I64,$D$5:$D$9,0))</f>
        <v/>
      </c>
      <c r="E64" s="72">
        <f>INDEX($E$5:$E$9,MATCH(D64,$C$5:$C$9,0))</f>
        <v/>
      </c>
      <c r="F64" s="72">
        <f>INDEX($F$5:$F$9,MATCH(D64,$C$5:$C$9,0))</f>
        <v/>
      </c>
      <c r="G64" s="72">
        <f>INDEX($G$5:$G$9,MATCH(D64,$C$5:$C$9,0))</f>
        <v/>
      </c>
      <c r="H64" s="72" t="inlineStr">
        <is>
          <t>33</t>
        </is>
      </c>
      <c r="I64" s="72" t="inlineStr">
        <is>
          <t>2 Bed 1 Bath</t>
        </is>
      </c>
      <c r="J64" s="80" t="n">
        <v>904</v>
      </c>
      <c r="K64" s="72" t="inlineStr">
        <is>
          <t>Marshall, Jonathan</t>
        </is>
      </c>
      <c r="L64" s="81" t="n">
        <v>1325</v>
      </c>
      <c r="M64" s="81">
        <f>Y64</f>
        <v/>
      </c>
      <c r="N64" s="82" t="n">
        <v>38018</v>
      </c>
      <c r="O64" s="82" t="n">
        <v>38018</v>
      </c>
      <c r="P64" s="82" t="n">
        <v>46660</v>
      </c>
      <c r="R64" s="81">
        <f>SUM(AB64:AB64)</f>
        <v/>
      </c>
      <c r="S64" s="81" t="n">
        <v>0</v>
      </c>
      <c r="T64" s="81" t="n">
        <v>0</v>
      </c>
      <c r="Y64" s="81" t="n">
        <v>1100</v>
      </c>
    </row>
    <row r="65">
      <c r="A65" s="72">
        <f>$D$22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INDEX($C$5:$C$9,MATCH(I65,$D$5:$D$9,0))</f>
        <v/>
      </c>
      <c r="E65" s="72">
        <f>INDEX($E$5:$E$9,MATCH(D65,$C$5:$C$9,0))</f>
        <v/>
      </c>
      <c r="F65" s="72">
        <f>INDEX($F$5:$F$9,MATCH(D65,$C$5:$C$9,0))</f>
        <v/>
      </c>
      <c r="G65" s="72">
        <f>INDEX($G$5:$G$9,MATCH(D65,$C$5:$C$9,0))</f>
        <v/>
      </c>
      <c r="H65" s="72" t="inlineStr">
        <is>
          <t>34</t>
        </is>
      </c>
      <c r="I65" s="72" t="inlineStr">
        <is>
          <t>2 Bed 1 Bath</t>
        </is>
      </c>
      <c r="J65" s="80" t="n">
        <v>904</v>
      </c>
      <c r="K65" s="72" t="inlineStr">
        <is>
          <t>Drayton, Rayshel</t>
        </is>
      </c>
      <c r="L65" s="81" t="n">
        <v>1275</v>
      </c>
      <c r="M65" s="81">
        <f>Y65</f>
        <v/>
      </c>
      <c r="N65" s="82" t="n">
        <v>45792</v>
      </c>
      <c r="O65" s="82" t="n">
        <v>45792</v>
      </c>
      <c r="P65" s="82" t="n">
        <v>46538</v>
      </c>
      <c r="R65" s="81">
        <f>SUM(AB65:AB65)</f>
        <v/>
      </c>
      <c r="S65" s="81" t="n">
        <v>0</v>
      </c>
      <c r="T65" s="81" t="n">
        <v>0</v>
      </c>
      <c r="Y65" s="81" t="n">
        <v>1275</v>
      </c>
    </row>
    <row r="66">
      <c r="A66" s="72">
        <f>$D$22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INDEX($C$5:$C$9,MATCH(I66,$D$5:$D$9,0))</f>
        <v/>
      </c>
      <c r="E66" s="72">
        <f>INDEX($E$5:$E$9,MATCH(D66,$C$5:$C$9,0))</f>
        <v/>
      </c>
      <c r="F66" s="72">
        <f>INDEX($F$5:$F$9,MATCH(D66,$C$5:$C$9,0))</f>
        <v/>
      </c>
      <c r="G66" s="72">
        <f>INDEX($G$5:$G$9,MATCH(D66,$C$5:$C$9,0))</f>
        <v/>
      </c>
      <c r="H66" s="72" t="inlineStr">
        <is>
          <t>35</t>
        </is>
      </c>
      <c r="I66" s="72" t="inlineStr">
        <is>
          <t>2 Bed 1 Bath</t>
        </is>
      </c>
      <c r="J66" s="80" t="n">
        <v>904</v>
      </c>
      <c r="K66" s="72" t="inlineStr">
        <is>
          <t>Simmons-Mallory, Kimberly</t>
        </is>
      </c>
      <c r="L66" s="81" t="n">
        <v>1325</v>
      </c>
      <c r="M66" s="81">
        <f>Y66</f>
        <v/>
      </c>
      <c r="N66" s="82" t="n">
        <v>42227</v>
      </c>
      <c r="O66" s="82" t="n">
        <v>42227</v>
      </c>
      <c r="P66" s="82" t="n">
        <v>46295</v>
      </c>
      <c r="R66" s="81">
        <f>SUM(AB66:AB66)</f>
        <v/>
      </c>
      <c r="S66" s="81" t="n">
        <v>0</v>
      </c>
      <c r="T66" s="81" t="n">
        <v>0</v>
      </c>
      <c r="Y66" s="81" t="n">
        <v>1125</v>
      </c>
    </row>
    <row r="67">
      <c r="A67" s="72">
        <f>$D$22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INDEX($C$5:$C$9,MATCH(I67,$D$5:$D$9,0))</f>
        <v/>
      </c>
      <c r="E67" s="72">
        <f>INDEX($E$5:$E$9,MATCH(D67,$C$5:$C$9,0))</f>
        <v/>
      </c>
      <c r="F67" s="72">
        <f>INDEX($F$5:$F$9,MATCH(D67,$C$5:$C$9,0))</f>
        <v/>
      </c>
      <c r="G67" s="72">
        <f>INDEX($G$5:$G$9,MATCH(D67,$C$5:$C$9,0))</f>
        <v/>
      </c>
      <c r="H67" s="72" t="inlineStr">
        <is>
          <t>36</t>
        </is>
      </c>
      <c r="I67" s="72" t="inlineStr">
        <is>
          <t>2 Bed 1 Bath</t>
        </is>
      </c>
      <c r="J67" s="80" t="n">
        <v>904</v>
      </c>
      <c r="K67" s="72" t="inlineStr">
        <is>
          <t>Dejesus, Jamira</t>
        </is>
      </c>
      <c r="L67" s="81" t="n">
        <v>1325</v>
      </c>
      <c r="M67" s="81">
        <f>Y67</f>
        <v/>
      </c>
      <c r="N67" s="82" t="n">
        <v>46143</v>
      </c>
      <c r="O67" s="82" t="n">
        <v>46143</v>
      </c>
      <c r="P67" s="82" t="n">
        <v>46507</v>
      </c>
      <c r="R67" s="81">
        <f>SUM(AB67:AB67)</f>
        <v/>
      </c>
      <c r="S67" s="81" t="n">
        <v>0</v>
      </c>
      <c r="T67" s="81" t="n">
        <v>0</v>
      </c>
      <c r="Y67" s="81" t="n">
        <v>1250</v>
      </c>
    </row>
    <row r="68">
      <c r="A68" s="72">
        <f>$D$22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INDEX($C$5:$C$9,MATCH(I68,$D$5:$D$9,0))</f>
        <v/>
      </c>
      <c r="E68" s="72">
        <f>INDEX($E$5:$E$9,MATCH(D68,$C$5:$C$9,0))</f>
        <v/>
      </c>
      <c r="F68" s="72">
        <f>INDEX($F$5:$F$9,MATCH(D68,$C$5:$C$9,0))</f>
        <v/>
      </c>
      <c r="G68" s="72">
        <f>INDEX($G$5:$G$9,MATCH(D68,$C$5:$C$9,0))</f>
        <v/>
      </c>
      <c r="H68" s="72" t="inlineStr">
        <is>
          <t>37</t>
        </is>
      </c>
      <c r="I68" s="72" t="inlineStr">
        <is>
          <t>2 Bed 1 Bath</t>
        </is>
      </c>
      <c r="J68" s="80" t="n">
        <v>904</v>
      </c>
      <c r="K68" s="72" t="inlineStr">
        <is>
          <t>Copland (TSI), Christopher</t>
        </is>
      </c>
      <c r="L68" s="81" t="n">
        <v>1325</v>
      </c>
      <c r="M68" s="81">
        <f>Y68</f>
        <v/>
      </c>
      <c r="N68" s="82" t="n">
        <v>44516</v>
      </c>
      <c r="O68" s="82" t="n">
        <v>44516</v>
      </c>
      <c r="P68" s="82" t="n">
        <v>46356</v>
      </c>
      <c r="R68" s="81">
        <f>SUM(AB68:AB68)</f>
        <v/>
      </c>
      <c r="S68" s="81" t="n">
        <v>0</v>
      </c>
      <c r="T68" s="81" t="n">
        <v>0</v>
      </c>
      <c r="Y68" s="81" t="n">
        <v>1450</v>
      </c>
    </row>
    <row r="69">
      <c r="A69" s="72">
        <f>$D$22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INDEX($C$5:$C$9,MATCH(I69,$D$5:$D$9,0))</f>
        <v/>
      </c>
      <c r="E69" s="72">
        <f>INDEX($E$5:$E$9,MATCH(D69,$C$5:$C$9,0))</f>
        <v/>
      </c>
      <c r="F69" s="72">
        <f>INDEX($F$5:$F$9,MATCH(D69,$C$5:$C$9,0))</f>
        <v/>
      </c>
      <c r="G69" s="72">
        <f>INDEX($G$5:$G$9,MATCH(D69,$C$5:$C$9,0))</f>
        <v/>
      </c>
      <c r="H69" s="72" t="inlineStr">
        <is>
          <t>38</t>
        </is>
      </c>
      <c r="I69" s="72" t="inlineStr">
        <is>
          <t>2 Bed 1 Bath</t>
        </is>
      </c>
      <c r="J69" s="80" t="n">
        <v>1250</v>
      </c>
      <c r="K69" s="72" t="inlineStr">
        <is>
          <t>Mazhindu, Timothy</t>
        </is>
      </c>
      <c r="L69" s="81" t="n">
        <v>1325</v>
      </c>
      <c r="M69" s="81">
        <f>Y69</f>
        <v/>
      </c>
      <c r="N69" s="82" t="n">
        <v>45457</v>
      </c>
      <c r="O69" s="82" t="n">
        <v>45457</v>
      </c>
      <c r="P69" s="82" t="n">
        <v>46203</v>
      </c>
      <c r="R69" s="81">
        <f>SUM(AB69:AB69)</f>
        <v/>
      </c>
      <c r="S69" s="81" t="n">
        <v>0</v>
      </c>
      <c r="T69" s="81" t="n">
        <v>0</v>
      </c>
      <c r="Y69" s="81" t="n">
        <v>1400</v>
      </c>
    </row>
    <row r="70">
      <c r="A70" s="72">
        <f>$D$22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INDEX($C$5:$C$9,MATCH(I70,$D$5:$D$9,0))</f>
        <v/>
      </c>
      <c r="E70" s="72">
        <f>INDEX($E$5:$E$9,MATCH(D70,$C$5:$C$9,0))</f>
        <v/>
      </c>
      <c r="F70" s="72">
        <f>INDEX($F$5:$F$9,MATCH(D70,$C$5:$C$9,0))</f>
        <v/>
      </c>
      <c r="G70" s="72">
        <f>INDEX($G$5:$G$9,MATCH(D70,$C$5:$C$9,0))</f>
        <v/>
      </c>
      <c r="H70" s="72" t="inlineStr">
        <is>
          <t>39</t>
        </is>
      </c>
      <c r="I70" s="72" t="inlineStr">
        <is>
          <t>2 Bed 1 Bath</t>
        </is>
      </c>
      <c r="J70" s="80" t="n">
        <v>904</v>
      </c>
      <c r="K70" s="72" t="inlineStr">
        <is>
          <t>Rosado (BEL), Iraisa</t>
        </is>
      </c>
      <c r="L70" s="81" t="n">
        <v>1275</v>
      </c>
      <c r="M70" s="81">
        <f>Y70</f>
        <v/>
      </c>
      <c r="N70" s="82" t="n">
        <v>45807</v>
      </c>
      <c r="O70" s="82" t="n">
        <v>45807</v>
      </c>
      <c r="P70" s="82" t="n">
        <v>46173</v>
      </c>
      <c r="R70" s="81">
        <f>SUM(AB70:AB70)</f>
        <v/>
      </c>
      <c r="S70" s="81" t="n">
        <v>0</v>
      </c>
      <c r="T70" s="81" t="n">
        <v>0</v>
      </c>
      <c r="Y70" s="81" t="n">
        <v>1275</v>
      </c>
    </row>
    <row r="71">
      <c r="A71" s="83">
        <f>$D$22</f>
        <v/>
      </c>
      <c r="B71" s="83">
        <f>B70+1</f>
        <v/>
      </c>
      <c r="C71" s="83">
        <f>IF(K71="Vacant","Vac",IF(K71="Model","Model",IF(K71="Admin","Admin",IF(K71="Down","Down",IF(K71="Super","Super","Occ")))))</f>
        <v/>
      </c>
      <c r="D71" s="83">
        <f>INDEX($C$5:$C$9,MATCH(I71,$D$5:$D$9,0))</f>
        <v/>
      </c>
      <c r="E71" s="83">
        <f>INDEX($E$5:$E$9,MATCH(D71,$C$5:$C$9,0))</f>
        <v/>
      </c>
      <c r="F71" s="83">
        <f>INDEX($F$5:$F$9,MATCH(D71,$C$5:$C$9,0))</f>
        <v/>
      </c>
      <c r="G71" s="83">
        <f>INDEX($G$5:$G$9,MATCH(D71,$C$5:$C$9,0))</f>
        <v/>
      </c>
      <c r="H71" s="83" t="inlineStr">
        <is>
          <t>40</t>
        </is>
      </c>
      <c r="I71" s="83" t="inlineStr">
        <is>
          <t>3 Bed 1.5 Bath</t>
        </is>
      </c>
      <c r="J71" s="84" t="n">
        <v>1076</v>
      </c>
      <c r="K71" s="83" t="inlineStr">
        <is>
          <t>Vacant</t>
        </is>
      </c>
      <c r="L71" s="85" t="n">
        <v>1200</v>
      </c>
      <c r="M71" s="85">
        <f>Y71</f>
        <v/>
      </c>
      <c r="N71" s="86" t="n"/>
      <c r="O71" s="86" t="n"/>
      <c r="P71" s="86" t="n"/>
      <c r="Q71" s="86" t="n"/>
      <c r="R71" s="85">
        <f>SUM(AB71:AB71)</f>
        <v/>
      </c>
      <c r="S71" s="85" t="n">
        <v>0</v>
      </c>
      <c r="T71" s="85" t="n">
        <v>0</v>
      </c>
      <c r="U71" s="86" t="n"/>
      <c r="V71" s="86" t="n"/>
      <c r="W71" s="86" t="n"/>
      <c r="X71" s="86" t="n"/>
      <c r="Y71" s="85" t="n">
        <v>0</v>
      </c>
      <c r="Z71" s="86" t="n"/>
      <c r="AA71" s="86" t="n"/>
      <c r="AB71" s="86" t="n"/>
    </row>
    <row r="72">
      <c r="A72" s="72">
        <f>$D$22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INDEX($C$5:$C$9,MATCH(I72,$D$5:$D$9,0))</f>
        <v/>
      </c>
      <c r="E72" s="72">
        <f>INDEX($E$5:$E$9,MATCH(D72,$C$5:$C$9,0))</f>
        <v/>
      </c>
      <c r="F72" s="72">
        <f>INDEX($F$5:$F$9,MATCH(D72,$C$5:$C$9,0))</f>
        <v/>
      </c>
      <c r="G72" s="72">
        <f>INDEX($G$5:$G$9,MATCH(D72,$C$5:$C$9,0))</f>
        <v/>
      </c>
      <c r="H72" s="72" t="inlineStr">
        <is>
          <t>41</t>
        </is>
      </c>
      <c r="I72" s="72" t="inlineStr">
        <is>
          <t>3 Bed 1.5 Bath</t>
        </is>
      </c>
      <c r="J72" s="80" t="n">
        <v>1400</v>
      </c>
      <c r="K72" s="72" t="inlineStr">
        <is>
          <t>Anderson BMHA, Nicole</t>
        </is>
      </c>
      <c r="L72" s="81" t="n">
        <v>1450</v>
      </c>
      <c r="M72" s="81">
        <f>Y72</f>
        <v/>
      </c>
      <c r="N72" s="82" t="n">
        <v>46220</v>
      </c>
      <c r="O72" s="82" t="n">
        <v>46220</v>
      </c>
      <c r="P72" s="82" t="n">
        <v>46599</v>
      </c>
      <c r="R72" s="81">
        <f>SUM(AB72:AB72)</f>
        <v/>
      </c>
      <c r="S72" s="81" t="n">
        <v>0</v>
      </c>
      <c r="T72" s="81" t="n">
        <v>0</v>
      </c>
      <c r="Y72" s="81" t="n">
        <v>1200</v>
      </c>
    </row>
    <row r="73">
      <c r="A73" s="72">
        <f>$D$22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INDEX($C$5:$C$9,MATCH(I73,$D$5:$D$9,0))</f>
        <v/>
      </c>
      <c r="E73" s="72">
        <f>INDEX($E$5:$E$9,MATCH(D73,$C$5:$C$9,0))</f>
        <v/>
      </c>
      <c r="F73" s="72">
        <f>INDEX($F$5:$F$9,MATCH(D73,$C$5:$C$9,0))</f>
        <v/>
      </c>
      <c r="G73" s="72">
        <f>INDEX($G$5:$G$9,MATCH(D73,$C$5:$C$9,0))</f>
        <v/>
      </c>
      <c r="H73" s="72" t="inlineStr">
        <is>
          <t>42</t>
        </is>
      </c>
      <c r="I73" s="72" t="inlineStr">
        <is>
          <t>2 Bed 1 Bath</t>
        </is>
      </c>
      <c r="J73" s="80" t="n">
        <v>904</v>
      </c>
      <c r="K73" s="72" t="inlineStr">
        <is>
          <t>Brown, Darius</t>
        </is>
      </c>
      <c r="L73" s="81" t="n">
        <v>1325</v>
      </c>
      <c r="M73" s="81">
        <f>Y73</f>
        <v/>
      </c>
      <c r="N73" s="82" t="n">
        <v>46081</v>
      </c>
      <c r="O73" s="82" t="n">
        <v>46081</v>
      </c>
      <c r="P73" s="82" t="n">
        <v>46446</v>
      </c>
      <c r="R73" s="81">
        <f>SUM(AB73:AB73)</f>
        <v/>
      </c>
      <c r="S73" s="81" t="n">
        <v>0</v>
      </c>
      <c r="T73" s="81" t="n">
        <v>0</v>
      </c>
      <c r="Y73" s="81" t="n">
        <v>1295</v>
      </c>
    </row>
    <row r="74">
      <c r="A74" s="72">
        <f>$D$22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INDEX($C$5:$C$9,MATCH(I74,$D$5:$D$9,0))</f>
        <v/>
      </c>
      <c r="E74" s="72">
        <f>INDEX($E$5:$E$9,MATCH(D74,$C$5:$C$9,0))</f>
        <v/>
      </c>
      <c r="F74" s="72">
        <f>INDEX($F$5:$F$9,MATCH(D74,$C$5:$C$9,0))</f>
        <v/>
      </c>
      <c r="G74" s="72">
        <f>INDEX($G$5:$G$9,MATCH(D74,$C$5:$C$9,0))</f>
        <v/>
      </c>
      <c r="H74" s="72" t="inlineStr">
        <is>
          <t>43</t>
        </is>
      </c>
      <c r="I74" s="72" t="inlineStr">
        <is>
          <t>2 Bed 1 Bath</t>
        </is>
      </c>
      <c r="J74" s="80" t="n">
        <v>940</v>
      </c>
      <c r="K74" s="72" t="inlineStr">
        <is>
          <t>Nyamuke, Adoni</t>
        </is>
      </c>
      <c r="L74" s="81" t="n">
        <v>1325</v>
      </c>
      <c r="M74" s="81">
        <f>Y74</f>
        <v/>
      </c>
      <c r="N74" s="82" t="n">
        <v>44113</v>
      </c>
      <c r="O74" s="82" t="n">
        <v>44113</v>
      </c>
      <c r="P74" s="82" t="n">
        <v>46326</v>
      </c>
      <c r="R74" s="81">
        <f>SUM(AB74:AB74)</f>
        <v/>
      </c>
      <c r="S74" s="81" t="n">
        <v>0</v>
      </c>
      <c r="T74" s="81" t="n">
        <v>0</v>
      </c>
      <c r="Y74" s="81" t="n">
        <v>1225</v>
      </c>
    </row>
    <row r="75">
      <c r="A75" s="72">
        <f>$D$22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INDEX($C$5:$C$9,MATCH(I75,$D$5:$D$9,0))</f>
        <v/>
      </c>
      <c r="E75" s="72">
        <f>INDEX($E$5:$E$9,MATCH(D75,$C$5:$C$9,0))</f>
        <v/>
      </c>
      <c r="F75" s="72">
        <f>INDEX($F$5:$F$9,MATCH(D75,$C$5:$C$9,0))</f>
        <v/>
      </c>
      <c r="G75" s="72">
        <f>INDEX($G$5:$G$9,MATCH(D75,$C$5:$C$9,0))</f>
        <v/>
      </c>
      <c r="H75" s="72" t="inlineStr">
        <is>
          <t>44</t>
        </is>
      </c>
      <c r="I75" s="72" t="inlineStr">
        <is>
          <t>2 Bed 1 Bath</t>
        </is>
      </c>
      <c r="J75" s="80" t="n">
        <v>904</v>
      </c>
      <c r="K75" s="72" t="inlineStr">
        <is>
          <t>Gregory, Shanay</t>
        </is>
      </c>
      <c r="L75" s="81" t="n">
        <v>1325</v>
      </c>
      <c r="M75" s="81">
        <f>Y75</f>
        <v/>
      </c>
      <c r="N75" s="82" t="n">
        <v>46188</v>
      </c>
      <c r="O75" s="82" t="n">
        <v>46188</v>
      </c>
      <c r="P75" s="82" t="n">
        <v>46568</v>
      </c>
      <c r="R75" s="81">
        <f>SUM(AB75:AB75)</f>
        <v/>
      </c>
      <c r="S75" s="81" t="n">
        <v>0</v>
      </c>
      <c r="T75" s="81" t="n">
        <v>0</v>
      </c>
      <c r="Y75" s="81" t="n">
        <v>1250</v>
      </c>
    </row>
    <row r="76">
      <c r="A76" s="72">
        <f>$D$22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INDEX($C$5:$C$9,MATCH(I76,$D$5:$D$9,0))</f>
        <v/>
      </c>
      <c r="E76" s="72">
        <f>INDEX($E$5:$E$9,MATCH(D76,$C$5:$C$9,0))</f>
        <v/>
      </c>
      <c r="F76" s="72">
        <f>INDEX($F$5:$F$9,MATCH(D76,$C$5:$C$9,0))</f>
        <v/>
      </c>
      <c r="G76" s="72">
        <f>INDEX($G$5:$G$9,MATCH(D76,$C$5:$C$9,0))</f>
        <v/>
      </c>
      <c r="H76" s="72" t="inlineStr">
        <is>
          <t>45</t>
        </is>
      </c>
      <c r="I76" s="72" t="inlineStr">
        <is>
          <t>2 Bed 1 Bath</t>
        </is>
      </c>
      <c r="J76" s="80" t="n">
        <v>904</v>
      </c>
      <c r="K76" s="72" t="inlineStr">
        <is>
          <t>Sessum, Brittany</t>
        </is>
      </c>
      <c r="L76" s="81" t="n">
        <v>1325</v>
      </c>
      <c r="M76" s="81">
        <f>Y76</f>
        <v/>
      </c>
      <c r="N76" s="82" t="n">
        <v>44564</v>
      </c>
      <c r="O76" s="82" t="n">
        <v>44564</v>
      </c>
      <c r="P76" s="82" t="n">
        <v>46387</v>
      </c>
      <c r="R76" s="81">
        <f>SUM(AB76:AB76)</f>
        <v/>
      </c>
      <c r="S76" s="81" t="n">
        <v>0</v>
      </c>
      <c r="T76" s="81" t="n">
        <v>0</v>
      </c>
      <c r="Y76" s="81" t="n">
        <v>1395</v>
      </c>
    </row>
    <row r="77">
      <c r="A77" s="72">
        <f>$D$22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INDEX($C$5:$C$9,MATCH(I77,$D$5:$D$9,0))</f>
        <v/>
      </c>
      <c r="E77" s="72">
        <f>INDEX($E$5:$E$9,MATCH(D77,$C$5:$C$9,0))</f>
        <v/>
      </c>
      <c r="F77" s="72">
        <f>INDEX($F$5:$F$9,MATCH(D77,$C$5:$C$9,0))</f>
        <v/>
      </c>
      <c r="G77" s="72">
        <f>INDEX($G$5:$G$9,MATCH(D77,$C$5:$C$9,0))</f>
        <v/>
      </c>
      <c r="H77" s="72" t="inlineStr">
        <is>
          <t>46</t>
        </is>
      </c>
      <c r="I77" s="72" t="inlineStr">
        <is>
          <t>2 Bed 1 Bath</t>
        </is>
      </c>
      <c r="J77" s="80" t="n">
        <v>904</v>
      </c>
      <c r="K77" s="72" t="inlineStr">
        <is>
          <t>Osby, Tierra</t>
        </is>
      </c>
      <c r="L77" s="81" t="n">
        <v>1325</v>
      </c>
      <c r="M77" s="81">
        <f>Y77</f>
        <v/>
      </c>
      <c r="N77" s="82" t="n">
        <v>42781</v>
      </c>
      <c r="O77" s="82" t="n">
        <v>42781</v>
      </c>
      <c r="P77" s="82" t="n">
        <v>46203</v>
      </c>
      <c r="Q77" s="82" t="n">
        <v>46295</v>
      </c>
      <c r="R77" s="81">
        <f>SUM(AB77:AB77)</f>
        <v/>
      </c>
      <c r="S77" s="81" t="n">
        <v>0</v>
      </c>
      <c r="T77" s="81" t="n">
        <v>0</v>
      </c>
      <c r="Y77" s="81" t="n">
        <v>1025</v>
      </c>
    </row>
    <row r="78">
      <c r="A78" s="72">
        <f>$D$22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INDEX($C$5:$C$9,MATCH(I78,$D$5:$D$9,0))</f>
        <v/>
      </c>
      <c r="E78" s="72">
        <f>INDEX($E$5:$E$9,MATCH(D78,$C$5:$C$9,0))</f>
        <v/>
      </c>
      <c r="F78" s="72">
        <f>INDEX($F$5:$F$9,MATCH(D78,$C$5:$C$9,0))</f>
        <v/>
      </c>
      <c r="G78" s="72">
        <f>INDEX($G$5:$G$9,MATCH(D78,$C$5:$C$9,0))</f>
        <v/>
      </c>
      <c r="H78" s="72" t="inlineStr">
        <is>
          <t>47</t>
        </is>
      </c>
      <c r="I78" s="72" t="inlineStr">
        <is>
          <t>2 Bed 1 Bath</t>
        </is>
      </c>
      <c r="J78" s="80" t="n">
        <v>904</v>
      </c>
      <c r="K78" s="72" t="inlineStr">
        <is>
          <t>White (BEL), Kimberly</t>
        </is>
      </c>
      <c r="L78" s="81" t="n">
        <v>1325</v>
      </c>
      <c r="M78" s="81">
        <f>Y78</f>
        <v/>
      </c>
      <c r="N78" s="82" t="n">
        <v>42095</v>
      </c>
      <c r="O78" s="82" t="n">
        <v>42095</v>
      </c>
      <c r="P78" s="82" t="n">
        <v>46418</v>
      </c>
      <c r="R78" s="81">
        <f>SUM(AB78:AB78)</f>
        <v/>
      </c>
      <c r="S78" s="81" t="n">
        <v>0</v>
      </c>
      <c r="T78" s="81" t="n">
        <v>0</v>
      </c>
      <c r="Y78" s="81" t="n">
        <v>1175</v>
      </c>
    </row>
    <row r="79">
      <c r="A79" s="72">
        <f>$D$22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INDEX($C$5:$C$9,MATCH(I79,$D$5:$D$9,0))</f>
        <v/>
      </c>
      <c r="E79" s="72">
        <f>INDEX($E$5:$E$9,MATCH(D79,$C$5:$C$9,0))</f>
        <v/>
      </c>
      <c r="F79" s="72">
        <f>INDEX($F$5:$F$9,MATCH(D79,$C$5:$C$9,0))</f>
        <v/>
      </c>
      <c r="G79" s="72">
        <f>INDEX($G$5:$G$9,MATCH(D79,$C$5:$C$9,0))</f>
        <v/>
      </c>
      <c r="H79" s="72" t="inlineStr">
        <is>
          <t>48</t>
        </is>
      </c>
      <c r="I79" s="72" t="inlineStr">
        <is>
          <t>2 Bed 1 Bath</t>
        </is>
      </c>
      <c r="J79" s="80" t="n">
        <v>904</v>
      </c>
      <c r="K79" s="72" t="inlineStr">
        <is>
          <t>Meadows, Torriana</t>
        </is>
      </c>
      <c r="L79" s="81" t="n">
        <v>1325</v>
      </c>
      <c r="M79" s="81">
        <f>Y79</f>
        <v/>
      </c>
      <c r="N79" s="82" t="n">
        <v>46174</v>
      </c>
      <c r="O79" s="82" t="n">
        <v>46174</v>
      </c>
      <c r="P79" s="82" t="n">
        <v>46538</v>
      </c>
      <c r="R79" s="81">
        <f>SUM(AB79:AB79)</f>
        <v/>
      </c>
      <c r="S79" s="81" t="n">
        <v>0</v>
      </c>
      <c r="T79" s="81" t="n">
        <v>0</v>
      </c>
      <c r="Y79" s="81" t="n">
        <v>1250</v>
      </c>
    </row>
    <row r="80">
      <c r="A80" s="72">
        <f>$D$22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INDEX($C$5:$C$9,MATCH(I80,$D$5:$D$9,0))</f>
        <v/>
      </c>
      <c r="E80" s="72">
        <f>INDEX($E$5:$E$9,MATCH(D80,$C$5:$C$9,0))</f>
        <v/>
      </c>
      <c r="F80" s="72">
        <f>INDEX($F$5:$F$9,MATCH(D80,$C$5:$C$9,0))</f>
        <v/>
      </c>
      <c r="G80" s="72">
        <f>INDEX($G$5:$G$9,MATCH(D80,$C$5:$C$9,0))</f>
        <v/>
      </c>
      <c r="H80" s="72" t="inlineStr">
        <is>
          <t>49</t>
        </is>
      </c>
      <c r="I80" s="72" t="inlineStr">
        <is>
          <t>2 Bed 1 Bath</t>
        </is>
      </c>
      <c r="J80" s="80" t="n">
        <v>904</v>
      </c>
      <c r="K80" s="72" t="inlineStr">
        <is>
          <t>Proctor (BEL), Reona</t>
        </is>
      </c>
      <c r="L80" s="81" t="n">
        <v>1325</v>
      </c>
      <c r="M80" s="81">
        <f>Y80</f>
        <v/>
      </c>
      <c r="N80" s="82" t="n">
        <v>45722</v>
      </c>
      <c r="O80" s="82" t="n">
        <v>45722</v>
      </c>
      <c r="P80" s="82" t="n">
        <v>46446</v>
      </c>
      <c r="R80" s="81">
        <f>SUM(AB80:AB80)</f>
        <v/>
      </c>
      <c r="S80" s="81" t="n">
        <v>0</v>
      </c>
      <c r="T80" s="81" t="n">
        <v>0</v>
      </c>
      <c r="Y80" s="81" t="n">
        <v>1230</v>
      </c>
    </row>
    <row r="81">
      <c r="A81" s="72">
        <f>$D$22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INDEX($C$5:$C$9,MATCH(I81,$D$5:$D$9,0))</f>
        <v/>
      </c>
      <c r="E81" s="72">
        <f>INDEX($E$5:$E$9,MATCH(D81,$C$5:$C$9,0))</f>
        <v/>
      </c>
      <c r="F81" s="72">
        <f>INDEX($F$5:$F$9,MATCH(D81,$C$5:$C$9,0))</f>
        <v/>
      </c>
      <c r="G81" s="72">
        <f>INDEX($G$5:$G$9,MATCH(D81,$C$5:$C$9,0))</f>
        <v/>
      </c>
      <c r="H81" s="72" t="inlineStr">
        <is>
          <t>50</t>
        </is>
      </c>
      <c r="I81" s="72" t="inlineStr">
        <is>
          <t>2 Bed 1 Bath</t>
        </is>
      </c>
      <c r="J81" s="80" t="n">
        <v>904</v>
      </c>
      <c r="K81" s="72" t="inlineStr">
        <is>
          <t>Carter, Christina</t>
        </is>
      </c>
      <c r="L81" s="81" t="n">
        <v>1325</v>
      </c>
      <c r="M81" s="81">
        <f>Y81</f>
        <v/>
      </c>
      <c r="N81" s="82" t="n">
        <v>43435</v>
      </c>
      <c r="O81" s="82" t="n">
        <v>43435</v>
      </c>
      <c r="P81" s="82" t="n">
        <v>46356</v>
      </c>
      <c r="R81" s="81">
        <f>SUM(AB81:AB81)</f>
        <v/>
      </c>
      <c r="S81" s="81" t="n">
        <v>0</v>
      </c>
      <c r="T81" s="81" t="n">
        <v>0</v>
      </c>
      <c r="Y81" s="81" t="n">
        <v>1075</v>
      </c>
    </row>
    <row r="82">
      <c r="A82" s="72">
        <f>$D$22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INDEX($C$5:$C$9,MATCH(I82,$D$5:$D$9,0))</f>
        <v/>
      </c>
      <c r="E82" s="72">
        <f>INDEX($E$5:$E$9,MATCH(D82,$C$5:$C$9,0))</f>
        <v/>
      </c>
      <c r="F82" s="72">
        <f>INDEX($F$5:$F$9,MATCH(D82,$C$5:$C$9,0))</f>
        <v/>
      </c>
      <c r="G82" s="72">
        <f>INDEX($G$5:$G$9,MATCH(D82,$C$5:$C$9,0))</f>
        <v/>
      </c>
      <c r="H82" s="72" t="inlineStr">
        <is>
          <t>51</t>
        </is>
      </c>
      <c r="I82" s="72" t="inlineStr">
        <is>
          <t>2 Bed 1 Bath</t>
        </is>
      </c>
      <c r="J82" s="80" t="n">
        <v>904</v>
      </c>
      <c r="K82" s="72" t="inlineStr">
        <is>
          <t>Seagroves, Sam</t>
        </is>
      </c>
      <c r="L82" s="81" t="n">
        <v>1275</v>
      </c>
      <c r="M82" s="81">
        <f>Y82</f>
        <v/>
      </c>
      <c r="N82" s="82" t="n">
        <v>45684</v>
      </c>
      <c r="O82" s="82" t="n">
        <v>45684</v>
      </c>
      <c r="P82" s="82" t="n">
        <v>46418</v>
      </c>
      <c r="R82" s="81">
        <f>SUM(AB82:AB82)</f>
        <v/>
      </c>
      <c r="S82" s="81" t="n">
        <v>0</v>
      </c>
      <c r="T82" s="81" t="n">
        <v>0</v>
      </c>
      <c r="Y82" s="81" t="n">
        <v>1325</v>
      </c>
    </row>
    <row r="83">
      <c r="A83" s="72">
        <f>$D$22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INDEX($C$5:$C$9,MATCH(I83,$D$5:$D$9,0))</f>
        <v/>
      </c>
      <c r="E83" s="72">
        <f>INDEX($E$5:$E$9,MATCH(D83,$C$5:$C$9,0))</f>
        <v/>
      </c>
      <c r="F83" s="72">
        <f>INDEX($F$5:$F$9,MATCH(D83,$C$5:$C$9,0))</f>
        <v/>
      </c>
      <c r="G83" s="72">
        <f>INDEX($G$5:$G$9,MATCH(D83,$C$5:$C$9,0))</f>
        <v/>
      </c>
      <c r="H83" s="72" t="inlineStr">
        <is>
          <t>52</t>
        </is>
      </c>
      <c r="I83" s="72" t="inlineStr">
        <is>
          <t>2 Bed 1 Bath</t>
        </is>
      </c>
      <c r="J83" s="80" t="n">
        <v>904</v>
      </c>
      <c r="K83" s="72" t="inlineStr">
        <is>
          <t>Thornton (BMHA), Chanel</t>
        </is>
      </c>
      <c r="L83" s="81" t="n">
        <v>1325</v>
      </c>
      <c r="M83" s="81">
        <f>Y83</f>
        <v/>
      </c>
      <c r="N83" s="82" t="n">
        <v>45576</v>
      </c>
      <c r="O83" s="82" t="n">
        <v>45576</v>
      </c>
      <c r="P83" s="82" t="n">
        <v>45961</v>
      </c>
      <c r="R83" s="81">
        <f>SUM(AB83:AB83)</f>
        <v/>
      </c>
      <c r="S83" s="81" t="n">
        <v>0</v>
      </c>
      <c r="T83" s="81" t="n">
        <v>0</v>
      </c>
      <c r="Y83" s="81" t="n">
        <v>1275</v>
      </c>
      <c r="AB83" s="81" t="n">
        <v>200</v>
      </c>
    </row>
    <row r="84">
      <c r="A84" s="72">
        <f>$D$22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INDEX($C$5:$C$9,MATCH(I84,$D$5:$D$9,0))</f>
        <v/>
      </c>
      <c r="E84" s="72">
        <f>INDEX($E$5:$E$9,MATCH(D84,$C$5:$C$9,0))</f>
        <v/>
      </c>
      <c r="F84" s="72">
        <f>INDEX($F$5:$F$9,MATCH(D84,$C$5:$C$9,0))</f>
        <v/>
      </c>
      <c r="G84" s="72">
        <f>INDEX($G$5:$G$9,MATCH(D84,$C$5:$C$9,0))</f>
        <v/>
      </c>
      <c r="H84" s="72" t="inlineStr">
        <is>
          <t>53</t>
        </is>
      </c>
      <c r="I84" s="72" t="inlineStr">
        <is>
          <t>2 Bed 1 Bath</t>
        </is>
      </c>
      <c r="J84" s="80" t="n">
        <v>904</v>
      </c>
      <c r="K84" s="72" t="inlineStr">
        <is>
          <t>McMillan, Taijanay</t>
        </is>
      </c>
      <c r="L84" s="81" t="n">
        <v>1325</v>
      </c>
      <c r="M84" s="81">
        <f>Y84</f>
        <v/>
      </c>
      <c r="N84" s="82" t="n">
        <v>45198</v>
      </c>
      <c r="O84" s="82" t="n">
        <v>45198</v>
      </c>
      <c r="P84" s="82" t="n">
        <v>46295</v>
      </c>
      <c r="R84" s="81">
        <f>SUM(AB84:AB84)</f>
        <v/>
      </c>
      <c r="S84" s="81" t="n">
        <v>0</v>
      </c>
      <c r="T84" s="81" t="n">
        <v>0</v>
      </c>
      <c r="Y84" s="81" t="n">
        <v>1315</v>
      </c>
      <c r="AB84" s="81" t="n">
        <v>25</v>
      </c>
    </row>
    <row r="85">
      <c r="A85" s="72">
        <f>$D$22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INDEX($C$5:$C$9,MATCH(I85,$D$5:$D$9,0))</f>
        <v/>
      </c>
      <c r="E85" s="72">
        <f>INDEX($E$5:$E$9,MATCH(D85,$C$5:$C$9,0))</f>
        <v/>
      </c>
      <c r="F85" s="72">
        <f>INDEX($F$5:$F$9,MATCH(D85,$C$5:$C$9,0))</f>
        <v/>
      </c>
      <c r="G85" s="72">
        <f>INDEX($G$5:$G$9,MATCH(D85,$C$5:$C$9,0))</f>
        <v/>
      </c>
      <c r="H85" s="72" t="inlineStr">
        <is>
          <t>54</t>
        </is>
      </c>
      <c r="I85" s="72" t="inlineStr">
        <is>
          <t>2 Bed 1 Bath</t>
        </is>
      </c>
      <c r="J85" s="80" t="n">
        <v>904</v>
      </c>
      <c r="K85" s="72" t="inlineStr">
        <is>
          <t>Grabowski (TSI), Ariana</t>
        </is>
      </c>
      <c r="L85" s="81" t="n">
        <v>1325</v>
      </c>
      <c r="M85" s="81">
        <f>Y85</f>
        <v/>
      </c>
      <c r="N85" s="82" t="n">
        <v>44515</v>
      </c>
      <c r="O85" s="82" t="n">
        <v>44515</v>
      </c>
      <c r="P85" s="82" t="n">
        <v>46356</v>
      </c>
      <c r="R85" s="81">
        <f>SUM(AB85:AB85)</f>
        <v/>
      </c>
      <c r="S85" s="81" t="n">
        <v>0</v>
      </c>
      <c r="T85" s="81" t="n">
        <v>0</v>
      </c>
      <c r="Y85" s="81" t="n">
        <v>1450</v>
      </c>
    </row>
    <row r="86">
      <c r="A86" s="83">
        <f>$D$22</f>
        <v/>
      </c>
      <c r="B86" s="83">
        <f>B85+1</f>
        <v/>
      </c>
      <c r="C86" s="83">
        <f>IF(K86="Vacant","Vac",IF(K86="Model","Model",IF(K86="Admin","Admin",IF(K86="Down","Down",IF(K86="Super","Super","Occ")))))</f>
        <v/>
      </c>
      <c r="D86" s="83">
        <f>INDEX($C$5:$C$9,MATCH(I86,$D$5:$D$9,0))</f>
        <v/>
      </c>
      <c r="E86" s="83">
        <f>INDEX($E$5:$E$9,MATCH(D86,$C$5:$C$9,0))</f>
        <v/>
      </c>
      <c r="F86" s="83">
        <f>INDEX($F$5:$F$9,MATCH(D86,$C$5:$C$9,0))</f>
        <v/>
      </c>
      <c r="G86" s="83">
        <f>INDEX($G$5:$G$9,MATCH(D86,$C$5:$C$9,0))</f>
        <v/>
      </c>
      <c r="H86" s="83" t="inlineStr">
        <is>
          <t>55</t>
        </is>
      </c>
      <c r="I86" s="83" t="inlineStr">
        <is>
          <t>2 Bed 1 Bath</t>
        </is>
      </c>
      <c r="J86" s="84" t="n">
        <v>904</v>
      </c>
      <c r="K86" s="83" t="inlineStr">
        <is>
          <t>Vacant</t>
        </is>
      </c>
      <c r="L86" s="85" t="n">
        <v>1200</v>
      </c>
      <c r="M86" s="85">
        <f>Y86</f>
        <v/>
      </c>
      <c r="N86" s="86" t="n"/>
      <c r="O86" s="86" t="n"/>
      <c r="P86" s="86" t="n"/>
      <c r="Q86" s="86" t="n"/>
      <c r="R86" s="85">
        <f>SUM(AB86:AB86)</f>
        <v/>
      </c>
      <c r="S86" s="85" t="n">
        <v>0</v>
      </c>
      <c r="T86" s="85" t="n">
        <v>0</v>
      </c>
      <c r="U86" s="86" t="n"/>
      <c r="V86" s="86" t="n"/>
      <c r="W86" s="86" t="n"/>
      <c r="X86" s="86" t="n"/>
      <c r="Y86" s="85" t="n">
        <v>0</v>
      </c>
      <c r="Z86" s="86" t="n"/>
      <c r="AA86" s="86" t="n"/>
      <c r="AB86" s="86" t="n"/>
    </row>
    <row r="87">
      <c r="A87" s="83">
        <f>$D$22</f>
        <v/>
      </c>
      <c r="B87" s="83">
        <f>B86+1</f>
        <v/>
      </c>
      <c r="C87" s="83">
        <f>IF(K87="Vacant","Vac",IF(K87="Model","Model",IF(K87="Admin","Admin",IF(K87="Down","Down",IF(K87="Super","Super","Occ")))))</f>
        <v/>
      </c>
      <c r="D87" s="83">
        <f>INDEX($C$5:$C$9,MATCH(I87,$D$5:$D$9,0))</f>
        <v/>
      </c>
      <c r="E87" s="83">
        <f>INDEX($E$5:$E$9,MATCH(D87,$C$5:$C$9,0))</f>
        <v/>
      </c>
      <c r="F87" s="83">
        <f>INDEX($F$5:$F$9,MATCH(D87,$C$5:$C$9,0))</f>
        <v/>
      </c>
      <c r="G87" s="83">
        <f>INDEX($G$5:$G$9,MATCH(D87,$C$5:$C$9,0))</f>
        <v/>
      </c>
      <c r="H87" s="83" t="inlineStr">
        <is>
          <t>56</t>
        </is>
      </c>
      <c r="I87" s="83" t="inlineStr">
        <is>
          <t>2 Bed 1 Bath</t>
        </is>
      </c>
      <c r="J87" s="84" t="n">
        <v>904</v>
      </c>
      <c r="K87" s="83" t="inlineStr">
        <is>
          <t>Vacant</t>
        </is>
      </c>
      <c r="L87" s="85" t="n">
        <v>1200</v>
      </c>
      <c r="M87" s="85">
        <f>Y87</f>
        <v/>
      </c>
      <c r="N87" s="86" t="n"/>
      <c r="O87" s="86" t="n"/>
      <c r="P87" s="86" t="n"/>
      <c r="Q87" s="86" t="n"/>
      <c r="R87" s="85">
        <f>SUM(AB87:AB87)</f>
        <v/>
      </c>
      <c r="S87" s="85" t="n">
        <v>0</v>
      </c>
      <c r="T87" s="85" t="n">
        <v>0</v>
      </c>
      <c r="U87" s="86" t="n"/>
      <c r="V87" s="86" t="n"/>
      <c r="W87" s="86" t="n"/>
      <c r="X87" s="86" t="n"/>
      <c r="Y87" s="85" t="n">
        <v>0</v>
      </c>
      <c r="Z87" s="86" t="n"/>
      <c r="AA87" s="86" t="n"/>
      <c r="AB87" s="86" t="n"/>
    </row>
    <row r="88">
      <c r="A88" s="72">
        <f>$D$22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INDEX($C$5:$C$9,MATCH(I88,$D$5:$D$9,0))</f>
        <v/>
      </c>
      <c r="E88" s="72">
        <f>INDEX($E$5:$E$9,MATCH(D88,$C$5:$C$9,0))</f>
        <v/>
      </c>
      <c r="F88" s="72">
        <f>INDEX($F$5:$F$9,MATCH(D88,$C$5:$C$9,0))</f>
        <v/>
      </c>
      <c r="G88" s="72">
        <f>INDEX($G$5:$G$9,MATCH(D88,$C$5:$C$9,0))</f>
        <v/>
      </c>
      <c r="H88" s="72" t="inlineStr">
        <is>
          <t>57</t>
        </is>
      </c>
      <c r="I88" s="72" t="inlineStr">
        <is>
          <t>2 Bed 1 Bath</t>
        </is>
      </c>
      <c r="J88" s="80" t="n">
        <v>904</v>
      </c>
      <c r="K88" s="72" t="inlineStr">
        <is>
          <t>Harden, Crystal</t>
        </is>
      </c>
      <c r="L88" s="81" t="n">
        <v>1325</v>
      </c>
      <c r="M88" s="81">
        <f>Y88</f>
        <v/>
      </c>
      <c r="N88" s="82" t="n">
        <v>44028</v>
      </c>
      <c r="O88" s="82" t="n">
        <v>44028</v>
      </c>
      <c r="P88" s="82" t="n">
        <v>46630</v>
      </c>
      <c r="R88" s="81">
        <f>SUM(AB88:AB88)</f>
        <v/>
      </c>
      <c r="S88" s="81" t="n">
        <v>0</v>
      </c>
      <c r="T88" s="81" t="n">
        <v>0</v>
      </c>
      <c r="Y88" s="81" t="n">
        <v>1175</v>
      </c>
    </row>
    <row r="89">
      <c r="A89" s="72">
        <f>$D$22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INDEX($C$5:$C$9,MATCH(I89,$D$5:$D$9,0))</f>
        <v/>
      </c>
      <c r="E89" s="72">
        <f>INDEX($E$5:$E$9,MATCH(D89,$C$5:$C$9,0))</f>
        <v/>
      </c>
      <c r="F89" s="72">
        <f>INDEX($F$5:$F$9,MATCH(D89,$C$5:$C$9,0))</f>
        <v/>
      </c>
      <c r="G89" s="72">
        <f>INDEX($G$5:$G$9,MATCH(D89,$C$5:$C$9,0))</f>
        <v/>
      </c>
      <c r="H89" s="72" t="inlineStr">
        <is>
          <t>58</t>
        </is>
      </c>
      <c r="I89" s="72" t="inlineStr">
        <is>
          <t>3 Bed 1.5 Bath</t>
        </is>
      </c>
      <c r="J89" s="80" t="n">
        <v>1076</v>
      </c>
      <c r="K89" s="72" t="inlineStr">
        <is>
          <t>Otero, Gladys</t>
        </is>
      </c>
      <c r="L89" s="81" t="n">
        <v>1450</v>
      </c>
      <c r="M89" s="81">
        <f>Y89</f>
        <v/>
      </c>
      <c r="N89" s="82" t="n">
        <v>45762</v>
      </c>
      <c r="O89" s="82" t="n">
        <v>45762</v>
      </c>
      <c r="P89" s="82" t="n">
        <v>46142</v>
      </c>
      <c r="R89" s="81">
        <f>SUM(AB89:AB89)</f>
        <v/>
      </c>
      <c r="S89" s="81" t="n">
        <v>0</v>
      </c>
      <c r="T89" s="81" t="n">
        <v>0</v>
      </c>
      <c r="Y89" s="81" t="n">
        <v>1400</v>
      </c>
    </row>
    <row r="90">
      <c r="A90" s="72">
        <f>$D$22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INDEX($C$5:$C$9,MATCH(I90,$D$5:$D$9,0))</f>
        <v/>
      </c>
      <c r="E90" s="72">
        <f>INDEX($E$5:$E$9,MATCH(D90,$C$5:$C$9,0))</f>
        <v/>
      </c>
      <c r="F90" s="72">
        <f>INDEX($F$5:$F$9,MATCH(D90,$C$5:$C$9,0))</f>
        <v/>
      </c>
      <c r="G90" s="72">
        <f>INDEX($G$5:$G$9,MATCH(D90,$C$5:$C$9,0))</f>
        <v/>
      </c>
      <c r="H90" s="72" t="inlineStr">
        <is>
          <t>59</t>
        </is>
      </c>
      <c r="I90" s="72" t="inlineStr">
        <is>
          <t>3 Bed 1.5 Bath</t>
        </is>
      </c>
      <c r="J90" s="80" t="n">
        <v>1076</v>
      </c>
      <c r="K90" s="72" t="inlineStr">
        <is>
          <t>Szatkowski, Janay</t>
        </is>
      </c>
      <c r="L90" s="81" t="n">
        <v>1450</v>
      </c>
      <c r="M90" s="81">
        <f>Y90</f>
        <v/>
      </c>
      <c r="N90" s="82" t="n">
        <v>44896</v>
      </c>
      <c r="O90" s="82" t="n">
        <v>44896</v>
      </c>
      <c r="P90" s="82" t="n">
        <v>46387</v>
      </c>
      <c r="R90" s="81">
        <f>SUM(AB90:AB90)</f>
        <v/>
      </c>
      <c r="S90" s="81" t="n">
        <v>0</v>
      </c>
      <c r="T90" s="81" t="n">
        <v>0</v>
      </c>
      <c r="Y90" s="81" t="n">
        <v>1500</v>
      </c>
    </row>
    <row r="91">
      <c r="A91" s="72">
        <f>$D$22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INDEX($C$5:$C$9,MATCH(I91,$D$5:$D$9,0))</f>
        <v/>
      </c>
      <c r="E91" s="72">
        <f>INDEX($E$5:$E$9,MATCH(D91,$C$5:$C$9,0))</f>
        <v/>
      </c>
      <c r="F91" s="72">
        <f>INDEX($F$5:$F$9,MATCH(D91,$C$5:$C$9,0))</f>
        <v/>
      </c>
      <c r="G91" s="72">
        <f>INDEX($G$5:$G$9,MATCH(D91,$C$5:$C$9,0))</f>
        <v/>
      </c>
      <c r="H91" s="72" t="inlineStr">
        <is>
          <t>60</t>
        </is>
      </c>
      <c r="I91" s="72" t="inlineStr">
        <is>
          <t>2 Bed 1 Bath</t>
        </is>
      </c>
      <c r="J91" s="80" t="n">
        <v>904</v>
      </c>
      <c r="K91" s="72" t="inlineStr">
        <is>
          <t>Prince, Nathen</t>
        </is>
      </c>
      <c r="L91" s="81" t="n">
        <v>1275</v>
      </c>
      <c r="M91" s="81">
        <f>Y91</f>
        <v/>
      </c>
      <c r="N91" s="82" t="n">
        <v>45834</v>
      </c>
      <c r="O91" s="82" t="n">
        <v>45834</v>
      </c>
      <c r="P91" s="82" t="n">
        <v>46568</v>
      </c>
      <c r="R91" s="81">
        <f>SUM(AB91:AB91)</f>
        <v/>
      </c>
      <c r="S91" s="81" t="n">
        <v>0</v>
      </c>
      <c r="T91" s="81" t="n">
        <v>0</v>
      </c>
      <c r="Y91" s="81" t="n">
        <v>1275</v>
      </c>
    </row>
    <row r="92">
      <c r="A92" s="83">
        <f>$D$22</f>
        <v/>
      </c>
      <c r="B92" s="83">
        <f>B91+1</f>
        <v/>
      </c>
      <c r="C92" s="83">
        <f>IF(K92="Vacant","Vac",IF(K92="Model","Model",IF(K92="Admin","Admin",IF(K92="Down","Down",IF(K92="Super","Super","Occ")))))</f>
        <v/>
      </c>
      <c r="D92" s="83">
        <f>INDEX($C$5:$C$9,MATCH(I92,$D$5:$D$9,0))</f>
        <v/>
      </c>
      <c r="E92" s="83">
        <f>INDEX($E$5:$E$9,MATCH(D92,$C$5:$C$9,0))</f>
        <v/>
      </c>
      <c r="F92" s="83">
        <f>INDEX($F$5:$F$9,MATCH(D92,$C$5:$C$9,0))</f>
        <v/>
      </c>
      <c r="G92" s="83">
        <f>INDEX($G$5:$G$9,MATCH(D92,$C$5:$C$9,0))</f>
        <v/>
      </c>
      <c r="H92" s="83" t="inlineStr">
        <is>
          <t>61</t>
        </is>
      </c>
      <c r="I92" s="83" t="inlineStr">
        <is>
          <t>2 Bed 1 Bath</t>
        </is>
      </c>
      <c r="J92" s="84" t="n">
        <v>904</v>
      </c>
      <c r="K92" s="83" t="inlineStr">
        <is>
          <t>Vacant</t>
        </is>
      </c>
      <c r="L92" s="85" t="n">
        <v>1200</v>
      </c>
      <c r="M92" s="85">
        <f>Y92</f>
        <v/>
      </c>
      <c r="N92" s="86" t="n"/>
      <c r="O92" s="86" t="n"/>
      <c r="P92" s="86" t="n"/>
      <c r="Q92" s="86" t="n"/>
      <c r="R92" s="85">
        <f>SUM(AB92:AB92)</f>
        <v/>
      </c>
      <c r="S92" s="85" t="n">
        <v>0</v>
      </c>
      <c r="T92" s="85" t="n">
        <v>0</v>
      </c>
      <c r="U92" s="86" t="n"/>
      <c r="V92" s="86" t="n"/>
      <c r="W92" s="86" t="n"/>
      <c r="X92" s="86" t="n"/>
      <c r="Y92" s="85" t="n">
        <v>0</v>
      </c>
      <c r="Z92" s="86" t="n"/>
      <c r="AA92" s="86" t="n"/>
      <c r="AB92" s="86" t="n"/>
    </row>
    <row r="93">
      <c r="A93" s="72">
        <f>$D$22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INDEX($C$5:$C$9,MATCH(I93,$D$5:$D$9,0))</f>
        <v/>
      </c>
      <c r="E93" s="72">
        <f>INDEX($E$5:$E$9,MATCH(D93,$C$5:$C$9,0))</f>
        <v/>
      </c>
      <c r="F93" s="72">
        <f>INDEX($F$5:$F$9,MATCH(D93,$C$5:$C$9,0))</f>
        <v/>
      </c>
      <c r="G93" s="72">
        <f>INDEX($G$5:$G$9,MATCH(D93,$C$5:$C$9,0))</f>
        <v/>
      </c>
      <c r="H93" s="72" t="inlineStr">
        <is>
          <t>62</t>
        </is>
      </c>
      <c r="I93" s="72" t="inlineStr">
        <is>
          <t>2 Bed 1 Bath</t>
        </is>
      </c>
      <c r="J93" s="80" t="n">
        <v>904</v>
      </c>
      <c r="K93" s="72" t="inlineStr">
        <is>
          <t>Woods, Startrise</t>
        </is>
      </c>
      <c r="L93" s="81" t="n">
        <v>1325</v>
      </c>
      <c r="M93" s="81">
        <f>Y93</f>
        <v/>
      </c>
      <c r="N93" s="82" t="n">
        <v>46234</v>
      </c>
      <c r="O93" s="82" t="n">
        <v>46234</v>
      </c>
      <c r="P93" s="82" t="n">
        <v>46599</v>
      </c>
      <c r="R93" s="81">
        <f>SUM(AB93:AB93)</f>
        <v/>
      </c>
      <c r="S93" s="81" t="n">
        <v>0</v>
      </c>
      <c r="T93" s="81" t="n">
        <v>0</v>
      </c>
      <c r="Y93" s="81" t="n">
        <v>1200</v>
      </c>
    </row>
    <row r="94">
      <c r="A94" s="72">
        <f>$D$22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INDEX($C$5:$C$9,MATCH(I94,$D$5:$D$9,0))</f>
        <v/>
      </c>
      <c r="E94" s="72">
        <f>INDEX($E$5:$E$9,MATCH(D94,$C$5:$C$9,0))</f>
        <v/>
      </c>
      <c r="F94" s="72">
        <f>INDEX($F$5:$F$9,MATCH(D94,$C$5:$C$9,0))</f>
        <v/>
      </c>
      <c r="G94" s="72">
        <f>INDEX($G$5:$G$9,MATCH(D94,$C$5:$C$9,0))</f>
        <v/>
      </c>
      <c r="H94" s="72" t="inlineStr">
        <is>
          <t>63</t>
        </is>
      </c>
      <c r="I94" s="72" t="inlineStr">
        <is>
          <t>2 Bed 1 Bath</t>
        </is>
      </c>
      <c r="J94" s="80" t="n">
        <v>904</v>
      </c>
      <c r="K94" s="72" t="inlineStr">
        <is>
          <t>Maciejewski (TSI), Bruce</t>
        </is>
      </c>
      <c r="L94" s="81" t="n">
        <v>1325</v>
      </c>
      <c r="M94" s="81">
        <f>Y94</f>
        <v/>
      </c>
      <c r="N94" s="82" t="n">
        <v>44516</v>
      </c>
      <c r="O94" s="82" t="n">
        <v>44516</v>
      </c>
      <c r="P94" s="82" t="n">
        <v>46356</v>
      </c>
      <c r="R94" s="81">
        <f>SUM(AB94:AB94)</f>
        <v/>
      </c>
      <c r="S94" s="81" t="n">
        <v>0</v>
      </c>
      <c r="T94" s="81" t="n">
        <v>0</v>
      </c>
      <c r="Y94" s="81" t="n">
        <v>1450</v>
      </c>
    </row>
    <row r="95">
      <c r="A95" s="72">
        <f>$D$22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INDEX($C$5:$C$9,MATCH(I95,$D$5:$D$9,0))</f>
        <v/>
      </c>
      <c r="E95" s="72">
        <f>INDEX($E$5:$E$9,MATCH(D95,$C$5:$C$9,0))</f>
        <v/>
      </c>
      <c r="F95" s="72">
        <f>INDEX($F$5:$F$9,MATCH(D95,$C$5:$C$9,0))</f>
        <v/>
      </c>
      <c r="G95" s="72">
        <f>INDEX($G$5:$G$9,MATCH(D95,$C$5:$C$9,0))</f>
        <v/>
      </c>
      <c r="H95" s="72" t="inlineStr">
        <is>
          <t>64</t>
        </is>
      </c>
      <c r="I95" s="72" t="inlineStr">
        <is>
          <t>2 Bed 1 Bath</t>
        </is>
      </c>
      <c r="J95" s="80" t="n">
        <v>1250</v>
      </c>
      <c r="K95" s="72" t="inlineStr">
        <is>
          <t>Negron, Brittney</t>
        </is>
      </c>
      <c r="L95" s="81" t="n">
        <v>1325</v>
      </c>
      <c r="M95" s="81">
        <f>Y95</f>
        <v/>
      </c>
      <c r="N95" s="82" t="n">
        <v>45596</v>
      </c>
      <c r="O95" s="82" t="n">
        <v>45596</v>
      </c>
      <c r="P95" s="82" t="n">
        <v>46326</v>
      </c>
      <c r="R95" s="81">
        <f>SUM(AB95:AB95)</f>
        <v/>
      </c>
      <c r="S95" s="81" t="n">
        <v>0</v>
      </c>
      <c r="T95" s="81" t="n">
        <v>0</v>
      </c>
      <c r="Y95" s="81" t="n">
        <v>1350</v>
      </c>
    </row>
    <row r="96">
      <c r="A96" s="72">
        <f>$D$22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INDEX($C$5:$C$9,MATCH(I96,$D$5:$D$9,0))</f>
        <v/>
      </c>
      <c r="E96" s="72">
        <f>INDEX($E$5:$E$9,MATCH(D96,$C$5:$C$9,0))</f>
        <v/>
      </c>
      <c r="F96" s="72">
        <f>INDEX($F$5:$F$9,MATCH(D96,$C$5:$C$9,0))</f>
        <v/>
      </c>
      <c r="G96" s="72">
        <f>INDEX($G$5:$G$9,MATCH(D96,$C$5:$C$9,0))</f>
        <v/>
      </c>
      <c r="H96" s="72" t="inlineStr">
        <is>
          <t>65</t>
        </is>
      </c>
      <c r="I96" s="72" t="inlineStr">
        <is>
          <t>2 Bed 1 Bath</t>
        </is>
      </c>
      <c r="J96" s="80" t="n">
        <v>904</v>
      </c>
      <c r="K96" s="72" t="inlineStr">
        <is>
          <t>Williams, Linda</t>
        </is>
      </c>
      <c r="L96" s="81" t="n">
        <v>1325</v>
      </c>
      <c r="M96" s="81">
        <f>Y96</f>
        <v/>
      </c>
      <c r="N96" s="82" t="n">
        <v>41913</v>
      </c>
      <c r="O96" s="82" t="n">
        <v>41913</v>
      </c>
      <c r="P96" s="82" t="n">
        <v>46660</v>
      </c>
      <c r="R96" s="81">
        <f>SUM(AB96:AB96)</f>
        <v/>
      </c>
      <c r="S96" s="81" t="n">
        <v>0</v>
      </c>
      <c r="T96" s="81" t="n">
        <v>0</v>
      </c>
      <c r="Y96" s="81" t="n">
        <v>1125</v>
      </c>
    </row>
    <row r="97">
      <c r="A97" s="72">
        <f>$D$22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INDEX($C$5:$C$9,MATCH(I97,$D$5:$D$9,0))</f>
        <v/>
      </c>
      <c r="E97" s="72">
        <f>INDEX($E$5:$E$9,MATCH(D97,$C$5:$C$9,0))</f>
        <v/>
      </c>
      <c r="F97" s="72">
        <f>INDEX($F$5:$F$9,MATCH(D97,$C$5:$C$9,0))</f>
        <v/>
      </c>
      <c r="G97" s="72">
        <f>INDEX($G$5:$G$9,MATCH(D97,$C$5:$C$9,0))</f>
        <v/>
      </c>
      <c r="H97" s="72" t="inlineStr">
        <is>
          <t>66</t>
        </is>
      </c>
      <c r="I97" s="72" t="inlineStr">
        <is>
          <t>2 Bed 1 Bath</t>
        </is>
      </c>
      <c r="J97" s="80" t="n">
        <v>904</v>
      </c>
      <c r="K97" s="72" t="inlineStr">
        <is>
          <t>Jones, Michelle</t>
        </is>
      </c>
      <c r="L97" s="81" t="n">
        <v>1325</v>
      </c>
      <c r="M97" s="81">
        <f>Y97</f>
        <v/>
      </c>
      <c r="N97" s="82" t="n">
        <v>44671</v>
      </c>
      <c r="O97" s="82" t="n">
        <v>44671</v>
      </c>
      <c r="P97" s="82" t="n">
        <v>46507</v>
      </c>
      <c r="R97" s="81">
        <f>SUM(AB97:AB97)</f>
        <v/>
      </c>
      <c r="S97" s="81" t="n">
        <v>0</v>
      </c>
      <c r="T97" s="81" t="n">
        <v>0</v>
      </c>
      <c r="Y97" s="81" t="n">
        <v>1425</v>
      </c>
    </row>
    <row r="98">
      <c r="A98" s="83">
        <f>$D$22</f>
        <v/>
      </c>
      <c r="B98" s="83">
        <f>B97+1</f>
        <v/>
      </c>
      <c r="C98" s="83">
        <f>IF(K98="Vacant","Vac",IF(K98="Model","Model",IF(K98="Admin","Admin",IF(K98="Down","Down",IF(K98="Super","Super","Occ")))))</f>
        <v/>
      </c>
      <c r="D98" s="83">
        <f>INDEX($C$5:$C$9,MATCH(I98,$D$5:$D$9,0))</f>
        <v/>
      </c>
      <c r="E98" s="83">
        <f>INDEX($E$5:$E$9,MATCH(D98,$C$5:$C$9,0))</f>
        <v/>
      </c>
      <c r="F98" s="83">
        <f>INDEX($F$5:$F$9,MATCH(D98,$C$5:$C$9,0))</f>
        <v/>
      </c>
      <c r="G98" s="83">
        <f>INDEX($G$5:$G$9,MATCH(D98,$C$5:$C$9,0))</f>
        <v/>
      </c>
      <c r="H98" s="83" t="inlineStr">
        <is>
          <t>67</t>
        </is>
      </c>
      <c r="I98" s="83" t="inlineStr">
        <is>
          <t>2 Bed 1 Bath</t>
        </is>
      </c>
      <c r="J98" s="84" t="n">
        <v>904</v>
      </c>
      <c r="K98" s="83" t="inlineStr">
        <is>
          <t>Vacant</t>
        </is>
      </c>
      <c r="L98" s="85" t="n">
        <v>1200</v>
      </c>
      <c r="M98" s="85">
        <f>Y98</f>
        <v/>
      </c>
      <c r="N98" s="86" t="n"/>
      <c r="O98" s="86" t="n"/>
      <c r="P98" s="86" t="n"/>
      <c r="Q98" s="86" t="n"/>
      <c r="R98" s="85">
        <f>SUM(AB98:AB98)</f>
        <v/>
      </c>
      <c r="S98" s="85" t="n">
        <v>0</v>
      </c>
      <c r="T98" s="85" t="n">
        <v>0</v>
      </c>
      <c r="U98" s="86" t="n"/>
      <c r="V98" s="86" t="n"/>
      <c r="W98" s="86" t="n"/>
      <c r="X98" s="86" t="n"/>
      <c r="Y98" s="85" t="n">
        <v>0</v>
      </c>
      <c r="Z98" s="86" t="n"/>
      <c r="AA98" s="86" t="n"/>
      <c r="AB98" s="86" t="n"/>
    </row>
    <row r="99">
      <c r="A99" s="72">
        <f>$D$22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INDEX($C$5:$C$9,MATCH(I99,$D$5:$D$9,0))</f>
        <v/>
      </c>
      <c r="E99" s="72">
        <f>INDEX($E$5:$E$9,MATCH(D99,$C$5:$C$9,0))</f>
        <v/>
      </c>
      <c r="F99" s="72">
        <f>INDEX($F$5:$F$9,MATCH(D99,$C$5:$C$9,0))</f>
        <v/>
      </c>
      <c r="G99" s="72">
        <f>INDEX($G$5:$G$9,MATCH(D99,$C$5:$C$9,0))</f>
        <v/>
      </c>
      <c r="H99" s="72" t="inlineStr">
        <is>
          <t>68</t>
        </is>
      </c>
      <c r="I99" s="72" t="inlineStr">
        <is>
          <t>2 Bed 1 Bath</t>
        </is>
      </c>
      <c r="J99" s="80" t="n">
        <v>904</v>
      </c>
      <c r="K99" s="72" t="inlineStr">
        <is>
          <t>Smith, Arianna</t>
        </is>
      </c>
      <c r="L99" s="81" t="n">
        <v>1275</v>
      </c>
      <c r="M99" s="81">
        <f>Y99</f>
        <v/>
      </c>
      <c r="N99" s="82" t="n">
        <v>45751</v>
      </c>
      <c r="O99" s="82" t="n">
        <v>45751</v>
      </c>
      <c r="P99" s="82" t="n">
        <v>46507</v>
      </c>
      <c r="R99" s="81">
        <f>SUM(AB99:AB99)</f>
        <v/>
      </c>
      <c r="S99" s="81" t="n">
        <v>0</v>
      </c>
      <c r="T99" s="81" t="n">
        <v>0</v>
      </c>
      <c r="Y99" s="81" t="n">
        <v>1275</v>
      </c>
    </row>
    <row r="100">
      <c r="A100" s="72">
        <f>$D$22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INDEX($C$5:$C$9,MATCH(I100,$D$5:$D$9,0))</f>
        <v/>
      </c>
      <c r="E100" s="72">
        <f>INDEX($E$5:$E$9,MATCH(D100,$C$5:$C$9,0))</f>
        <v/>
      </c>
      <c r="F100" s="72">
        <f>INDEX($F$5:$F$9,MATCH(D100,$C$5:$C$9,0))</f>
        <v/>
      </c>
      <c r="G100" s="72">
        <f>INDEX($G$5:$G$9,MATCH(D100,$C$5:$C$9,0))</f>
        <v/>
      </c>
      <c r="H100" s="72" t="inlineStr">
        <is>
          <t>69</t>
        </is>
      </c>
      <c r="I100" s="72" t="inlineStr">
        <is>
          <t>2 Bed 1 Bath</t>
        </is>
      </c>
      <c r="J100" s="80" t="n">
        <v>904</v>
      </c>
      <c r="K100" s="72" t="inlineStr">
        <is>
          <t>Martinez-Santana, Raysa</t>
        </is>
      </c>
      <c r="L100" s="81" t="n">
        <v>1325</v>
      </c>
      <c r="M100" s="81">
        <f>Y100</f>
        <v/>
      </c>
      <c r="N100" s="82" t="n">
        <v>46162</v>
      </c>
      <c r="O100" s="82" t="n">
        <v>46162</v>
      </c>
      <c r="P100" s="82" t="n">
        <v>46538</v>
      </c>
      <c r="R100" s="81">
        <f>SUM(AB100:AB100)</f>
        <v/>
      </c>
      <c r="S100" s="81" t="n">
        <v>0</v>
      </c>
      <c r="T100" s="81" t="n">
        <v>0</v>
      </c>
      <c r="Y100" s="81" t="n">
        <v>1250</v>
      </c>
    </row>
    <row r="101">
      <c r="A101" s="72">
        <f>$D$22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INDEX($C$5:$C$9,MATCH(I101,$D$5:$D$9,0))</f>
        <v/>
      </c>
      <c r="E101" s="72">
        <f>INDEX($E$5:$E$9,MATCH(D101,$C$5:$C$9,0))</f>
        <v/>
      </c>
      <c r="F101" s="72">
        <f>INDEX($F$5:$F$9,MATCH(D101,$C$5:$C$9,0))</f>
        <v/>
      </c>
      <c r="G101" s="72">
        <f>INDEX($G$5:$G$9,MATCH(D101,$C$5:$C$9,0))</f>
        <v/>
      </c>
      <c r="H101" s="72" t="inlineStr">
        <is>
          <t>70</t>
        </is>
      </c>
      <c r="I101" s="72" t="inlineStr">
        <is>
          <t>2 Bed 1 Bath</t>
        </is>
      </c>
      <c r="J101" s="80" t="n">
        <v>904</v>
      </c>
      <c r="K101" s="72" t="inlineStr">
        <is>
          <t>Burgio, Monet</t>
        </is>
      </c>
      <c r="L101" s="81" t="n">
        <v>1325</v>
      </c>
      <c r="M101" s="81">
        <f>Y101</f>
        <v/>
      </c>
      <c r="N101" s="82" t="n">
        <v>45184</v>
      </c>
      <c r="O101" s="82" t="n">
        <v>45184</v>
      </c>
      <c r="P101" s="82" t="n">
        <v>46295</v>
      </c>
      <c r="R101" s="81">
        <f>SUM(AB101:AB101)</f>
        <v/>
      </c>
      <c r="S101" s="81" t="n">
        <v>0</v>
      </c>
      <c r="T101" s="81" t="n">
        <v>0</v>
      </c>
      <c r="Y101" s="81" t="n">
        <v>1375</v>
      </c>
    </row>
    <row r="102">
      <c r="A102" s="72">
        <f>$D$22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INDEX($C$5:$C$9,MATCH(I102,$D$5:$D$9,0))</f>
        <v/>
      </c>
      <c r="E102" s="72">
        <f>INDEX($E$5:$E$9,MATCH(D102,$C$5:$C$9,0))</f>
        <v/>
      </c>
      <c r="F102" s="72">
        <f>INDEX($F$5:$F$9,MATCH(D102,$C$5:$C$9,0))</f>
        <v/>
      </c>
      <c r="G102" s="72">
        <f>INDEX($G$5:$G$9,MATCH(D102,$C$5:$C$9,0))</f>
        <v/>
      </c>
      <c r="H102" s="72" t="inlineStr">
        <is>
          <t>71</t>
        </is>
      </c>
      <c r="I102" s="72" t="inlineStr">
        <is>
          <t>2 Bed 1 Bath</t>
        </is>
      </c>
      <c r="J102" s="80" t="n">
        <v>904</v>
      </c>
      <c r="K102" s="72" t="inlineStr">
        <is>
          <t>May (RACB), John</t>
        </is>
      </c>
      <c r="L102" s="81" t="n">
        <v>1325</v>
      </c>
      <c r="M102" s="81">
        <f>Y102</f>
        <v/>
      </c>
      <c r="N102" s="82" t="n">
        <v>45536</v>
      </c>
      <c r="O102" s="82" t="n">
        <v>45536</v>
      </c>
      <c r="P102" s="82" t="n">
        <v>46265</v>
      </c>
      <c r="R102" s="81">
        <f>SUM(AB102:AB102)</f>
        <v/>
      </c>
      <c r="S102" s="81" t="n">
        <v>0</v>
      </c>
      <c r="T102" s="81" t="n">
        <v>0</v>
      </c>
      <c r="Y102" s="81" t="n">
        <v>1350</v>
      </c>
    </row>
    <row r="103">
      <c r="A103" s="72">
        <f>$D$22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INDEX($C$5:$C$9,MATCH(I103,$D$5:$D$9,0))</f>
        <v/>
      </c>
      <c r="E103" s="72">
        <f>INDEX($E$5:$E$9,MATCH(D103,$C$5:$C$9,0))</f>
        <v/>
      </c>
      <c r="F103" s="72">
        <f>INDEX($F$5:$F$9,MATCH(D103,$C$5:$C$9,0))</f>
        <v/>
      </c>
      <c r="G103" s="72">
        <f>INDEX($G$5:$G$9,MATCH(D103,$C$5:$C$9,0))</f>
        <v/>
      </c>
      <c r="H103" s="72" t="inlineStr">
        <is>
          <t>72</t>
        </is>
      </c>
      <c r="I103" s="72" t="inlineStr">
        <is>
          <t>2 Bed 1 Bath</t>
        </is>
      </c>
      <c r="J103" s="80" t="n">
        <v>904</v>
      </c>
      <c r="K103" s="72" t="inlineStr">
        <is>
          <t>Services Inc, Transitional</t>
        </is>
      </c>
      <c r="L103" s="81" t="n">
        <v>1325</v>
      </c>
      <c r="M103" s="81">
        <f>Y103</f>
        <v/>
      </c>
      <c r="N103" s="82" t="n">
        <v>41030</v>
      </c>
      <c r="O103" s="82" t="n">
        <v>41030</v>
      </c>
      <c r="P103" s="82" t="n">
        <v>46507</v>
      </c>
      <c r="R103" s="81">
        <f>SUM(AB103:AB103)</f>
        <v/>
      </c>
      <c r="S103" s="81" t="n">
        <v>0</v>
      </c>
      <c r="T103" s="81" t="n">
        <v>0</v>
      </c>
      <c r="Y103" s="81" t="n">
        <v>1200</v>
      </c>
    </row>
    <row r="104">
      <c r="A104" s="72">
        <f>$D$22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INDEX($C$5:$C$9,MATCH(I104,$D$5:$D$9,0))</f>
        <v/>
      </c>
      <c r="E104" s="72">
        <f>INDEX($E$5:$E$9,MATCH(D104,$C$5:$C$9,0))</f>
        <v/>
      </c>
      <c r="F104" s="72">
        <f>INDEX($F$5:$F$9,MATCH(D104,$C$5:$C$9,0))</f>
        <v/>
      </c>
      <c r="G104" s="72">
        <f>INDEX($G$5:$G$9,MATCH(D104,$C$5:$C$9,0))</f>
        <v/>
      </c>
      <c r="H104" s="72" t="inlineStr">
        <is>
          <t>73</t>
        </is>
      </c>
      <c r="I104" s="72" t="inlineStr">
        <is>
          <t>2 Bed 1 Bath</t>
        </is>
      </c>
      <c r="J104" s="80" t="n">
        <v>904</v>
      </c>
      <c r="K104" s="72" t="inlineStr">
        <is>
          <t>Delgado, Narraly</t>
        </is>
      </c>
      <c r="L104" s="81" t="n">
        <v>1325</v>
      </c>
      <c r="M104" s="81">
        <f>Y104</f>
        <v/>
      </c>
      <c r="N104" s="82" t="n">
        <v>44235</v>
      </c>
      <c r="O104" s="82" t="n">
        <v>44235</v>
      </c>
      <c r="P104" s="82" t="n">
        <v>46142</v>
      </c>
      <c r="R104" s="81">
        <f>SUM(AB104:AB104)</f>
        <v/>
      </c>
      <c r="S104" s="81" t="n">
        <v>0</v>
      </c>
      <c r="T104" s="81" t="n">
        <v>0</v>
      </c>
      <c r="Y104" s="81" t="n">
        <v>1125</v>
      </c>
    </row>
    <row r="105">
      <c r="A105" s="72">
        <f>$D$22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INDEX($C$5:$C$9,MATCH(I105,$D$5:$D$9,0))</f>
        <v/>
      </c>
      <c r="E105" s="72">
        <f>INDEX($E$5:$E$9,MATCH(D105,$C$5:$C$9,0))</f>
        <v/>
      </c>
      <c r="F105" s="72">
        <f>INDEX($F$5:$F$9,MATCH(D105,$C$5:$C$9,0))</f>
        <v/>
      </c>
      <c r="G105" s="72">
        <f>INDEX($G$5:$G$9,MATCH(D105,$C$5:$C$9,0))</f>
        <v/>
      </c>
      <c r="H105" s="72" t="inlineStr">
        <is>
          <t>74</t>
        </is>
      </c>
      <c r="I105" s="72" t="inlineStr">
        <is>
          <t>2 Bed 1 Bath</t>
        </is>
      </c>
      <c r="J105" s="80" t="n">
        <v>904</v>
      </c>
      <c r="K105" s="72" t="inlineStr">
        <is>
          <t>Watkins, Kathleen</t>
        </is>
      </c>
      <c r="L105" s="81" t="n">
        <v>1325</v>
      </c>
      <c r="M105" s="81">
        <f>Y105</f>
        <v/>
      </c>
      <c r="N105" s="82" t="n">
        <v>45047</v>
      </c>
      <c r="O105" s="82" t="n">
        <v>45047</v>
      </c>
      <c r="P105" s="82" t="n">
        <v>46142</v>
      </c>
      <c r="R105" s="81">
        <f>SUM(AB105:AB105)</f>
        <v/>
      </c>
      <c r="S105" s="81" t="n">
        <v>0</v>
      </c>
      <c r="T105" s="81" t="n">
        <v>0</v>
      </c>
      <c r="Y105" s="81" t="n">
        <v>1325</v>
      </c>
    </row>
    <row r="106">
      <c r="A106" s="72">
        <f>$D$22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INDEX($C$5:$C$9,MATCH(I106,$D$5:$D$9,0))</f>
        <v/>
      </c>
      <c r="E106" s="72">
        <f>INDEX($E$5:$E$9,MATCH(D106,$C$5:$C$9,0))</f>
        <v/>
      </c>
      <c r="F106" s="72">
        <f>INDEX($F$5:$F$9,MATCH(D106,$C$5:$C$9,0))</f>
        <v/>
      </c>
      <c r="G106" s="72">
        <f>INDEX($G$5:$G$9,MATCH(D106,$C$5:$C$9,0))</f>
        <v/>
      </c>
      <c r="H106" s="72" t="inlineStr">
        <is>
          <t>75</t>
        </is>
      </c>
      <c r="I106" s="72" t="inlineStr">
        <is>
          <t>2 Bed 1 Bath</t>
        </is>
      </c>
      <c r="J106" s="80" t="n">
        <v>904</v>
      </c>
      <c r="K106" s="72" t="inlineStr">
        <is>
          <t>Millington, Chevaneese</t>
        </is>
      </c>
      <c r="L106" s="81" t="n">
        <v>1275</v>
      </c>
      <c r="M106" s="81">
        <f>Y106</f>
        <v/>
      </c>
      <c r="N106" s="82" t="n">
        <v>45807</v>
      </c>
      <c r="O106" s="82" t="n">
        <v>45807</v>
      </c>
      <c r="P106" s="82" t="n">
        <v>46568</v>
      </c>
      <c r="R106" s="81">
        <f>SUM(AB106:AB106)</f>
        <v/>
      </c>
      <c r="S106" s="81" t="n">
        <v>0</v>
      </c>
      <c r="T106" s="81" t="n">
        <v>0</v>
      </c>
      <c r="Y106" s="81" t="n">
        <v>1275</v>
      </c>
    </row>
    <row r="107">
      <c r="A107" s="72">
        <f>$D$22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INDEX($C$5:$C$9,MATCH(I107,$D$5:$D$9,0))</f>
        <v/>
      </c>
      <c r="E107" s="72">
        <f>INDEX($E$5:$E$9,MATCH(D107,$C$5:$C$9,0))</f>
        <v/>
      </c>
      <c r="F107" s="72">
        <f>INDEX($F$5:$F$9,MATCH(D107,$C$5:$C$9,0))</f>
        <v/>
      </c>
      <c r="G107" s="72">
        <f>INDEX($G$5:$G$9,MATCH(D107,$C$5:$C$9,0))</f>
        <v/>
      </c>
      <c r="H107" s="72" t="inlineStr">
        <is>
          <t>76</t>
        </is>
      </c>
      <c r="I107" s="72" t="inlineStr">
        <is>
          <t>2 Bed 1 Bath</t>
        </is>
      </c>
      <c r="J107" s="80" t="n">
        <v>904</v>
      </c>
      <c r="K107" s="72" t="inlineStr">
        <is>
          <t>Jackson (BEL), Alyshia</t>
        </is>
      </c>
      <c r="L107" s="81" t="n">
        <v>1325</v>
      </c>
      <c r="M107" s="81">
        <f>Y107</f>
        <v/>
      </c>
      <c r="N107" s="82" t="n">
        <v>43719</v>
      </c>
      <c r="O107" s="82" t="n">
        <v>43719</v>
      </c>
      <c r="P107" s="82" t="n">
        <v>46507</v>
      </c>
      <c r="R107" s="81">
        <f>SUM(AB107:AB107)</f>
        <v/>
      </c>
      <c r="S107" s="81" t="n">
        <v>0</v>
      </c>
      <c r="T107" s="81" t="n">
        <v>0</v>
      </c>
      <c r="Y107" s="81" t="n">
        <v>1200</v>
      </c>
    </row>
    <row r="108">
      <c r="A108" s="72">
        <f>$D$22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INDEX($C$5:$C$9,MATCH(I108,$D$5:$D$9,0))</f>
        <v/>
      </c>
      <c r="E108" s="72">
        <f>INDEX($E$5:$E$9,MATCH(D108,$C$5:$C$9,0))</f>
        <v/>
      </c>
      <c r="F108" s="72">
        <f>INDEX($F$5:$F$9,MATCH(D108,$C$5:$C$9,0))</f>
        <v/>
      </c>
      <c r="G108" s="72">
        <f>INDEX($G$5:$G$9,MATCH(D108,$C$5:$C$9,0))</f>
        <v/>
      </c>
      <c r="H108" s="72" t="inlineStr">
        <is>
          <t>77</t>
        </is>
      </c>
      <c r="I108" s="72" t="inlineStr">
        <is>
          <t>2 Bed 1 Bath</t>
        </is>
      </c>
      <c r="J108" s="80" t="n">
        <v>904</v>
      </c>
      <c r="K108" s="72" t="inlineStr">
        <is>
          <t>Miles, Shawn</t>
        </is>
      </c>
      <c r="L108" s="81" t="n">
        <v>1325</v>
      </c>
      <c r="M108" s="81">
        <f>Y108</f>
        <v/>
      </c>
      <c r="N108" s="82" t="n">
        <v>39295</v>
      </c>
      <c r="O108" s="82" t="n">
        <v>39295</v>
      </c>
      <c r="P108" s="82" t="n">
        <v>46507</v>
      </c>
      <c r="R108" s="81">
        <f>SUM(AB108:AB108)</f>
        <v/>
      </c>
      <c r="S108" s="81" t="n">
        <v>0</v>
      </c>
      <c r="T108" s="81" t="n">
        <v>0</v>
      </c>
      <c r="Y108" s="81" t="n">
        <v>1075</v>
      </c>
    </row>
    <row r="109">
      <c r="A109" s="72">
        <f>$D$22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INDEX($C$5:$C$9,MATCH(I109,$D$5:$D$9,0))</f>
        <v/>
      </c>
      <c r="E109" s="72">
        <f>INDEX($E$5:$E$9,MATCH(D109,$C$5:$C$9,0))</f>
        <v/>
      </c>
      <c r="F109" s="72">
        <f>INDEX($F$5:$F$9,MATCH(D109,$C$5:$C$9,0))</f>
        <v/>
      </c>
      <c r="G109" s="72">
        <f>INDEX($G$5:$G$9,MATCH(D109,$C$5:$C$9,0))</f>
        <v/>
      </c>
      <c r="H109" s="72" t="inlineStr">
        <is>
          <t>78</t>
        </is>
      </c>
      <c r="I109" s="72" t="inlineStr">
        <is>
          <t>3 Bed 1.5 Bath</t>
        </is>
      </c>
      <c r="J109" s="80" t="n">
        <v>1400</v>
      </c>
      <c r="K109" s="72" t="inlineStr">
        <is>
          <t>Rivera (BMHA), Katherine</t>
        </is>
      </c>
      <c r="L109" s="81" t="n">
        <v>1450</v>
      </c>
      <c r="M109" s="81">
        <f>Y109</f>
        <v/>
      </c>
      <c r="N109" s="82" t="n">
        <v>45467</v>
      </c>
      <c r="O109" s="82" t="n">
        <v>45467</v>
      </c>
      <c r="P109" s="82" t="n">
        <v>46568</v>
      </c>
      <c r="R109" s="81">
        <f>SUM(AB109:AB109)</f>
        <v/>
      </c>
      <c r="S109" s="81" t="n">
        <v>0</v>
      </c>
      <c r="T109" s="81" t="n">
        <v>0</v>
      </c>
      <c r="Y109" s="81" t="n">
        <v>1525</v>
      </c>
    </row>
    <row r="110">
      <c r="A110" s="72">
        <f>$D$22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INDEX($C$5:$C$9,MATCH(I110,$D$5:$D$9,0))</f>
        <v/>
      </c>
      <c r="E110" s="72">
        <f>INDEX($E$5:$E$9,MATCH(D110,$C$5:$C$9,0))</f>
        <v/>
      </c>
      <c r="F110" s="72">
        <f>INDEX($F$5:$F$9,MATCH(D110,$C$5:$C$9,0))</f>
        <v/>
      </c>
      <c r="G110" s="72">
        <f>INDEX($G$5:$G$9,MATCH(D110,$C$5:$C$9,0))</f>
        <v/>
      </c>
      <c r="H110" s="72" t="inlineStr">
        <is>
          <t>79</t>
        </is>
      </c>
      <c r="I110" s="72" t="inlineStr">
        <is>
          <t>3 Bed 1.5 Bath</t>
        </is>
      </c>
      <c r="J110" s="80" t="n">
        <v>1076</v>
      </c>
      <c r="K110" s="72" t="inlineStr">
        <is>
          <t>Hidalgo, Evelyn</t>
        </is>
      </c>
      <c r="L110" s="81" t="n">
        <v>1495</v>
      </c>
      <c r="M110" s="81">
        <f>Y110</f>
        <v/>
      </c>
      <c r="N110" s="82" t="n">
        <v>40421</v>
      </c>
      <c r="O110" s="82" t="n">
        <v>40421</v>
      </c>
      <c r="P110" s="82" t="n">
        <v>46265</v>
      </c>
      <c r="R110" s="81">
        <f>SUM(AB110:AB110)</f>
        <v/>
      </c>
      <c r="S110" s="81" t="n">
        <v>0</v>
      </c>
      <c r="T110" s="81" t="n">
        <v>0</v>
      </c>
      <c r="Y110" s="81" t="n">
        <v>1125</v>
      </c>
    </row>
    <row r="111">
      <c r="A111" s="72">
        <f>$D$22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INDEX($C$5:$C$9,MATCH(I111,$D$5:$D$9,0))</f>
        <v/>
      </c>
      <c r="E111" s="72">
        <f>INDEX($E$5:$E$9,MATCH(D111,$C$5:$C$9,0))</f>
        <v/>
      </c>
      <c r="F111" s="72">
        <f>INDEX($F$5:$F$9,MATCH(D111,$C$5:$C$9,0))</f>
        <v/>
      </c>
      <c r="G111" s="72">
        <f>INDEX($G$5:$G$9,MATCH(D111,$C$5:$C$9,0))</f>
        <v/>
      </c>
      <c r="H111" s="72" t="inlineStr">
        <is>
          <t>80</t>
        </is>
      </c>
      <c r="I111" s="72" t="inlineStr">
        <is>
          <t>2 Bed 1 Bath</t>
        </is>
      </c>
      <c r="J111" s="80" t="n">
        <v>904</v>
      </c>
      <c r="K111" s="72" t="inlineStr">
        <is>
          <t>Pilgrom, Jairus</t>
        </is>
      </c>
      <c r="L111" s="81" t="n">
        <v>1275</v>
      </c>
      <c r="M111" s="81">
        <f>Y111</f>
        <v/>
      </c>
      <c r="N111" s="82" t="n">
        <v>46143</v>
      </c>
      <c r="O111" s="82" t="n">
        <v>46143</v>
      </c>
      <c r="P111" s="82" t="n">
        <v>46507</v>
      </c>
      <c r="R111" s="81">
        <f>SUM(AB111:AB111)</f>
        <v/>
      </c>
      <c r="S111" s="81" t="n">
        <v>0</v>
      </c>
      <c r="T111" s="81" t="n">
        <v>0</v>
      </c>
      <c r="Y111" s="81" t="n">
        <v>1250</v>
      </c>
    </row>
    <row r="112">
      <c r="A112" s="72">
        <f>$D$22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INDEX($C$5:$C$9,MATCH(I112,$D$5:$D$9,0))</f>
        <v/>
      </c>
      <c r="E112" s="72">
        <f>INDEX($E$5:$E$9,MATCH(D112,$C$5:$C$9,0))</f>
        <v/>
      </c>
      <c r="F112" s="72">
        <f>INDEX($F$5:$F$9,MATCH(D112,$C$5:$C$9,0))</f>
        <v/>
      </c>
      <c r="G112" s="72">
        <f>INDEX($G$5:$G$9,MATCH(D112,$C$5:$C$9,0))</f>
        <v/>
      </c>
      <c r="H112" s="72" t="inlineStr">
        <is>
          <t>81</t>
        </is>
      </c>
      <c r="I112" s="72" t="inlineStr">
        <is>
          <t>2 Bed 1 Bath</t>
        </is>
      </c>
      <c r="J112" s="80" t="n">
        <v>904</v>
      </c>
      <c r="K112" s="72" t="inlineStr">
        <is>
          <t>Robinson-Peoples (BMHA), Ciara</t>
        </is>
      </c>
      <c r="L112" s="81" t="n">
        <v>1325</v>
      </c>
      <c r="M112" s="81">
        <f>Y112</f>
        <v/>
      </c>
      <c r="N112" s="82" t="n">
        <v>45726</v>
      </c>
      <c r="O112" s="82" t="n">
        <v>45726</v>
      </c>
      <c r="P112" s="82" t="n">
        <v>46477</v>
      </c>
      <c r="Q112" s="82" t="n">
        <v>46387</v>
      </c>
      <c r="R112" s="81">
        <f>SUM(AB112:AB112)</f>
        <v/>
      </c>
      <c r="S112" s="81" t="n">
        <v>0</v>
      </c>
      <c r="T112" s="81" t="n">
        <v>0</v>
      </c>
      <c r="Y112" s="81" t="n">
        <v>1245</v>
      </c>
    </row>
    <row r="113">
      <c r="A113" s="72">
        <f>$D$22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INDEX($C$5:$C$9,MATCH(I113,$D$5:$D$9,0))</f>
        <v/>
      </c>
      <c r="E113" s="72">
        <f>INDEX($E$5:$E$9,MATCH(D113,$C$5:$C$9,0))</f>
        <v/>
      </c>
      <c r="F113" s="72">
        <f>INDEX($F$5:$F$9,MATCH(D113,$C$5:$C$9,0))</f>
        <v/>
      </c>
      <c r="G113" s="72">
        <f>INDEX($G$5:$G$9,MATCH(D113,$C$5:$C$9,0))</f>
        <v/>
      </c>
      <c r="H113" s="72" t="inlineStr">
        <is>
          <t>82</t>
        </is>
      </c>
      <c r="I113" s="72" t="inlineStr">
        <is>
          <t>2 Bed 1 Bath</t>
        </is>
      </c>
      <c r="J113" s="80" t="n">
        <v>904</v>
      </c>
      <c r="K113" s="72" t="inlineStr">
        <is>
          <t>Wigdor (RACB), Rachel</t>
        </is>
      </c>
      <c r="L113" s="81" t="n">
        <v>1325</v>
      </c>
      <c r="M113" s="81">
        <f>Y113</f>
        <v/>
      </c>
      <c r="N113" s="82" t="n">
        <v>45359</v>
      </c>
      <c r="O113" s="82" t="n">
        <v>45359</v>
      </c>
      <c r="P113" s="82" t="n">
        <v>46477</v>
      </c>
      <c r="R113" s="81">
        <f>SUM(AB113:AB113)</f>
        <v/>
      </c>
      <c r="S113" s="81" t="n">
        <v>0</v>
      </c>
      <c r="T113" s="81" t="n">
        <v>0</v>
      </c>
      <c r="Y113" s="81" t="n">
        <v>1325</v>
      </c>
    </row>
    <row r="114">
      <c r="A114" s="72">
        <f>$D$22</f>
        <v/>
      </c>
      <c r="B114" s="72">
        <f>B113+1</f>
        <v/>
      </c>
      <c r="C114" s="72">
        <f>IF(K114="Vacant","Vac",IF(K114="Model","Model",IF(K114="Admin","Admin",IF(K114="Down","Down",IF(K114="Super","Super","Occ")))))</f>
        <v/>
      </c>
      <c r="D114" s="72">
        <f>INDEX($C$5:$C$9,MATCH(I114,$D$5:$D$9,0))</f>
        <v/>
      </c>
      <c r="E114" s="72">
        <f>INDEX($E$5:$E$9,MATCH(D114,$C$5:$C$9,0))</f>
        <v/>
      </c>
      <c r="F114" s="72">
        <f>INDEX($F$5:$F$9,MATCH(D114,$C$5:$C$9,0))</f>
        <v/>
      </c>
      <c r="G114" s="72">
        <f>INDEX($G$5:$G$9,MATCH(D114,$C$5:$C$9,0))</f>
        <v/>
      </c>
      <c r="H114" s="72" t="inlineStr">
        <is>
          <t>83</t>
        </is>
      </c>
      <c r="I114" s="72" t="inlineStr">
        <is>
          <t>2 Bed 1 Bath</t>
        </is>
      </c>
      <c r="J114" s="80" t="n">
        <v>904</v>
      </c>
      <c r="K114" s="72" t="inlineStr">
        <is>
          <t>Lofton (BEL), Chinira</t>
        </is>
      </c>
      <c r="L114" s="81" t="n">
        <v>1325</v>
      </c>
      <c r="M114" s="81">
        <f>Y114</f>
        <v/>
      </c>
      <c r="N114" s="82" t="n">
        <v>45621</v>
      </c>
      <c r="O114" s="82" t="n">
        <v>45621</v>
      </c>
      <c r="P114" s="82" t="n">
        <v>45961</v>
      </c>
      <c r="R114" s="81">
        <f>SUM(AB114:AB114)</f>
        <v/>
      </c>
      <c r="S114" s="81" t="n">
        <v>0</v>
      </c>
      <c r="T114" s="81" t="n">
        <v>0</v>
      </c>
      <c r="Y114" s="81" t="n">
        <v>1230</v>
      </c>
    </row>
    <row r="115">
      <c r="A115" s="72">
        <f>$D$22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INDEX($C$5:$C$9,MATCH(I115,$D$5:$D$9,0))</f>
        <v/>
      </c>
      <c r="E115" s="72">
        <f>INDEX($E$5:$E$9,MATCH(D115,$C$5:$C$9,0))</f>
        <v/>
      </c>
      <c r="F115" s="72">
        <f>INDEX($F$5:$F$9,MATCH(D115,$C$5:$C$9,0))</f>
        <v/>
      </c>
      <c r="G115" s="72">
        <f>INDEX($G$5:$G$9,MATCH(D115,$C$5:$C$9,0))</f>
        <v/>
      </c>
      <c r="H115" s="72" t="inlineStr">
        <is>
          <t>84</t>
        </is>
      </c>
      <c r="I115" s="72" t="inlineStr">
        <is>
          <t>2 Bed 1 Bath</t>
        </is>
      </c>
      <c r="J115" s="80" t="n">
        <v>1250</v>
      </c>
      <c r="K115" s="72" t="inlineStr">
        <is>
          <t>Lindsay, Nosa'J</t>
        </is>
      </c>
      <c r="L115" s="81" t="n">
        <v>1325</v>
      </c>
      <c r="M115" s="81">
        <f>Y115</f>
        <v/>
      </c>
      <c r="N115" s="82" t="n">
        <v>45565</v>
      </c>
      <c r="O115" s="82" t="n">
        <v>45565</v>
      </c>
      <c r="P115" s="82" t="n">
        <v>46295</v>
      </c>
      <c r="Q115" s="82" t="n">
        <v>46286</v>
      </c>
      <c r="R115" s="81">
        <f>SUM(AB115:AB115)</f>
        <v/>
      </c>
      <c r="S115" s="81" t="n">
        <v>0</v>
      </c>
      <c r="T115" s="81" t="n">
        <v>0</v>
      </c>
      <c r="Y115" s="81" t="n">
        <v>1400</v>
      </c>
    </row>
    <row r="116">
      <c r="A116" s="72">
        <f>$D$22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INDEX($C$5:$C$9,MATCH(I116,$D$5:$D$9,0))</f>
        <v/>
      </c>
      <c r="E116" s="72">
        <f>INDEX($E$5:$E$9,MATCH(D116,$C$5:$C$9,0))</f>
        <v/>
      </c>
      <c r="F116" s="72">
        <f>INDEX($F$5:$F$9,MATCH(D116,$C$5:$C$9,0))</f>
        <v/>
      </c>
      <c r="G116" s="72">
        <f>INDEX($G$5:$G$9,MATCH(D116,$C$5:$C$9,0))</f>
        <v/>
      </c>
      <c r="H116" s="72" t="inlineStr">
        <is>
          <t>85</t>
        </is>
      </c>
      <c r="I116" s="72" t="inlineStr">
        <is>
          <t>2 Bed 1 Bath</t>
        </is>
      </c>
      <c r="J116" s="80" t="n">
        <v>904</v>
      </c>
      <c r="K116" s="72" t="inlineStr">
        <is>
          <t>Freeman (BFNC), Ebin</t>
        </is>
      </c>
      <c r="L116" s="81" t="n">
        <v>1325</v>
      </c>
      <c r="M116" s="81">
        <f>Y116</f>
        <v/>
      </c>
      <c r="N116" s="82" t="n">
        <v>45853</v>
      </c>
      <c r="O116" s="82" t="n">
        <v>45853</v>
      </c>
      <c r="P116" s="82" t="n">
        <v>46599</v>
      </c>
      <c r="R116" s="81">
        <f>SUM(AB116:AB116)</f>
        <v/>
      </c>
      <c r="S116" s="81" t="n">
        <v>0</v>
      </c>
      <c r="T116" s="81" t="n">
        <v>0</v>
      </c>
      <c r="Y116" s="81" t="n">
        <v>1325</v>
      </c>
    </row>
    <row r="117">
      <c r="A117" s="72">
        <f>$D$22</f>
        <v/>
      </c>
      <c r="B117" s="72">
        <f>B116+1</f>
        <v/>
      </c>
      <c r="C117" s="72">
        <f>IF(K117="Vacant","Vac",IF(K117="Model","Model",IF(K117="Admin","Admin",IF(K117="Down","Down",IF(K117="Super","Super","Occ")))))</f>
        <v/>
      </c>
      <c r="D117" s="72">
        <f>INDEX($C$5:$C$9,MATCH(I117,$D$5:$D$9,0))</f>
        <v/>
      </c>
      <c r="E117" s="72">
        <f>INDEX($E$5:$E$9,MATCH(D117,$C$5:$C$9,0))</f>
        <v/>
      </c>
      <c r="F117" s="72">
        <f>INDEX($F$5:$F$9,MATCH(D117,$C$5:$C$9,0))</f>
        <v/>
      </c>
      <c r="G117" s="72">
        <f>INDEX($G$5:$G$9,MATCH(D117,$C$5:$C$9,0))</f>
        <v/>
      </c>
      <c r="H117" s="72" t="inlineStr">
        <is>
          <t>86</t>
        </is>
      </c>
      <c r="I117" s="72" t="inlineStr">
        <is>
          <t>2 Bed 1 Bath</t>
        </is>
      </c>
      <c r="J117" s="80" t="n">
        <v>904</v>
      </c>
      <c r="K117" s="72" t="inlineStr">
        <is>
          <t>Rosario, Jose</t>
        </is>
      </c>
      <c r="L117" s="81" t="n">
        <v>1325</v>
      </c>
      <c r="M117" s="81">
        <f>Y117</f>
        <v/>
      </c>
      <c r="N117" s="82" t="n">
        <v>45243</v>
      </c>
      <c r="O117" s="82" t="n">
        <v>45243</v>
      </c>
      <c r="P117" s="82" t="n">
        <v>46356</v>
      </c>
      <c r="R117" s="81">
        <f>SUM(AB117:AB117)</f>
        <v/>
      </c>
      <c r="S117" s="81" t="n">
        <v>0</v>
      </c>
      <c r="T117" s="81" t="n">
        <v>0</v>
      </c>
      <c r="Y117" s="81" t="n">
        <v>1295</v>
      </c>
    </row>
    <row r="118">
      <c r="A118" s="72">
        <f>$D$22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INDEX($C$5:$C$9,MATCH(I118,$D$5:$D$9,0))</f>
        <v/>
      </c>
      <c r="E118" s="72">
        <f>INDEX($E$5:$E$9,MATCH(D118,$C$5:$C$9,0))</f>
        <v/>
      </c>
      <c r="F118" s="72">
        <f>INDEX($F$5:$F$9,MATCH(D118,$C$5:$C$9,0))</f>
        <v/>
      </c>
      <c r="G118" s="72">
        <f>INDEX($G$5:$G$9,MATCH(D118,$C$5:$C$9,0))</f>
        <v/>
      </c>
      <c r="H118" s="72" t="inlineStr">
        <is>
          <t>87</t>
        </is>
      </c>
      <c r="I118" s="72" t="inlineStr">
        <is>
          <t>2 Bed 1 Bath</t>
        </is>
      </c>
      <c r="J118" s="80" t="n">
        <v>904</v>
      </c>
      <c r="K118" s="72" t="inlineStr">
        <is>
          <t>Boykin, Jamee</t>
        </is>
      </c>
      <c r="L118" s="81" t="n">
        <v>1325</v>
      </c>
      <c r="M118" s="81">
        <f>Y118</f>
        <v/>
      </c>
      <c r="N118" s="82" t="n">
        <v>46113</v>
      </c>
      <c r="O118" s="82" t="n">
        <v>46113</v>
      </c>
      <c r="P118" s="82" t="n">
        <v>46477</v>
      </c>
      <c r="R118" s="81">
        <f>SUM(AB118:AB118)</f>
        <v/>
      </c>
      <c r="S118" s="81" t="n">
        <v>0</v>
      </c>
      <c r="T118" s="81" t="n">
        <v>0</v>
      </c>
      <c r="Y118" s="81" t="n">
        <v>1275</v>
      </c>
    </row>
    <row r="119">
      <c r="A119" s="72">
        <f>$D$22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INDEX($C$5:$C$9,MATCH(I119,$D$5:$D$9,0))</f>
        <v/>
      </c>
      <c r="E119" s="72">
        <f>INDEX($E$5:$E$9,MATCH(D119,$C$5:$C$9,0))</f>
        <v/>
      </c>
      <c r="F119" s="72">
        <f>INDEX($F$5:$F$9,MATCH(D119,$C$5:$C$9,0))</f>
        <v/>
      </c>
      <c r="G119" s="72">
        <f>INDEX($G$5:$G$9,MATCH(D119,$C$5:$C$9,0))</f>
        <v/>
      </c>
      <c r="H119" s="72" t="inlineStr">
        <is>
          <t>88</t>
        </is>
      </c>
      <c r="I119" s="72" t="inlineStr">
        <is>
          <t>2 Bed 1 Bath</t>
        </is>
      </c>
      <c r="J119" s="80" t="n">
        <v>904</v>
      </c>
      <c r="K119" s="72" t="inlineStr">
        <is>
          <t>Nevler, Philip</t>
        </is>
      </c>
      <c r="L119" s="81" t="n">
        <v>1325</v>
      </c>
      <c r="M119" s="81">
        <f>Y119</f>
        <v/>
      </c>
      <c r="N119" s="82" t="n">
        <v>39052</v>
      </c>
      <c r="O119" s="82" t="n">
        <v>39052</v>
      </c>
      <c r="P119" s="82" t="n">
        <v>46356</v>
      </c>
      <c r="R119" s="81">
        <f>SUM(AB119:AB119)</f>
        <v/>
      </c>
      <c r="S119" s="81" t="n">
        <v>0</v>
      </c>
      <c r="T119" s="81" t="n">
        <v>0</v>
      </c>
      <c r="Y119" s="81" t="n">
        <v>995</v>
      </c>
    </row>
    <row r="120">
      <c r="A120" s="72">
        <f>$D$22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INDEX($C$5:$C$9,MATCH(I120,$D$5:$D$9,0))</f>
        <v/>
      </c>
      <c r="E120" s="72">
        <f>INDEX($E$5:$E$9,MATCH(D120,$C$5:$C$9,0))</f>
        <v/>
      </c>
      <c r="F120" s="72">
        <f>INDEX($F$5:$F$9,MATCH(D120,$C$5:$C$9,0))</f>
        <v/>
      </c>
      <c r="G120" s="72">
        <f>INDEX($G$5:$G$9,MATCH(D120,$C$5:$C$9,0))</f>
        <v/>
      </c>
      <c r="H120" s="72" t="inlineStr">
        <is>
          <t>89</t>
        </is>
      </c>
      <c r="I120" s="72" t="inlineStr">
        <is>
          <t>2 Bed 1 Bath</t>
        </is>
      </c>
      <c r="J120" s="80" t="n">
        <v>904</v>
      </c>
      <c r="K120" s="72" t="inlineStr">
        <is>
          <t>Martin, Bennie</t>
        </is>
      </c>
      <c r="L120" s="81" t="n">
        <v>1325</v>
      </c>
      <c r="M120" s="81">
        <f>Y120</f>
        <v/>
      </c>
      <c r="N120" s="82" t="n">
        <v>45122</v>
      </c>
      <c r="O120" s="82" t="n">
        <v>45122</v>
      </c>
      <c r="P120" s="82" t="n">
        <v>46418</v>
      </c>
      <c r="R120" s="81">
        <f>SUM(AB120:AB120)</f>
        <v/>
      </c>
      <c r="S120" s="81" t="n">
        <v>0</v>
      </c>
      <c r="T120" s="81" t="n">
        <v>0</v>
      </c>
      <c r="Y120" s="81" t="n">
        <v>1295</v>
      </c>
    </row>
    <row r="121">
      <c r="A121" s="72">
        <f>$D$22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INDEX($C$5:$C$9,MATCH(I121,$D$5:$D$9,0))</f>
        <v/>
      </c>
      <c r="E121" s="72">
        <f>INDEX($E$5:$E$9,MATCH(D121,$C$5:$C$9,0))</f>
        <v/>
      </c>
      <c r="F121" s="72">
        <f>INDEX($F$5:$F$9,MATCH(D121,$C$5:$C$9,0))</f>
        <v/>
      </c>
      <c r="G121" s="72">
        <f>INDEX($G$5:$G$9,MATCH(D121,$C$5:$C$9,0))</f>
        <v/>
      </c>
      <c r="H121" s="72" t="inlineStr">
        <is>
          <t>90</t>
        </is>
      </c>
      <c r="I121" s="72" t="inlineStr">
        <is>
          <t>2 Bed 1 Bath</t>
        </is>
      </c>
      <c r="J121" s="80" t="n">
        <v>904</v>
      </c>
      <c r="K121" s="72" t="inlineStr">
        <is>
          <t>Reinard (Bel), Amanda</t>
        </is>
      </c>
      <c r="L121" s="81" t="n">
        <v>1275</v>
      </c>
      <c r="M121" s="81">
        <f>Y121</f>
        <v/>
      </c>
      <c r="N121" s="82" t="n">
        <v>45775</v>
      </c>
      <c r="O121" s="82" t="n">
        <v>45775</v>
      </c>
      <c r="P121" s="82" t="n">
        <v>46507</v>
      </c>
      <c r="R121" s="81">
        <f>SUM(AB121:AB121)</f>
        <v/>
      </c>
      <c r="S121" s="81" t="n">
        <v>0</v>
      </c>
      <c r="T121" s="81" t="n">
        <v>0</v>
      </c>
      <c r="Y121" s="81" t="n">
        <v>1192</v>
      </c>
    </row>
    <row r="122">
      <c r="A122" s="72">
        <f>$D$22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INDEX($C$5:$C$9,MATCH(I122,$D$5:$D$9,0))</f>
        <v/>
      </c>
      <c r="E122" s="72">
        <f>INDEX($E$5:$E$9,MATCH(D122,$C$5:$C$9,0))</f>
        <v/>
      </c>
      <c r="F122" s="72">
        <f>INDEX($F$5:$F$9,MATCH(D122,$C$5:$C$9,0))</f>
        <v/>
      </c>
      <c r="G122" s="72">
        <f>INDEX($G$5:$G$9,MATCH(D122,$C$5:$C$9,0))</f>
        <v/>
      </c>
      <c r="H122" s="72" t="inlineStr">
        <is>
          <t>91</t>
        </is>
      </c>
      <c r="I122" s="72" t="inlineStr">
        <is>
          <t>1 Bed 1 Bath</t>
        </is>
      </c>
      <c r="J122" s="80" t="n">
        <v>760</v>
      </c>
      <c r="K122" s="72" t="inlineStr">
        <is>
          <t>Jones (DePaul), Hope</t>
        </is>
      </c>
      <c r="L122" s="81" t="n">
        <v>1100</v>
      </c>
      <c r="M122" s="81">
        <f>Y122</f>
        <v/>
      </c>
      <c r="N122" s="82" t="n">
        <v>45595</v>
      </c>
      <c r="O122" s="82" t="n">
        <v>45595</v>
      </c>
      <c r="P122" s="82" t="n">
        <v>46326</v>
      </c>
      <c r="R122" s="81">
        <f>SUM(AB122:AB122)</f>
        <v/>
      </c>
      <c r="S122" s="81" t="n">
        <v>0</v>
      </c>
      <c r="T122" s="81" t="n">
        <v>0</v>
      </c>
      <c r="Y122" s="81" t="n">
        <v>1195</v>
      </c>
    </row>
    <row r="123">
      <c r="A123" s="72">
        <f>$D$22</f>
        <v/>
      </c>
      <c r="B123" s="72">
        <f>B122+1</f>
        <v/>
      </c>
      <c r="C123" s="72">
        <f>IF(K123="Vacant","Vac",IF(K123="Model","Model",IF(K123="Admin","Admin",IF(K123="Down","Down",IF(K123="Super","Super","Occ")))))</f>
        <v/>
      </c>
      <c r="D123" s="72">
        <f>INDEX($C$5:$C$9,MATCH(I123,$D$5:$D$9,0))</f>
        <v/>
      </c>
      <c r="E123" s="72">
        <f>INDEX($E$5:$E$9,MATCH(D123,$C$5:$C$9,0))</f>
        <v/>
      </c>
      <c r="F123" s="72">
        <f>INDEX($F$5:$F$9,MATCH(D123,$C$5:$C$9,0))</f>
        <v/>
      </c>
      <c r="G123" s="72">
        <f>INDEX($G$5:$G$9,MATCH(D123,$C$5:$C$9,0))</f>
        <v/>
      </c>
      <c r="H123" s="72" t="inlineStr">
        <is>
          <t>92</t>
        </is>
      </c>
      <c r="I123" s="72" t="inlineStr">
        <is>
          <t>3 Bed/1Bath FP</t>
        </is>
      </c>
      <c r="J123" s="80" t="n">
        <v>1026</v>
      </c>
      <c r="K123" s="72" t="inlineStr">
        <is>
          <t>Williams-pearsall, Shavone</t>
        </is>
      </c>
      <c r="L123" s="81" t="n">
        <v>1450</v>
      </c>
      <c r="M123" s="81">
        <f>Y123</f>
        <v/>
      </c>
      <c r="N123" s="82" t="n">
        <v>46023</v>
      </c>
      <c r="O123" s="82" t="n">
        <v>46023</v>
      </c>
      <c r="P123" s="82" t="n">
        <v>46418</v>
      </c>
      <c r="R123" s="81">
        <f>SUM(AB123:AB123)</f>
        <v/>
      </c>
      <c r="S123" s="81" t="n">
        <v>0</v>
      </c>
      <c r="T123" s="81" t="n">
        <v>0</v>
      </c>
      <c r="Y123" s="81" t="n">
        <v>1375</v>
      </c>
    </row>
    <row r="124">
      <c r="A124" s="72">
        <f>$D$22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INDEX($C$5:$C$9,MATCH(I124,$D$5:$D$9,0))</f>
        <v/>
      </c>
      <c r="E124" s="72">
        <f>INDEX($E$5:$E$9,MATCH(D124,$C$5:$C$9,0))</f>
        <v/>
      </c>
      <c r="F124" s="72">
        <f>INDEX($F$5:$F$9,MATCH(D124,$C$5:$C$9,0))</f>
        <v/>
      </c>
      <c r="G124" s="72">
        <f>INDEX($G$5:$G$9,MATCH(D124,$C$5:$C$9,0))</f>
        <v/>
      </c>
      <c r="H124" s="72" t="inlineStr">
        <is>
          <t>93</t>
        </is>
      </c>
      <c r="I124" s="72" t="inlineStr">
        <is>
          <t>1 Bed 1 Bath</t>
        </is>
      </c>
      <c r="J124" s="80" t="n">
        <v>760</v>
      </c>
      <c r="K124" s="72" t="inlineStr">
        <is>
          <t>Gelia (RACB), Gina</t>
        </is>
      </c>
      <c r="L124" s="81" t="n">
        <v>1100</v>
      </c>
      <c r="M124" s="81">
        <f>Y124</f>
        <v/>
      </c>
      <c r="N124" s="82" t="n">
        <v>45141</v>
      </c>
      <c r="O124" s="82" t="n">
        <v>45141</v>
      </c>
      <c r="P124" s="82" t="n">
        <v>45961</v>
      </c>
      <c r="R124" s="81">
        <f>SUM(AB124:AB124)</f>
        <v/>
      </c>
      <c r="S124" s="81" t="n">
        <v>0</v>
      </c>
      <c r="T124" s="81" t="n">
        <v>0</v>
      </c>
      <c r="Y124" s="81" t="n">
        <v>1125</v>
      </c>
      <c r="AB124" s="81" t="n">
        <v>200</v>
      </c>
    </row>
    <row r="125">
      <c r="A125" s="83">
        <f>$D$22</f>
        <v/>
      </c>
      <c r="B125" s="83">
        <f>B124+1</f>
        <v/>
      </c>
      <c r="C125" s="83">
        <f>IF(K125="Vacant","Vac",IF(K125="Model","Model",IF(K125="Admin","Admin",IF(K125="Down","Down",IF(K125="Super","Super","Occ")))))</f>
        <v/>
      </c>
      <c r="D125" s="83">
        <f>INDEX($C$5:$C$9,MATCH(I125,$D$5:$D$9,0))</f>
        <v/>
      </c>
      <c r="E125" s="83">
        <f>INDEX($E$5:$E$9,MATCH(D125,$C$5:$C$9,0))</f>
        <v/>
      </c>
      <c r="F125" s="83">
        <f>INDEX($F$5:$F$9,MATCH(D125,$C$5:$C$9,0))</f>
        <v/>
      </c>
      <c r="G125" s="83">
        <f>INDEX($G$5:$G$9,MATCH(D125,$C$5:$C$9,0))</f>
        <v/>
      </c>
      <c r="H125" s="83" t="inlineStr">
        <is>
          <t>94</t>
        </is>
      </c>
      <c r="I125" s="83" t="inlineStr">
        <is>
          <t>3 Bed/1Bath FP</t>
        </is>
      </c>
      <c r="J125" s="84" t="n">
        <v>1400</v>
      </c>
      <c r="K125" s="83" t="inlineStr">
        <is>
          <t>Vacant</t>
        </is>
      </c>
      <c r="L125" s="85" t="n">
        <v>1375</v>
      </c>
      <c r="M125" s="85">
        <f>Y125</f>
        <v/>
      </c>
      <c r="N125" s="86" t="n"/>
      <c r="O125" s="86" t="n"/>
      <c r="P125" s="86" t="n"/>
      <c r="Q125" s="86" t="n"/>
      <c r="R125" s="85">
        <f>SUM(AB125:AB125)</f>
        <v/>
      </c>
      <c r="S125" s="85" t="n">
        <v>0</v>
      </c>
      <c r="T125" s="85" t="n">
        <v>0</v>
      </c>
      <c r="U125" s="86" t="n"/>
      <c r="V125" s="86" t="n"/>
      <c r="W125" s="86" t="n"/>
      <c r="X125" s="86" t="n"/>
      <c r="Y125" s="85" t="n">
        <v>0</v>
      </c>
      <c r="Z125" s="86" t="n"/>
      <c r="AA125" s="86" t="n"/>
      <c r="AB125" s="86" t="n"/>
    </row>
    <row r="126">
      <c r="A126" s="72">
        <f>$D$22</f>
        <v/>
      </c>
      <c r="B126" s="72">
        <f>B125+1</f>
        <v/>
      </c>
      <c r="C126" s="72">
        <f>IF(K126="Vacant","Vac",IF(K126="Model","Model",IF(K126="Admin","Admin",IF(K126="Down","Down",IF(K126="Super","Super","Occ")))))</f>
        <v/>
      </c>
      <c r="D126" s="72">
        <f>INDEX($C$5:$C$9,MATCH(I126,$D$5:$D$9,0))</f>
        <v/>
      </c>
      <c r="E126" s="72">
        <f>INDEX($E$5:$E$9,MATCH(D126,$C$5:$C$9,0))</f>
        <v/>
      </c>
      <c r="F126" s="72">
        <f>INDEX($F$5:$F$9,MATCH(D126,$C$5:$C$9,0))</f>
        <v/>
      </c>
      <c r="G126" s="72">
        <f>INDEX($G$5:$G$9,MATCH(D126,$C$5:$C$9,0))</f>
        <v/>
      </c>
      <c r="H126" s="72" t="inlineStr">
        <is>
          <t>95</t>
        </is>
      </c>
      <c r="I126" s="72" t="inlineStr">
        <is>
          <t>1 Bed 1 Bath</t>
        </is>
      </c>
      <c r="J126" s="80" t="n">
        <v>760</v>
      </c>
      <c r="K126" s="72" t="inlineStr">
        <is>
          <t>Haslip, Brittany</t>
        </is>
      </c>
      <c r="L126" s="81" t="n">
        <v>1100</v>
      </c>
      <c r="M126" s="81">
        <f>Y126</f>
        <v/>
      </c>
      <c r="N126" s="82" t="n">
        <v>45449</v>
      </c>
      <c r="O126" s="82" t="n">
        <v>45449</v>
      </c>
      <c r="P126" s="82" t="n">
        <v>46203</v>
      </c>
      <c r="R126" s="81">
        <f>SUM(AB126:AB126)</f>
        <v/>
      </c>
      <c r="S126" s="81" t="n">
        <v>0</v>
      </c>
      <c r="T126" s="81" t="n">
        <v>0</v>
      </c>
      <c r="Y126" s="81" t="n">
        <v>1250</v>
      </c>
    </row>
    <row r="127">
      <c r="A127" s="72">
        <f>$D$22</f>
        <v/>
      </c>
      <c r="B127" s="72">
        <f>B126+1</f>
        <v/>
      </c>
      <c r="C127" s="72">
        <f>IF(K127="Vacant","Vac",IF(K127="Model","Model",IF(K127="Admin","Admin",IF(K127="Down","Down",IF(K127="Super","Super","Occ")))))</f>
        <v/>
      </c>
      <c r="D127" s="72">
        <f>INDEX($C$5:$C$9,MATCH(I127,$D$5:$D$9,0))</f>
        <v/>
      </c>
      <c r="E127" s="72">
        <f>INDEX($E$5:$E$9,MATCH(D127,$C$5:$C$9,0))</f>
        <v/>
      </c>
      <c r="F127" s="72">
        <f>INDEX($F$5:$F$9,MATCH(D127,$C$5:$C$9,0))</f>
        <v/>
      </c>
      <c r="G127" s="72">
        <f>INDEX($G$5:$G$9,MATCH(D127,$C$5:$C$9,0))</f>
        <v/>
      </c>
      <c r="H127" s="72" t="inlineStr">
        <is>
          <t>96</t>
        </is>
      </c>
      <c r="I127" s="72" t="inlineStr">
        <is>
          <t>3 Bed/ 1Bath</t>
        </is>
      </c>
      <c r="J127" s="80" t="n">
        <v>1026</v>
      </c>
      <c r="K127" s="72" t="inlineStr">
        <is>
          <t>Madlock (BEL), Eaton</t>
        </is>
      </c>
      <c r="L127" s="81" t="n">
        <v>1450</v>
      </c>
      <c r="M127" s="81">
        <f>Y127</f>
        <v/>
      </c>
      <c r="N127" s="82" t="n">
        <v>45323</v>
      </c>
      <c r="O127" s="82" t="n">
        <v>45323</v>
      </c>
      <c r="P127" s="82" t="n">
        <v>46418</v>
      </c>
      <c r="R127" s="81">
        <f>SUM(AB127:AB127)</f>
        <v/>
      </c>
      <c r="S127" s="81" t="n">
        <v>0</v>
      </c>
      <c r="T127" s="81" t="n">
        <v>0</v>
      </c>
      <c r="Y127" s="81" t="n">
        <v>1495</v>
      </c>
    </row>
    <row r="128">
      <c r="A128" s="72">
        <f>$D$22</f>
        <v/>
      </c>
      <c r="B128" s="72">
        <f>B127+1</f>
        <v/>
      </c>
      <c r="C128" s="72">
        <f>IF(K128="Vacant","Vac",IF(K128="Model","Model",IF(K128="Admin","Admin",IF(K128="Down","Down",IF(K128="Super","Super","Occ")))))</f>
        <v/>
      </c>
      <c r="D128" s="72">
        <f>INDEX($C$5:$C$9,MATCH(I128,$D$5:$D$9,0))</f>
        <v/>
      </c>
      <c r="E128" s="72">
        <f>INDEX($E$5:$E$9,MATCH(D128,$C$5:$C$9,0))</f>
        <v/>
      </c>
      <c r="F128" s="72">
        <f>INDEX($F$5:$F$9,MATCH(D128,$C$5:$C$9,0))</f>
        <v/>
      </c>
      <c r="G128" s="72">
        <f>INDEX($G$5:$G$9,MATCH(D128,$C$5:$C$9,0))</f>
        <v/>
      </c>
      <c r="H128" s="72" t="inlineStr">
        <is>
          <t>97</t>
        </is>
      </c>
      <c r="I128" s="72" t="inlineStr">
        <is>
          <t>1 Bed 1 Bath</t>
        </is>
      </c>
      <c r="J128" s="80" t="n">
        <v>760</v>
      </c>
      <c r="K128" s="72" t="inlineStr">
        <is>
          <t>Torres, Carmen (BMHA)</t>
        </is>
      </c>
      <c r="L128" s="81" t="n">
        <v>1100</v>
      </c>
      <c r="M128" s="81">
        <f>Y128</f>
        <v/>
      </c>
      <c r="N128" s="82" t="n">
        <v>46023</v>
      </c>
      <c r="O128" s="82" t="n">
        <v>46023</v>
      </c>
      <c r="P128" s="82" t="n">
        <v>46387</v>
      </c>
      <c r="R128" s="81">
        <f>SUM(AB128:AB128)</f>
        <v/>
      </c>
      <c r="S128" s="81" t="n">
        <v>0</v>
      </c>
      <c r="T128" s="81" t="n">
        <v>0</v>
      </c>
      <c r="Y128" s="81" t="n">
        <v>1100</v>
      </c>
    </row>
    <row r="129">
      <c r="A129" s="72">
        <f>$D$22</f>
        <v/>
      </c>
      <c r="B129" s="72">
        <f>B128+1</f>
        <v/>
      </c>
      <c r="C129" s="72">
        <f>IF(K129="Vacant","Vac",IF(K129="Model","Model",IF(K129="Admin","Admin",IF(K129="Down","Down",IF(K129="Super","Super","Occ")))))</f>
        <v/>
      </c>
      <c r="D129" s="72">
        <f>INDEX($C$5:$C$9,MATCH(I129,$D$5:$D$9,0))</f>
        <v/>
      </c>
      <c r="E129" s="72">
        <f>INDEX($E$5:$E$9,MATCH(D129,$C$5:$C$9,0))</f>
        <v/>
      </c>
      <c r="F129" s="72">
        <f>INDEX($F$5:$F$9,MATCH(D129,$C$5:$C$9,0))</f>
        <v/>
      </c>
      <c r="G129" s="72">
        <f>INDEX($G$5:$G$9,MATCH(D129,$C$5:$C$9,0))</f>
        <v/>
      </c>
      <c r="H129" s="72" t="inlineStr">
        <is>
          <t>98</t>
        </is>
      </c>
      <c r="I129" s="72" t="inlineStr">
        <is>
          <t>2 Bed 1 Bath</t>
        </is>
      </c>
      <c r="J129" s="80" t="n">
        <v>1026</v>
      </c>
      <c r="K129" s="72" t="inlineStr">
        <is>
          <t>Patton (Evergreen), LaKaylea</t>
        </is>
      </c>
      <c r="L129" s="81" t="n">
        <v>1325</v>
      </c>
      <c r="M129" s="81">
        <f>Y129</f>
        <v/>
      </c>
      <c r="N129" s="82" t="n">
        <v>45602</v>
      </c>
      <c r="O129" s="82" t="n">
        <v>45602</v>
      </c>
      <c r="P129" s="82" t="n">
        <v>46356</v>
      </c>
      <c r="R129" s="81">
        <f>SUM(AB129:AB129)</f>
        <v/>
      </c>
      <c r="S129" s="81" t="n">
        <v>0</v>
      </c>
      <c r="T129" s="81" t="n">
        <v>0</v>
      </c>
      <c r="Y129" s="81" t="n">
        <v>1425</v>
      </c>
    </row>
    <row r="130">
      <c r="A130" s="72">
        <f>$D$22</f>
        <v/>
      </c>
      <c r="B130" s="72">
        <f>B129+1</f>
        <v/>
      </c>
      <c r="C130" s="72">
        <f>IF(K130="Vacant","Vac",IF(K130="Model","Model",IF(K130="Admin","Admin",IF(K130="Down","Down",IF(K130="Super","Super","Occ")))))</f>
        <v/>
      </c>
      <c r="D130" s="72">
        <f>INDEX($C$5:$C$9,MATCH(I130,$D$5:$D$9,0))</f>
        <v/>
      </c>
      <c r="E130" s="72">
        <f>INDEX($E$5:$E$9,MATCH(D130,$C$5:$C$9,0))</f>
        <v/>
      </c>
      <c r="F130" s="72">
        <f>INDEX($F$5:$F$9,MATCH(D130,$C$5:$C$9,0))</f>
        <v/>
      </c>
      <c r="G130" s="72">
        <f>INDEX($G$5:$G$9,MATCH(D130,$C$5:$C$9,0))</f>
        <v/>
      </c>
      <c r="H130" s="72" t="inlineStr">
        <is>
          <t>99</t>
        </is>
      </c>
      <c r="I130" s="72" t="inlineStr">
        <is>
          <t>1 Bed 1 Bath</t>
        </is>
      </c>
      <c r="J130" s="80" t="n">
        <v>760</v>
      </c>
      <c r="K130" s="72" t="inlineStr">
        <is>
          <t>Brown (BFNC), Chris</t>
        </is>
      </c>
      <c r="L130" s="81" t="n">
        <v>1100</v>
      </c>
      <c r="M130" s="81">
        <f>Y130</f>
        <v/>
      </c>
      <c r="N130" s="82" t="n">
        <v>45931</v>
      </c>
      <c r="O130" s="82" t="n">
        <v>45931</v>
      </c>
      <c r="P130" s="82" t="n">
        <v>46295</v>
      </c>
      <c r="R130" s="81">
        <f>SUM(AB130:AB130)</f>
        <v/>
      </c>
      <c r="S130" s="81" t="n">
        <v>0</v>
      </c>
      <c r="T130" s="81" t="n">
        <v>0</v>
      </c>
      <c r="Y130" s="81" t="n">
        <v>1095</v>
      </c>
    </row>
    <row r="131">
      <c r="A131" s="72">
        <f>$D$22</f>
        <v/>
      </c>
      <c r="B131" s="72">
        <f>B130+1</f>
        <v/>
      </c>
      <c r="C131" s="72">
        <f>IF(K131="Vacant","Vac",IF(K131="Model","Model",IF(K131="Admin","Admin",IF(K131="Down","Down",IF(K131="Super","Super","Occ")))))</f>
        <v/>
      </c>
      <c r="D131" s="72">
        <f>INDEX($C$5:$C$9,MATCH(I131,$D$5:$D$9,0))</f>
        <v/>
      </c>
      <c r="E131" s="72">
        <f>INDEX($E$5:$E$9,MATCH(D131,$C$5:$C$9,0))</f>
        <v/>
      </c>
      <c r="F131" s="72">
        <f>INDEX($F$5:$F$9,MATCH(D131,$C$5:$C$9,0))</f>
        <v/>
      </c>
      <c r="G131" s="72">
        <f>INDEX($G$5:$G$9,MATCH(D131,$C$5:$C$9,0))</f>
        <v/>
      </c>
      <c r="H131" s="72" t="inlineStr">
        <is>
          <t>100</t>
        </is>
      </c>
      <c r="I131" s="72" t="inlineStr">
        <is>
          <t>3 Bed/1Bath FP</t>
        </is>
      </c>
      <c r="J131" s="80" t="n">
        <v>1026</v>
      </c>
      <c r="K131" s="72" t="inlineStr">
        <is>
          <t>McClerkin, Kierra</t>
        </is>
      </c>
      <c r="L131" s="81" t="n">
        <v>1325</v>
      </c>
      <c r="M131" s="81">
        <f>Y131</f>
        <v/>
      </c>
      <c r="N131" s="82" t="n">
        <v>42767</v>
      </c>
      <c r="O131" s="82" t="n">
        <v>42767</v>
      </c>
      <c r="P131" s="82" t="n">
        <v>46234</v>
      </c>
      <c r="R131" s="81">
        <f>SUM(AB131:AB131)</f>
        <v/>
      </c>
      <c r="S131" s="81" t="n">
        <v>0</v>
      </c>
      <c r="T131" s="81" t="n">
        <v>0</v>
      </c>
      <c r="Y131" s="81" t="n">
        <v>1000</v>
      </c>
    </row>
    <row r="132">
      <c r="A132" s="72">
        <f>$D$22</f>
        <v/>
      </c>
      <c r="B132" s="72">
        <f>B131+1</f>
        <v/>
      </c>
      <c r="C132" s="72">
        <f>IF(K132="Vacant","Vac",IF(K132="Model","Model",IF(K132="Admin","Admin",IF(K132="Down","Down",IF(K132="Super","Super","Occ")))))</f>
        <v/>
      </c>
      <c r="D132" s="72">
        <f>INDEX($C$5:$C$9,MATCH(I132,$D$5:$D$9,0))</f>
        <v/>
      </c>
      <c r="E132" s="72">
        <f>INDEX($E$5:$E$9,MATCH(D132,$C$5:$C$9,0))</f>
        <v/>
      </c>
      <c r="F132" s="72">
        <f>INDEX($F$5:$F$9,MATCH(D132,$C$5:$C$9,0))</f>
        <v/>
      </c>
      <c r="G132" s="72">
        <f>INDEX($G$5:$G$9,MATCH(D132,$C$5:$C$9,0))</f>
        <v/>
      </c>
      <c r="H132" s="72" t="inlineStr">
        <is>
          <t>101</t>
        </is>
      </c>
      <c r="I132" s="72" t="inlineStr">
        <is>
          <t>2 Bed 1 Bath</t>
        </is>
      </c>
      <c r="J132" s="80" t="n">
        <v>904</v>
      </c>
      <c r="K132" s="72" t="inlineStr">
        <is>
          <t>Podgorny, Elizabeth</t>
        </is>
      </c>
      <c r="L132" s="81" t="n">
        <v>1325</v>
      </c>
      <c r="M132" s="81">
        <f>Y132</f>
        <v/>
      </c>
      <c r="N132" s="82" t="n">
        <v>42340</v>
      </c>
      <c r="O132" s="82" t="n">
        <v>42340</v>
      </c>
      <c r="P132" s="82" t="n">
        <v>46356</v>
      </c>
      <c r="R132" s="81">
        <f>SUM(AB132:AB132)</f>
        <v/>
      </c>
      <c r="S132" s="81" t="n">
        <v>0</v>
      </c>
      <c r="T132" s="81" t="n">
        <v>0</v>
      </c>
      <c r="Y132" s="81" t="n">
        <v>1050</v>
      </c>
    </row>
    <row r="133">
      <c r="A133" s="72">
        <f>$D$22</f>
        <v/>
      </c>
      <c r="B133" s="72">
        <f>B132+1</f>
        <v/>
      </c>
      <c r="C133" s="72">
        <f>IF(K133="Vacant","Vac",IF(K133="Model","Model",IF(K133="Admin","Admin",IF(K133="Down","Down",IF(K133="Super","Super","Occ")))))</f>
        <v/>
      </c>
      <c r="D133" s="72">
        <f>INDEX($C$5:$C$9,MATCH(I133,$D$5:$D$9,0))</f>
        <v/>
      </c>
      <c r="E133" s="72">
        <f>INDEX($E$5:$E$9,MATCH(D133,$C$5:$C$9,0))</f>
        <v/>
      </c>
      <c r="F133" s="72">
        <f>INDEX($F$5:$F$9,MATCH(D133,$C$5:$C$9,0))</f>
        <v/>
      </c>
      <c r="G133" s="72">
        <f>INDEX($G$5:$G$9,MATCH(D133,$C$5:$C$9,0))</f>
        <v/>
      </c>
      <c r="H133" s="72" t="inlineStr">
        <is>
          <t>102</t>
        </is>
      </c>
      <c r="I133" s="72" t="inlineStr">
        <is>
          <t>3 Bed 1.5 Bath</t>
        </is>
      </c>
      <c r="J133" s="80" t="n">
        <v>1076</v>
      </c>
      <c r="K133" s="72" t="inlineStr">
        <is>
          <t>Matthews, Yakeyda (RACB)</t>
        </is>
      </c>
      <c r="L133" s="81" t="n">
        <v>1400</v>
      </c>
      <c r="M133" s="81">
        <f>Y133</f>
        <v/>
      </c>
      <c r="N133" s="82" t="n">
        <v>45931</v>
      </c>
      <c r="O133" s="82" t="n">
        <v>45931</v>
      </c>
      <c r="P133" s="82" t="n">
        <v>46660</v>
      </c>
      <c r="R133" s="81">
        <f>SUM(AB133:AB133)</f>
        <v/>
      </c>
      <c r="S133" s="81" t="n">
        <v>0</v>
      </c>
      <c r="T133" s="81" t="n">
        <v>0</v>
      </c>
      <c r="Y133" s="81" t="n">
        <v>1400</v>
      </c>
    </row>
    <row r="134">
      <c r="A134" s="72">
        <f>$D$22</f>
        <v/>
      </c>
      <c r="B134" s="72">
        <f>B133+1</f>
        <v/>
      </c>
      <c r="C134" s="72">
        <f>IF(K134="Vacant","Vac",IF(K134="Model","Model",IF(K134="Admin","Admin",IF(K134="Down","Down",IF(K134="Super","Super","Occ")))))</f>
        <v/>
      </c>
      <c r="D134" s="72">
        <f>INDEX($C$5:$C$9,MATCH(I134,$D$5:$D$9,0))</f>
        <v/>
      </c>
      <c r="E134" s="72">
        <f>INDEX($E$5:$E$9,MATCH(D134,$C$5:$C$9,0))</f>
        <v/>
      </c>
      <c r="F134" s="72">
        <f>INDEX($F$5:$F$9,MATCH(D134,$C$5:$C$9,0))</f>
        <v/>
      </c>
      <c r="G134" s="72">
        <f>INDEX($G$5:$G$9,MATCH(D134,$C$5:$C$9,0))</f>
        <v/>
      </c>
      <c r="H134" s="72" t="inlineStr">
        <is>
          <t>103</t>
        </is>
      </c>
      <c r="I134" s="72" t="inlineStr">
        <is>
          <t>3 Bed 1.5 Bath</t>
        </is>
      </c>
      <c r="J134" s="80" t="n">
        <v>1076</v>
      </c>
      <c r="K134" s="72" t="inlineStr">
        <is>
          <t>Funderburk, Khadia</t>
        </is>
      </c>
      <c r="L134" s="81" t="n">
        <v>1450</v>
      </c>
      <c r="M134" s="81">
        <f>Y134</f>
        <v/>
      </c>
      <c r="N134" s="82" t="n">
        <v>45580</v>
      </c>
      <c r="O134" s="82" t="n">
        <v>45580</v>
      </c>
      <c r="P134" s="82" t="n">
        <v>46691</v>
      </c>
      <c r="R134" s="81">
        <f>SUM(AB134:AB134)</f>
        <v/>
      </c>
      <c r="S134" s="81" t="n">
        <v>0</v>
      </c>
      <c r="T134" s="81" t="n">
        <v>0</v>
      </c>
      <c r="Y134" s="81" t="n">
        <v>1450</v>
      </c>
    </row>
    <row r="135">
      <c r="A135" s="72">
        <f>$D$22</f>
        <v/>
      </c>
      <c r="B135" s="72">
        <f>B134+1</f>
        <v/>
      </c>
      <c r="C135" s="72">
        <f>IF(K135="Vacant","Vac",IF(K135="Model","Model",IF(K135="Admin","Admin",IF(K135="Down","Down",IF(K135="Super","Super","Occ")))))</f>
        <v/>
      </c>
      <c r="D135" s="72">
        <f>INDEX($C$5:$C$9,MATCH(I135,$D$5:$D$9,0))</f>
        <v/>
      </c>
      <c r="E135" s="72">
        <f>INDEX($E$5:$E$9,MATCH(D135,$C$5:$C$9,0))</f>
        <v/>
      </c>
      <c r="F135" s="72">
        <f>INDEX($F$5:$F$9,MATCH(D135,$C$5:$C$9,0))</f>
        <v/>
      </c>
      <c r="G135" s="72">
        <f>INDEX($G$5:$G$9,MATCH(D135,$C$5:$C$9,0))</f>
        <v/>
      </c>
      <c r="H135" s="72" t="inlineStr">
        <is>
          <t>104</t>
        </is>
      </c>
      <c r="I135" s="72" t="inlineStr">
        <is>
          <t>2 Bed 1 Bath</t>
        </is>
      </c>
      <c r="J135" s="80" t="n">
        <v>904</v>
      </c>
      <c r="K135" s="72" t="inlineStr">
        <is>
          <t>Swann, Gina</t>
        </is>
      </c>
      <c r="L135" s="81" t="n">
        <v>1325</v>
      </c>
      <c r="M135" s="81">
        <f>Y135</f>
        <v/>
      </c>
      <c r="N135" s="82" t="n">
        <v>46143</v>
      </c>
      <c r="O135" s="82" t="n">
        <v>46143</v>
      </c>
      <c r="P135" s="82" t="n">
        <v>46507</v>
      </c>
      <c r="R135" s="81">
        <f>SUM(AB135:AB135)</f>
        <v/>
      </c>
      <c r="S135" s="81" t="n">
        <v>0</v>
      </c>
      <c r="T135" s="81" t="n">
        <v>0</v>
      </c>
      <c r="Y135" s="81" t="n">
        <v>1250</v>
      </c>
    </row>
    <row r="136">
      <c r="A136" s="72">
        <f>$D$22</f>
        <v/>
      </c>
      <c r="B136" s="72">
        <f>B135+1</f>
        <v/>
      </c>
      <c r="C136" s="72">
        <f>IF(K136="Vacant","Vac",IF(K136="Model","Model",IF(K136="Admin","Admin",IF(K136="Down","Down",IF(K136="Super","Super","Occ")))))</f>
        <v/>
      </c>
      <c r="D136" s="72">
        <f>INDEX($C$5:$C$9,MATCH(I136,$D$5:$D$9,0))</f>
        <v/>
      </c>
      <c r="E136" s="72">
        <f>INDEX($E$5:$E$9,MATCH(D136,$C$5:$C$9,0))</f>
        <v/>
      </c>
      <c r="F136" s="72">
        <f>INDEX($F$5:$F$9,MATCH(D136,$C$5:$C$9,0))</f>
        <v/>
      </c>
      <c r="G136" s="72">
        <f>INDEX($G$5:$G$9,MATCH(D136,$C$5:$C$9,0))</f>
        <v/>
      </c>
      <c r="H136" s="72" t="inlineStr">
        <is>
          <t>105</t>
        </is>
      </c>
      <c r="I136" s="72" t="inlineStr">
        <is>
          <t>2 Bed 1 Bath</t>
        </is>
      </c>
      <c r="J136" s="80" t="n">
        <v>904</v>
      </c>
      <c r="K136" s="72" t="inlineStr">
        <is>
          <t>Moseley, Dara</t>
        </is>
      </c>
      <c r="L136" s="81" t="n">
        <v>1325</v>
      </c>
      <c r="M136" s="81">
        <f>Y136</f>
        <v/>
      </c>
      <c r="N136" s="82" t="n">
        <v>45085</v>
      </c>
      <c r="O136" s="82" t="n">
        <v>45085</v>
      </c>
      <c r="P136" s="82" t="n">
        <v>46203</v>
      </c>
      <c r="R136" s="81">
        <f>SUM(AB136:AB136)</f>
        <v/>
      </c>
      <c r="S136" s="81" t="n">
        <v>0</v>
      </c>
      <c r="T136" s="81" t="n">
        <v>0</v>
      </c>
      <c r="Y136" s="81" t="n">
        <v>1350</v>
      </c>
    </row>
    <row r="137">
      <c r="A137" s="72">
        <f>$D$22</f>
        <v/>
      </c>
      <c r="B137" s="72">
        <f>B136+1</f>
        <v/>
      </c>
      <c r="C137" s="72">
        <f>IF(K137="Vacant","Vac",IF(K137="Model","Model",IF(K137="Admin","Admin",IF(K137="Down","Down",IF(K137="Super","Super","Occ")))))</f>
        <v/>
      </c>
      <c r="D137" s="72">
        <f>INDEX($C$5:$C$9,MATCH(I137,$D$5:$D$9,0))</f>
        <v/>
      </c>
      <c r="E137" s="72">
        <f>INDEX($E$5:$E$9,MATCH(D137,$C$5:$C$9,0))</f>
        <v/>
      </c>
      <c r="F137" s="72">
        <f>INDEX($F$5:$F$9,MATCH(D137,$C$5:$C$9,0))</f>
        <v/>
      </c>
      <c r="G137" s="72">
        <f>INDEX($G$5:$G$9,MATCH(D137,$C$5:$C$9,0))</f>
        <v/>
      </c>
      <c r="H137" s="72" t="inlineStr">
        <is>
          <t>106</t>
        </is>
      </c>
      <c r="I137" s="72" t="inlineStr">
        <is>
          <t>2 Bed 1 Bath</t>
        </is>
      </c>
      <c r="J137" s="80" t="n">
        <v>904</v>
      </c>
      <c r="K137" s="72" t="inlineStr">
        <is>
          <t>Compton, Donald</t>
        </is>
      </c>
      <c r="L137" s="81" t="n">
        <v>1325</v>
      </c>
      <c r="M137" s="81">
        <f>Y137</f>
        <v/>
      </c>
      <c r="N137" s="82" t="n">
        <v>46053</v>
      </c>
      <c r="O137" s="82" t="n">
        <v>46053</v>
      </c>
      <c r="P137" s="82" t="n">
        <v>46418</v>
      </c>
      <c r="R137" s="81">
        <f>SUM(AB137:AB137)</f>
        <v/>
      </c>
      <c r="S137" s="81" t="n">
        <v>0</v>
      </c>
      <c r="T137" s="81" t="n">
        <v>0</v>
      </c>
      <c r="Y137" s="81" t="n">
        <v>1295</v>
      </c>
    </row>
    <row r="138">
      <c r="A138" s="72">
        <f>$D$22</f>
        <v/>
      </c>
      <c r="B138" s="72">
        <f>B137+1</f>
        <v/>
      </c>
      <c r="C138" s="72">
        <f>IF(K138="Vacant","Vac",IF(K138="Model","Model",IF(K138="Admin","Admin",IF(K138="Down","Down",IF(K138="Super","Super","Occ")))))</f>
        <v/>
      </c>
      <c r="D138" s="72">
        <f>INDEX($C$5:$C$9,MATCH(I138,$D$5:$D$9,0))</f>
        <v/>
      </c>
      <c r="E138" s="72">
        <f>INDEX($E$5:$E$9,MATCH(D138,$C$5:$C$9,0))</f>
        <v/>
      </c>
      <c r="F138" s="72">
        <f>INDEX($F$5:$F$9,MATCH(D138,$C$5:$C$9,0))</f>
        <v/>
      </c>
      <c r="G138" s="72">
        <f>INDEX($G$5:$G$9,MATCH(D138,$C$5:$C$9,0))</f>
        <v/>
      </c>
      <c r="H138" s="72" t="inlineStr">
        <is>
          <t>107</t>
        </is>
      </c>
      <c r="I138" s="72" t="inlineStr">
        <is>
          <t>2 Bed 1 Bath</t>
        </is>
      </c>
      <c r="J138" s="80" t="n">
        <v>904</v>
      </c>
      <c r="K138" s="72" t="inlineStr">
        <is>
          <t>Reynolds (BEL), Warnette</t>
        </is>
      </c>
      <c r="L138" s="81" t="n">
        <v>1325</v>
      </c>
      <c r="M138" s="81">
        <f>Y138</f>
        <v/>
      </c>
      <c r="N138" s="82" t="n">
        <v>42552</v>
      </c>
      <c r="O138" s="82" t="n">
        <v>42552</v>
      </c>
      <c r="P138" s="82" t="n">
        <v>46691</v>
      </c>
      <c r="R138" s="81">
        <f>SUM(AB138:AB138)</f>
        <v/>
      </c>
      <c r="S138" s="81" t="n">
        <v>0</v>
      </c>
      <c r="T138" s="81" t="n">
        <v>0</v>
      </c>
      <c r="Y138" s="81" t="n">
        <v>1050</v>
      </c>
    </row>
    <row r="139">
      <c r="A139" s="72">
        <f>$D$22</f>
        <v/>
      </c>
      <c r="B139" s="72">
        <f>B138+1</f>
        <v/>
      </c>
      <c r="C139" s="72">
        <f>IF(K139="Vacant","Vac",IF(K139="Model","Model",IF(K139="Admin","Admin",IF(K139="Down","Down",IF(K139="Super","Super","Occ")))))</f>
        <v/>
      </c>
      <c r="D139" s="72">
        <f>INDEX($C$5:$C$9,MATCH(I139,$D$5:$D$9,0))</f>
        <v/>
      </c>
      <c r="E139" s="72">
        <f>INDEX($E$5:$E$9,MATCH(D139,$C$5:$C$9,0))</f>
        <v/>
      </c>
      <c r="F139" s="72">
        <f>INDEX($F$5:$F$9,MATCH(D139,$C$5:$C$9,0))</f>
        <v/>
      </c>
      <c r="G139" s="72">
        <f>INDEX($G$5:$G$9,MATCH(D139,$C$5:$C$9,0))</f>
        <v/>
      </c>
      <c r="H139" s="72" t="inlineStr">
        <is>
          <t>108</t>
        </is>
      </c>
      <c r="I139" s="72" t="inlineStr">
        <is>
          <t>2 Bed 1 Bath</t>
        </is>
      </c>
      <c r="J139" s="80" t="n">
        <v>904</v>
      </c>
      <c r="K139" s="72" t="inlineStr">
        <is>
          <t>Copeland (RACB), Takela</t>
        </is>
      </c>
      <c r="L139" s="81" t="n">
        <v>1325</v>
      </c>
      <c r="M139" s="81">
        <f>Y139</f>
        <v/>
      </c>
      <c r="N139" s="82" t="n">
        <v>45413</v>
      </c>
      <c r="O139" s="82" t="n">
        <v>45413</v>
      </c>
      <c r="P139" s="82" t="n">
        <v>46507</v>
      </c>
      <c r="R139" s="81">
        <f>SUM(AB139:AB139)</f>
        <v/>
      </c>
      <c r="S139" s="81" t="n">
        <v>0</v>
      </c>
      <c r="T139" s="81" t="n">
        <v>0</v>
      </c>
      <c r="Y139" s="81" t="n">
        <v>1250</v>
      </c>
    </row>
    <row r="140">
      <c r="A140" s="72">
        <f>$D$22</f>
        <v/>
      </c>
      <c r="B140" s="72">
        <f>B139+1</f>
        <v/>
      </c>
      <c r="C140" s="72">
        <f>IF(K140="Vacant","Vac",IF(K140="Model","Model",IF(K140="Admin","Admin",IF(K140="Down","Down",IF(K140="Super","Super","Occ")))))</f>
        <v/>
      </c>
      <c r="D140" s="72">
        <f>INDEX($C$5:$C$9,MATCH(I140,$D$5:$D$9,0))</f>
        <v/>
      </c>
      <c r="E140" s="72">
        <f>INDEX($E$5:$E$9,MATCH(D140,$C$5:$C$9,0))</f>
        <v/>
      </c>
      <c r="F140" s="72">
        <f>INDEX($F$5:$F$9,MATCH(D140,$C$5:$C$9,0))</f>
        <v/>
      </c>
      <c r="G140" s="72">
        <f>INDEX($G$5:$G$9,MATCH(D140,$C$5:$C$9,0))</f>
        <v/>
      </c>
      <c r="H140" s="72" t="inlineStr">
        <is>
          <t>109</t>
        </is>
      </c>
      <c r="I140" s="72" t="inlineStr">
        <is>
          <t>2 Bed 1 Bath</t>
        </is>
      </c>
      <c r="J140" s="80" t="n">
        <v>904</v>
      </c>
      <c r="K140" s="72" t="inlineStr">
        <is>
          <t>Holmes, Candice</t>
        </is>
      </c>
      <c r="L140" s="81" t="n">
        <v>1325</v>
      </c>
      <c r="M140" s="81">
        <f>Y140</f>
        <v/>
      </c>
      <c r="N140" s="82" t="n">
        <v>44438</v>
      </c>
      <c r="O140" s="82" t="n">
        <v>44438</v>
      </c>
      <c r="P140" s="82" t="n">
        <v>45777</v>
      </c>
      <c r="R140" s="81">
        <f>SUM(AB140:AB140)</f>
        <v/>
      </c>
      <c r="S140" s="81" t="n">
        <v>0</v>
      </c>
      <c r="T140" s="81" t="n">
        <v>0</v>
      </c>
      <c r="Y140" s="81" t="n">
        <v>1425</v>
      </c>
    </row>
    <row r="141">
      <c r="A141" s="72">
        <f>$D$22</f>
        <v/>
      </c>
      <c r="B141" s="72">
        <f>B140+1</f>
        <v/>
      </c>
      <c r="C141" s="72">
        <f>IF(K141="Vacant","Vac",IF(K141="Model","Model",IF(K141="Admin","Admin",IF(K141="Down","Down",IF(K141="Super","Super","Occ")))))</f>
        <v/>
      </c>
      <c r="D141" s="72">
        <f>INDEX($C$5:$C$9,MATCH(I141,$D$5:$D$9,0))</f>
        <v/>
      </c>
      <c r="E141" s="72">
        <f>INDEX($E$5:$E$9,MATCH(D141,$C$5:$C$9,0))</f>
        <v/>
      </c>
      <c r="F141" s="72">
        <f>INDEX($F$5:$F$9,MATCH(D141,$C$5:$C$9,0))</f>
        <v/>
      </c>
      <c r="G141" s="72">
        <f>INDEX($G$5:$G$9,MATCH(D141,$C$5:$C$9,0))</f>
        <v/>
      </c>
      <c r="H141" s="72" t="inlineStr">
        <is>
          <t>110</t>
        </is>
      </c>
      <c r="I141" s="72" t="inlineStr">
        <is>
          <t>2 Bed 1 Bath</t>
        </is>
      </c>
      <c r="J141" s="80" t="n">
        <v>1250</v>
      </c>
      <c r="K141" s="72" t="inlineStr">
        <is>
          <t>McCarter, Lynea</t>
        </is>
      </c>
      <c r="L141" s="81" t="n">
        <v>1325</v>
      </c>
      <c r="M141" s="81">
        <f>Y141</f>
        <v/>
      </c>
      <c r="N141" s="82" t="n">
        <v>45818</v>
      </c>
      <c r="O141" s="82" t="n">
        <v>45818</v>
      </c>
      <c r="P141" s="82" t="n">
        <v>46203</v>
      </c>
      <c r="R141" s="81">
        <f>SUM(AB141:AB141)</f>
        <v/>
      </c>
      <c r="S141" s="81" t="n">
        <v>0</v>
      </c>
      <c r="T141" s="81" t="n">
        <v>0</v>
      </c>
      <c r="Y141" s="81" t="n">
        <v>1275</v>
      </c>
    </row>
    <row r="142">
      <c r="A142" s="72">
        <f>$D$22</f>
        <v/>
      </c>
      <c r="B142" s="72">
        <f>B141+1</f>
        <v/>
      </c>
      <c r="C142" s="72">
        <f>IF(K142="Vacant","Vac",IF(K142="Model","Model",IF(K142="Admin","Admin",IF(K142="Down","Down",IF(K142="Super","Super","Occ")))))</f>
        <v/>
      </c>
      <c r="D142" s="72">
        <f>INDEX($C$5:$C$9,MATCH(I142,$D$5:$D$9,0))</f>
        <v/>
      </c>
      <c r="E142" s="72">
        <f>INDEX($E$5:$E$9,MATCH(D142,$C$5:$C$9,0))</f>
        <v/>
      </c>
      <c r="F142" s="72">
        <f>INDEX($F$5:$F$9,MATCH(D142,$C$5:$C$9,0))</f>
        <v/>
      </c>
      <c r="G142" s="72">
        <f>INDEX($G$5:$G$9,MATCH(D142,$C$5:$C$9,0))</f>
        <v/>
      </c>
      <c r="H142" s="72" t="inlineStr">
        <is>
          <t>111</t>
        </is>
      </c>
      <c r="I142" s="72" t="inlineStr">
        <is>
          <t>2 Bed 1 Bath</t>
        </is>
      </c>
      <c r="J142" s="80" t="n">
        <v>904</v>
      </c>
      <c r="K142" s="72" t="inlineStr">
        <is>
          <t>Garner, Antwan</t>
        </is>
      </c>
      <c r="L142" s="81" t="n">
        <v>1325</v>
      </c>
      <c r="M142" s="81">
        <f>Y142</f>
        <v/>
      </c>
      <c r="N142" s="82" t="n">
        <v>46082</v>
      </c>
      <c r="O142" s="82" t="n">
        <v>46082</v>
      </c>
      <c r="P142" s="82" t="n">
        <v>46478</v>
      </c>
      <c r="R142" s="81">
        <f>SUM(AB142:AB142)</f>
        <v/>
      </c>
      <c r="S142" s="81" t="n">
        <v>0</v>
      </c>
      <c r="T142" s="81" t="n">
        <v>0</v>
      </c>
      <c r="Y142" s="81" t="n">
        <v>1295</v>
      </c>
    </row>
    <row r="143">
      <c r="A143" s="83">
        <f>$D$22</f>
        <v/>
      </c>
      <c r="B143" s="83">
        <f>B142+1</f>
        <v/>
      </c>
      <c r="C143" s="83">
        <f>IF(K143="Vacant","Vac",IF(K143="Model","Model",IF(K143="Admin","Admin",IF(K143="Down","Down",IF(K143="Super","Super","Occ")))))</f>
        <v/>
      </c>
      <c r="D143" s="83">
        <f>INDEX($C$5:$C$9,MATCH(I143,$D$5:$D$9,0))</f>
        <v/>
      </c>
      <c r="E143" s="83">
        <f>INDEX($E$5:$E$9,MATCH(D143,$C$5:$C$9,0))</f>
        <v/>
      </c>
      <c r="F143" s="83">
        <f>INDEX($F$5:$F$9,MATCH(D143,$C$5:$C$9,0))</f>
        <v/>
      </c>
      <c r="G143" s="83">
        <f>INDEX($G$5:$G$9,MATCH(D143,$C$5:$C$9,0))</f>
        <v/>
      </c>
      <c r="H143" s="83" t="inlineStr">
        <is>
          <t>112</t>
        </is>
      </c>
      <c r="I143" s="83" t="inlineStr">
        <is>
          <t>2 Bed 1 Bath</t>
        </is>
      </c>
      <c r="J143" s="84" t="n">
        <v>1250</v>
      </c>
      <c r="K143" s="83" t="inlineStr">
        <is>
          <t>Vacant</t>
        </is>
      </c>
      <c r="L143" s="85" t="n">
        <v>1200</v>
      </c>
      <c r="M143" s="85">
        <f>Y143</f>
        <v/>
      </c>
      <c r="N143" s="86" t="n"/>
      <c r="O143" s="86" t="n"/>
      <c r="P143" s="86" t="n"/>
      <c r="Q143" s="86" t="n"/>
      <c r="R143" s="85">
        <f>SUM(AB143:AB143)</f>
        <v/>
      </c>
      <c r="S143" s="85" t="n">
        <v>0</v>
      </c>
      <c r="T143" s="85" t="n">
        <v>0</v>
      </c>
      <c r="U143" s="86" t="n"/>
      <c r="V143" s="86" t="n"/>
      <c r="W143" s="86" t="n"/>
      <c r="X143" s="86" t="n"/>
      <c r="Y143" s="85" t="n">
        <v>0</v>
      </c>
      <c r="Z143" s="86" t="n"/>
      <c r="AA143" s="86" t="n"/>
      <c r="AB143" s="86" t="n"/>
    </row>
    <row r="144">
      <c r="A144" s="72">
        <f>$D$22</f>
        <v/>
      </c>
      <c r="B144" s="72">
        <f>B143+1</f>
        <v/>
      </c>
      <c r="C144" s="72">
        <f>IF(K144="Vacant","Vac",IF(K144="Model","Model",IF(K144="Admin","Admin",IF(K144="Down","Down",IF(K144="Super","Super","Occ")))))</f>
        <v/>
      </c>
      <c r="D144" s="72">
        <f>INDEX($C$5:$C$9,MATCH(I144,$D$5:$D$9,0))</f>
        <v/>
      </c>
      <c r="E144" s="72">
        <f>INDEX($E$5:$E$9,MATCH(D144,$C$5:$C$9,0))</f>
        <v/>
      </c>
      <c r="F144" s="72">
        <f>INDEX($F$5:$F$9,MATCH(D144,$C$5:$C$9,0))</f>
        <v/>
      </c>
      <c r="G144" s="72">
        <f>INDEX($G$5:$G$9,MATCH(D144,$C$5:$C$9,0))</f>
        <v/>
      </c>
      <c r="H144" s="72" t="inlineStr">
        <is>
          <t>113</t>
        </is>
      </c>
      <c r="I144" s="72" t="inlineStr">
        <is>
          <t>2 Bed 1 Bath</t>
        </is>
      </c>
      <c r="J144" s="80" t="n">
        <v>904</v>
      </c>
      <c r="K144" s="72" t="inlineStr">
        <is>
          <t>Conway, Christian</t>
        </is>
      </c>
      <c r="L144" s="81" t="n">
        <v>1325</v>
      </c>
      <c r="M144" s="81">
        <f>Y144</f>
        <v/>
      </c>
      <c r="N144" s="82" t="n">
        <v>45047</v>
      </c>
      <c r="O144" s="82" t="n">
        <v>45047</v>
      </c>
      <c r="P144" s="82" t="n">
        <v>46418</v>
      </c>
      <c r="R144" s="81">
        <f>SUM(AB144:AB144)</f>
        <v/>
      </c>
      <c r="S144" s="81" t="n">
        <v>0</v>
      </c>
      <c r="T144" s="81" t="n">
        <v>0</v>
      </c>
      <c r="Y144" s="81" t="n">
        <v>1325</v>
      </c>
    </row>
    <row r="145">
      <c r="A145" s="72">
        <f>$D$22</f>
        <v/>
      </c>
      <c r="B145" s="72">
        <f>B144+1</f>
        <v/>
      </c>
      <c r="C145" s="72">
        <f>IF(K145="Vacant","Vac",IF(K145="Model","Model",IF(K145="Admin","Admin",IF(K145="Down","Down",IF(K145="Super","Super","Occ")))))</f>
        <v/>
      </c>
      <c r="D145" s="72">
        <f>INDEX($C$5:$C$9,MATCH(I145,$D$5:$D$9,0))</f>
        <v/>
      </c>
      <c r="E145" s="72">
        <f>INDEX($E$5:$E$9,MATCH(D145,$C$5:$C$9,0))</f>
        <v/>
      </c>
      <c r="F145" s="72">
        <f>INDEX($F$5:$F$9,MATCH(D145,$C$5:$C$9,0))</f>
        <v/>
      </c>
      <c r="G145" s="72">
        <f>INDEX($G$5:$G$9,MATCH(D145,$C$5:$C$9,0))</f>
        <v/>
      </c>
      <c r="H145" s="72" t="inlineStr">
        <is>
          <t>114</t>
        </is>
      </c>
      <c r="I145" s="72" t="inlineStr">
        <is>
          <t>2 Bed 1 Bath</t>
        </is>
      </c>
      <c r="J145" s="80" t="n">
        <v>904</v>
      </c>
      <c r="K145" s="72" t="inlineStr">
        <is>
          <t>Battaglia (TSI), Anthony</t>
        </is>
      </c>
      <c r="L145" s="81" t="n">
        <v>1325</v>
      </c>
      <c r="M145" s="81">
        <f>Y145</f>
        <v/>
      </c>
      <c r="N145" s="82" t="n">
        <v>44516</v>
      </c>
      <c r="O145" s="82" t="n">
        <v>44516</v>
      </c>
      <c r="P145" s="82" t="n">
        <v>46356</v>
      </c>
      <c r="R145" s="81">
        <f>SUM(AB145:AB145)</f>
        <v/>
      </c>
      <c r="S145" s="81" t="n">
        <v>0</v>
      </c>
      <c r="T145" s="81" t="n">
        <v>0</v>
      </c>
      <c r="Y145" s="81" t="n">
        <v>1450</v>
      </c>
    </row>
    <row r="146">
      <c r="A146" s="72">
        <f>$D$22</f>
        <v/>
      </c>
      <c r="B146" s="72">
        <f>B145+1</f>
        <v/>
      </c>
      <c r="C146" s="72">
        <f>IF(K146="Vacant","Vac",IF(K146="Model","Model",IF(K146="Admin","Admin",IF(K146="Down","Down",IF(K146="Super","Super","Occ")))))</f>
        <v/>
      </c>
      <c r="D146" s="72">
        <f>INDEX($C$5:$C$9,MATCH(I146,$D$5:$D$9,0))</f>
        <v/>
      </c>
      <c r="E146" s="72">
        <f>INDEX($E$5:$E$9,MATCH(D146,$C$5:$C$9,0))</f>
        <v/>
      </c>
      <c r="F146" s="72">
        <f>INDEX($F$5:$F$9,MATCH(D146,$C$5:$C$9,0))</f>
        <v/>
      </c>
      <c r="G146" s="72">
        <f>INDEX($G$5:$G$9,MATCH(D146,$C$5:$C$9,0))</f>
        <v/>
      </c>
      <c r="H146" s="72" t="inlineStr">
        <is>
          <t>115</t>
        </is>
      </c>
      <c r="I146" s="72" t="inlineStr">
        <is>
          <t>2 Bed 1 Bath</t>
        </is>
      </c>
      <c r="J146" s="80" t="n">
        <v>904</v>
      </c>
      <c r="K146" s="72" t="inlineStr">
        <is>
          <t>Flores Rosario, Gysellys</t>
        </is>
      </c>
      <c r="L146" s="81" t="n">
        <v>1325</v>
      </c>
      <c r="M146" s="81">
        <f>Y146</f>
        <v/>
      </c>
      <c r="N146" s="82" t="n">
        <v>45370</v>
      </c>
      <c r="O146" s="82" t="n">
        <v>45370</v>
      </c>
      <c r="P146" s="82" t="n">
        <v>46477</v>
      </c>
      <c r="R146" s="81">
        <f>SUM(AB146:AB146)</f>
        <v/>
      </c>
      <c r="S146" s="81" t="n">
        <v>0</v>
      </c>
      <c r="T146" s="81" t="n">
        <v>0</v>
      </c>
      <c r="Y146" s="81" t="n">
        <v>1375</v>
      </c>
    </row>
    <row r="147">
      <c r="A147" s="83">
        <f>$D$22</f>
        <v/>
      </c>
      <c r="B147" s="83">
        <f>B146+1</f>
        <v/>
      </c>
      <c r="C147" s="83">
        <f>IF(K147="Vacant","Vac",IF(K147="Model","Model",IF(K147="Admin","Admin",IF(K147="Down","Down",IF(K147="Super","Super","Occ")))))</f>
        <v/>
      </c>
      <c r="D147" s="83">
        <f>INDEX($C$5:$C$9,MATCH(I147,$D$5:$D$9,0))</f>
        <v/>
      </c>
      <c r="E147" s="83">
        <f>INDEX($E$5:$E$9,MATCH(D147,$C$5:$C$9,0))</f>
        <v/>
      </c>
      <c r="F147" s="83">
        <f>INDEX($F$5:$F$9,MATCH(D147,$C$5:$C$9,0))</f>
        <v/>
      </c>
      <c r="G147" s="83">
        <f>INDEX($G$5:$G$9,MATCH(D147,$C$5:$C$9,0))</f>
        <v/>
      </c>
      <c r="H147" s="83" t="inlineStr">
        <is>
          <t>116</t>
        </is>
      </c>
      <c r="I147" s="83" t="inlineStr">
        <is>
          <t>2 Bed 1 Bath</t>
        </is>
      </c>
      <c r="J147" s="84" t="n">
        <v>904</v>
      </c>
      <c r="K147" s="83" t="inlineStr">
        <is>
          <t>Vacant</t>
        </is>
      </c>
      <c r="L147" s="85" t="n">
        <v>1200</v>
      </c>
      <c r="M147" s="85">
        <f>Y147</f>
        <v/>
      </c>
      <c r="N147" s="86" t="n"/>
      <c r="O147" s="86" t="n"/>
      <c r="P147" s="86" t="n"/>
      <c r="Q147" s="86" t="n"/>
      <c r="R147" s="85">
        <f>SUM(AB147:AB147)</f>
        <v/>
      </c>
      <c r="S147" s="85" t="n">
        <v>0</v>
      </c>
      <c r="T147" s="85" t="n">
        <v>0</v>
      </c>
      <c r="U147" s="86" t="n"/>
      <c r="V147" s="86" t="n"/>
      <c r="W147" s="86" t="n"/>
      <c r="X147" s="86" t="n"/>
      <c r="Y147" s="85" t="n">
        <v>0</v>
      </c>
      <c r="Z147" s="86" t="n"/>
      <c r="AA147" s="86" t="n"/>
      <c r="AB147" s="86" t="n"/>
    </row>
    <row r="148">
      <c r="A148" s="72">
        <f>$D$22</f>
        <v/>
      </c>
      <c r="B148" s="72">
        <f>B147+1</f>
        <v/>
      </c>
      <c r="C148" s="72">
        <f>IF(K148="Vacant","Vac",IF(K148="Model","Model",IF(K148="Admin","Admin",IF(K148="Down","Down",IF(K148="Super","Super","Occ")))))</f>
        <v/>
      </c>
      <c r="D148" s="72">
        <f>INDEX($C$5:$C$9,MATCH(I148,$D$5:$D$9,0))</f>
        <v/>
      </c>
      <c r="E148" s="72">
        <f>INDEX($E$5:$E$9,MATCH(D148,$C$5:$C$9,0))</f>
        <v/>
      </c>
      <c r="F148" s="72">
        <f>INDEX($F$5:$F$9,MATCH(D148,$C$5:$C$9,0))</f>
        <v/>
      </c>
      <c r="G148" s="72">
        <f>INDEX($G$5:$G$9,MATCH(D148,$C$5:$C$9,0))</f>
        <v/>
      </c>
      <c r="H148" s="72" t="inlineStr">
        <is>
          <t>117</t>
        </is>
      </c>
      <c r="I148" s="72" t="inlineStr">
        <is>
          <t>2 Bed 1 Bath</t>
        </is>
      </c>
      <c r="J148" s="80" t="n">
        <v>904</v>
      </c>
      <c r="K148" s="72" t="inlineStr">
        <is>
          <t>Daniels, Samantha</t>
        </is>
      </c>
      <c r="L148" s="81" t="n">
        <v>1325</v>
      </c>
      <c r="M148" s="81">
        <f>Y148</f>
        <v/>
      </c>
      <c r="N148" s="82" t="n">
        <v>43647</v>
      </c>
      <c r="O148" s="82" t="n">
        <v>43647</v>
      </c>
      <c r="P148" s="82" t="n">
        <v>46507</v>
      </c>
      <c r="R148" s="81">
        <f>SUM(AB148:AB148)</f>
        <v/>
      </c>
      <c r="S148" s="81" t="n">
        <v>0</v>
      </c>
      <c r="T148" s="81" t="n">
        <v>0</v>
      </c>
      <c r="Y148" s="81" t="n">
        <v>1200</v>
      </c>
    </row>
    <row r="149">
      <c r="A149" s="72">
        <f>$D$22</f>
        <v/>
      </c>
      <c r="B149" s="72">
        <f>B148+1</f>
        <v/>
      </c>
      <c r="C149" s="72">
        <f>IF(K149="Vacant","Vac",IF(K149="Model","Model",IF(K149="Admin","Admin",IF(K149="Down","Down",IF(K149="Super","Super","Occ")))))</f>
        <v/>
      </c>
      <c r="D149" s="72">
        <f>INDEX($C$5:$C$9,MATCH(I149,$D$5:$D$9,0))</f>
        <v/>
      </c>
      <c r="E149" s="72">
        <f>INDEX($E$5:$E$9,MATCH(D149,$C$5:$C$9,0))</f>
        <v/>
      </c>
      <c r="F149" s="72">
        <f>INDEX($F$5:$F$9,MATCH(D149,$C$5:$C$9,0))</f>
        <v/>
      </c>
      <c r="G149" s="72">
        <f>INDEX($G$5:$G$9,MATCH(D149,$C$5:$C$9,0))</f>
        <v/>
      </c>
      <c r="H149" s="72" t="inlineStr">
        <is>
          <t>118</t>
        </is>
      </c>
      <c r="I149" s="72" t="inlineStr">
        <is>
          <t>2 Bed 1 Bath</t>
        </is>
      </c>
      <c r="J149" s="80" t="n">
        <v>904</v>
      </c>
      <c r="K149" s="72" t="inlineStr">
        <is>
          <t>Pimental (RACB), Janet</t>
        </is>
      </c>
      <c r="L149" s="81" t="n">
        <v>1325</v>
      </c>
      <c r="M149" s="81">
        <f>Y149</f>
        <v/>
      </c>
      <c r="N149" s="82" t="n">
        <v>38763</v>
      </c>
      <c r="O149" s="82" t="n">
        <v>38763</v>
      </c>
      <c r="P149" s="82" t="n">
        <v>46446</v>
      </c>
      <c r="R149" s="81">
        <f>SUM(AB149:AB149)</f>
        <v/>
      </c>
      <c r="S149" s="81" t="n">
        <v>0</v>
      </c>
      <c r="T149" s="81" t="n">
        <v>0</v>
      </c>
      <c r="Y149" s="81" t="n">
        <v>1395</v>
      </c>
    </row>
    <row r="150">
      <c r="A150" s="72">
        <f>$D$22</f>
        <v/>
      </c>
      <c r="B150" s="72">
        <f>B149+1</f>
        <v/>
      </c>
      <c r="C150" s="72">
        <f>IF(K150="Vacant","Vac",IF(K150="Model","Model",IF(K150="Admin","Admin",IF(K150="Down","Down",IF(K150="Super","Super","Occ")))))</f>
        <v/>
      </c>
      <c r="D150" s="72">
        <f>INDEX($C$5:$C$9,MATCH(I150,$D$5:$D$9,0))</f>
        <v/>
      </c>
      <c r="E150" s="72">
        <f>INDEX($E$5:$E$9,MATCH(D150,$C$5:$C$9,0))</f>
        <v/>
      </c>
      <c r="F150" s="72">
        <f>INDEX($F$5:$F$9,MATCH(D150,$C$5:$C$9,0))</f>
        <v/>
      </c>
      <c r="G150" s="72">
        <f>INDEX($G$5:$G$9,MATCH(D150,$C$5:$C$9,0))</f>
        <v/>
      </c>
      <c r="H150" s="72" t="inlineStr">
        <is>
          <t>119</t>
        </is>
      </c>
      <c r="I150" s="72" t="inlineStr">
        <is>
          <t>2 Bed 1 Bath</t>
        </is>
      </c>
      <c r="J150" s="80" t="n">
        <v>904</v>
      </c>
      <c r="K150" s="72" t="inlineStr">
        <is>
          <t>Allen, Joseph</t>
        </is>
      </c>
      <c r="L150" s="81" t="n">
        <v>1325</v>
      </c>
      <c r="M150" s="81">
        <f>Y150</f>
        <v/>
      </c>
      <c r="N150" s="82" t="n">
        <v>46023</v>
      </c>
      <c r="O150" s="82" t="n">
        <v>46023</v>
      </c>
      <c r="P150" s="82" t="n">
        <v>46387</v>
      </c>
      <c r="R150" s="81">
        <f>SUM(AB150:AB150)</f>
        <v/>
      </c>
      <c r="S150" s="81" t="n">
        <v>0</v>
      </c>
      <c r="T150" s="81" t="n">
        <v>0</v>
      </c>
      <c r="Y150" s="81" t="n">
        <v>1325</v>
      </c>
    </row>
    <row r="151">
      <c r="A151" s="72">
        <f>$D$22</f>
        <v/>
      </c>
      <c r="B151" s="72">
        <f>B150+1</f>
        <v/>
      </c>
      <c r="C151" s="72">
        <f>IF(K151="Vacant","Vac",IF(K151="Model","Model",IF(K151="Admin","Admin",IF(K151="Down","Down",IF(K151="Super","Super","Occ")))))</f>
        <v/>
      </c>
      <c r="D151" s="72">
        <f>INDEX($C$5:$C$9,MATCH(I151,$D$5:$D$9,0))</f>
        <v/>
      </c>
      <c r="E151" s="72">
        <f>INDEX($E$5:$E$9,MATCH(D151,$C$5:$C$9,0))</f>
        <v/>
      </c>
      <c r="F151" s="72">
        <f>INDEX($F$5:$F$9,MATCH(D151,$C$5:$C$9,0))</f>
        <v/>
      </c>
      <c r="G151" s="72">
        <f>INDEX($G$5:$G$9,MATCH(D151,$C$5:$C$9,0))</f>
        <v/>
      </c>
      <c r="H151" s="72" t="inlineStr">
        <is>
          <t>120</t>
        </is>
      </c>
      <c r="I151" s="72" t="inlineStr">
        <is>
          <t>2 Bed 1 Bath</t>
        </is>
      </c>
      <c r="J151" s="80" t="n">
        <v>904</v>
      </c>
      <c r="K151" s="72" t="inlineStr">
        <is>
          <t>Johnson, Theressa</t>
        </is>
      </c>
      <c r="L151" s="81" t="n">
        <v>1325</v>
      </c>
      <c r="M151" s="81">
        <f>Y151</f>
        <v/>
      </c>
      <c r="N151" s="82" t="n">
        <v>44927</v>
      </c>
      <c r="O151" s="82" t="n">
        <v>44927</v>
      </c>
      <c r="P151" s="82" t="n">
        <v>46418</v>
      </c>
      <c r="R151" s="81">
        <f>SUM(AB151:AB151)</f>
        <v/>
      </c>
      <c r="S151" s="81" t="n">
        <v>0</v>
      </c>
      <c r="T151" s="81" t="n">
        <v>0</v>
      </c>
      <c r="Y151" s="81" t="n">
        <v>1425</v>
      </c>
    </row>
    <row r="152">
      <c r="A152" s="72">
        <f>$D$22</f>
        <v/>
      </c>
      <c r="B152" s="72">
        <f>B151+1</f>
        <v/>
      </c>
      <c r="C152" s="72">
        <f>IF(K152="Vacant","Vac",IF(K152="Model","Model",IF(K152="Admin","Admin",IF(K152="Down","Down",IF(K152="Super","Super","Occ")))))</f>
        <v/>
      </c>
      <c r="D152" s="72">
        <f>INDEX($C$5:$C$9,MATCH(I152,$D$5:$D$9,0))</f>
        <v/>
      </c>
      <c r="E152" s="72">
        <f>INDEX($E$5:$E$9,MATCH(D152,$C$5:$C$9,0))</f>
        <v/>
      </c>
      <c r="F152" s="72">
        <f>INDEX($F$5:$F$9,MATCH(D152,$C$5:$C$9,0))</f>
        <v/>
      </c>
      <c r="G152" s="72">
        <f>INDEX($G$5:$G$9,MATCH(D152,$C$5:$C$9,0))</f>
        <v/>
      </c>
      <c r="H152" s="72" t="inlineStr">
        <is>
          <t>121</t>
        </is>
      </c>
      <c r="I152" s="72" t="inlineStr">
        <is>
          <t>3 Bed 1.5 Bath</t>
        </is>
      </c>
      <c r="J152" s="80" t="n">
        <v>1550</v>
      </c>
      <c r="K152" s="72" t="inlineStr">
        <is>
          <t>Ross, Courtney</t>
        </is>
      </c>
      <c r="L152" s="81" t="n">
        <v>1450</v>
      </c>
      <c r="M152" s="81">
        <f>Y152</f>
        <v/>
      </c>
      <c r="N152" s="82" t="n">
        <v>45519</v>
      </c>
      <c r="O152" s="82" t="n">
        <v>45519</v>
      </c>
      <c r="P152" s="82" t="n">
        <v>46599</v>
      </c>
      <c r="R152" s="81">
        <f>SUM(AB152:AB152)</f>
        <v/>
      </c>
      <c r="S152" s="81" t="n">
        <v>0</v>
      </c>
      <c r="T152" s="81" t="n">
        <v>0</v>
      </c>
      <c r="Y152" s="81" t="n">
        <v>1500</v>
      </c>
    </row>
    <row r="153">
      <c r="A153" s="72">
        <f>$D$22</f>
        <v/>
      </c>
      <c r="B153" s="72">
        <f>B152+1</f>
        <v/>
      </c>
      <c r="C153" s="72">
        <f>IF(K153="Vacant","Vac",IF(K153="Model","Model",IF(K153="Admin","Admin",IF(K153="Down","Down",IF(K153="Super","Super","Occ")))))</f>
        <v/>
      </c>
      <c r="D153" s="72">
        <f>INDEX($C$5:$C$9,MATCH(I153,$D$5:$D$9,0))</f>
        <v/>
      </c>
      <c r="E153" s="72">
        <f>INDEX($E$5:$E$9,MATCH(D153,$C$5:$C$9,0))</f>
        <v/>
      </c>
      <c r="F153" s="72">
        <f>INDEX($F$5:$F$9,MATCH(D153,$C$5:$C$9,0))</f>
        <v/>
      </c>
      <c r="G153" s="72">
        <f>INDEX($G$5:$G$9,MATCH(D153,$C$5:$C$9,0))</f>
        <v/>
      </c>
      <c r="H153" s="72" t="inlineStr">
        <is>
          <t>122</t>
        </is>
      </c>
      <c r="I153" s="72" t="inlineStr">
        <is>
          <t>3 Bed 1.5 Bath</t>
        </is>
      </c>
      <c r="J153" s="80" t="n">
        <v>1076</v>
      </c>
      <c r="K153" s="72" t="inlineStr">
        <is>
          <t>Smith, Paige</t>
        </is>
      </c>
      <c r="L153" s="81" t="n">
        <v>1600</v>
      </c>
      <c r="M153" s="81">
        <f>Y153</f>
        <v/>
      </c>
      <c r="N153" s="82" t="n">
        <v>45806</v>
      </c>
      <c r="O153" s="82" t="n">
        <v>45806</v>
      </c>
      <c r="P153" s="82" t="n">
        <v>46538</v>
      </c>
      <c r="R153" s="81">
        <f>SUM(AB153:AB153)</f>
        <v/>
      </c>
      <c r="S153" s="81" t="n">
        <v>0</v>
      </c>
      <c r="T153" s="81" t="n">
        <v>0</v>
      </c>
      <c r="Y153" s="81" t="n">
        <v>1600</v>
      </c>
    </row>
    <row r="154">
      <c r="A154" s="72">
        <f>$D$22</f>
        <v/>
      </c>
      <c r="B154" s="72">
        <f>B153+1</f>
        <v/>
      </c>
      <c r="C154" s="72">
        <f>IF(K154="Vacant","Vac",IF(K154="Model","Model",IF(K154="Admin","Admin",IF(K154="Down","Down",IF(K154="Super","Super","Occ")))))</f>
        <v/>
      </c>
      <c r="D154" s="72">
        <f>INDEX($C$5:$C$9,MATCH(I154,$D$5:$D$9,0))</f>
        <v/>
      </c>
      <c r="E154" s="72">
        <f>INDEX($E$5:$E$9,MATCH(D154,$C$5:$C$9,0))</f>
        <v/>
      </c>
      <c r="F154" s="72">
        <f>INDEX($F$5:$F$9,MATCH(D154,$C$5:$C$9,0))</f>
        <v/>
      </c>
      <c r="G154" s="72">
        <f>INDEX($G$5:$G$9,MATCH(D154,$C$5:$C$9,0))</f>
        <v/>
      </c>
      <c r="H154" s="72" t="inlineStr">
        <is>
          <t>123</t>
        </is>
      </c>
      <c r="I154" s="72" t="inlineStr">
        <is>
          <t>2 Bed 1 Bath</t>
        </is>
      </c>
      <c r="J154" s="80" t="n">
        <v>904</v>
      </c>
      <c r="K154" s="72" t="inlineStr">
        <is>
          <t>Massey (RACB), John</t>
        </is>
      </c>
      <c r="L154" s="81" t="n">
        <v>1325</v>
      </c>
      <c r="M154" s="81">
        <f>Y154</f>
        <v/>
      </c>
      <c r="N154" s="82" t="n">
        <v>41944</v>
      </c>
      <c r="O154" s="82" t="n">
        <v>41944</v>
      </c>
      <c r="P154" s="82" t="n">
        <v>46234</v>
      </c>
      <c r="R154" s="81">
        <f>SUM(AB154:AB154)</f>
        <v/>
      </c>
      <c r="S154" s="81" t="n">
        <v>0</v>
      </c>
      <c r="T154" s="81" t="n">
        <v>0</v>
      </c>
      <c r="Y154" s="81" t="n">
        <v>1250</v>
      </c>
    </row>
    <row r="155">
      <c r="A155" s="72">
        <f>$D$22</f>
        <v/>
      </c>
      <c r="B155" s="72">
        <f>B154+1</f>
        <v/>
      </c>
      <c r="C155" s="72">
        <f>IF(K155="Vacant","Vac",IF(K155="Model","Model",IF(K155="Admin","Admin",IF(K155="Down","Down",IF(K155="Super","Super","Occ")))))</f>
        <v/>
      </c>
      <c r="D155" s="72">
        <f>INDEX($C$5:$C$9,MATCH(I155,$D$5:$D$9,0))</f>
        <v/>
      </c>
      <c r="E155" s="72">
        <f>INDEX($E$5:$E$9,MATCH(D155,$C$5:$C$9,0))</f>
        <v/>
      </c>
      <c r="F155" s="72">
        <f>INDEX($F$5:$F$9,MATCH(D155,$C$5:$C$9,0))</f>
        <v/>
      </c>
      <c r="G155" s="72">
        <f>INDEX($G$5:$G$9,MATCH(D155,$C$5:$C$9,0))</f>
        <v/>
      </c>
      <c r="H155" s="72" t="inlineStr">
        <is>
          <t>124</t>
        </is>
      </c>
      <c r="I155" s="72" t="inlineStr">
        <is>
          <t>2 Bed 1 Bath</t>
        </is>
      </c>
      <c r="J155" s="80" t="n">
        <v>904</v>
      </c>
      <c r="K155" s="72" t="inlineStr">
        <is>
          <t>Herby (RACB), Mary</t>
        </is>
      </c>
      <c r="L155" s="81" t="n">
        <v>1325</v>
      </c>
      <c r="M155" s="81">
        <f>Y155</f>
        <v/>
      </c>
      <c r="N155" s="82" t="n">
        <v>36830</v>
      </c>
      <c r="O155" s="82" t="n">
        <v>36830</v>
      </c>
      <c r="P155" s="82" t="n">
        <v>46418</v>
      </c>
      <c r="R155" s="81">
        <f>SUM(AB155:AB155)</f>
        <v/>
      </c>
      <c r="S155" s="81" t="n">
        <v>0</v>
      </c>
      <c r="T155" s="81" t="n">
        <v>0</v>
      </c>
      <c r="Y155" s="81" t="n">
        <v>1195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6"/>
  <sheetViews>
    <sheetView showGridLines="1" workbookViewId="0">
      <selection activeCell="A1" sqref="A1"/>
    </sheetView>
  </sheetViews>
  <sheetFormatPr baseColWidth="8" defaultRowHeight="15"/>
  <cols>
    <col width="2.54296875" customWidth="1" min="1" max="1"/>
    <col width="1.36328125" customWidth="1" min="2" max="2"/>
    <col width="3.453125" customWidth="1" min="3" max="3"/>
    <col width="28.1796875" customWidth="1" min="4" max="4"/>
    <col width="8" customWidth="1" min="6" max="6"/>
    <col width="4.1796875" customWidth="1" min="7" max="7"/>
    <col width="4.08984375" customWidth="1" min="8" max="8"/>
    <col width="1.54296875" customWidth="1" min="9" max="9"/>
    <col width="4" customWidth="1" min="10" max="10"/>
    <col width="9" customWidth="1" min="11" max="11"/>
    <col width="8" customWidth="1" min="12" max="12"/>
    <col width="8.81640625" customWidth="1" min="13" max="13"/>
    <col width="1.453125" customWidth="1" min="14" max="14"/>
    <col width="7" customWidth="1" min="15" max="15"/>
    <col width="8.453125" customWidth="1" min="16" max="16"/>
    <col width="9" customWidth="1" min="17" max="17"/>
    <col width="8.453125" customWidth="1" min="18" max="18"/>
    <col width="7.54296875" customWidth="1" min="19" max="19"/>
    <col width="5.54296875" customWidth="1" min="20" max="20"/>
    <col width="1.36328125" customWidth="1" min="22" max="22"/>
    <col width="4.1796875" customWidth="1" min="23" max="23"/>
    <col width="5.6328125" customWidth="1" min="24" max="24"/>
  </cols>
  <sheetData>
    <row r="1">
      <c r="A1" s="87" t="inlineStr">
        <is>
          <t>Rent Roll Analysis</t>
        </is>
      </c>
    </row>
    <row r="2">
      <c r="A2" s="87" t="inlineStr">
        <is>
          <t>Property: Delsan Court</t>
        </is>
      </c>
    </row>
    <row r="3">
      <c r="A3" s="87" t="inlineStr">
        <is>
          <t>As of 08/31/26</t>
        </is>
      </c>
    </row>
    <row r="5">
      <c r="B5" s="87" t="inlineStr">
        <is>
          <t>Tenant Name</t>
        </is>
      </c>
      <c r="F5" s="87" t="inlineStr">
        <is>
          <t>Unit</t>
        </is>
      </c>
      <c r="G5" s="87" t="inlineStr">
        <is>
          <t>Unit Type</t>
        </is>
      </c>
      <c r="J5" s="87" t="inlineStr">
        <is>
          <t>Sq Ft</t>
        </is>
      </c>
      <c r="K5" s="87" t="inlineStr">
        <is>
          <t>Market 
Rent</t>
        </is>
      </c>
      <c r="L5" s="87" t="inlineStr">
        <is>
          <t>Rent</t>
        </is>
      </c>
      <c r="M5" s="87" t="inlineStr">
        <is>
          <t>Vacancy 
Loss</t>
        </is>
      </c>
      <c r="N5" s="87" t="inlineStr">
        <is>
          <t>Misc 
Charges</t>
        </is>
      </c>
      <c r="P5" s="87" t="inlineStr">
        <is>
          <t>Total 
Charges</t>
        </is>
      </c>
      <c r="Q5" s="87" t="inlineStr">
        <is>
          <t>Security 
Deposit</t>
        </is>
      </c>
      <c r="R5" s="87" t="inlineStr">
        <is>
          <t>Increase 
Amount</t>
        </is>
      </c>
      <c r="S5" s="87" t="inlineStr">
        <is>
          <t>Last Rent 
Increase</t>
        </is>
      </c>
      <c r="T5" s="87" t="inlineStr">
        <is>
          <t>Move 
In</t>
        </is>
      </c>
      <c r="U5" s="87" t="inlineStr">
        <is>
          <t>Move 
Out</t>
        </is>
      </c>
      <c r="V5" s="87" t="inlineStr">
        <is>
          <t>Lease 
End</t>
        </is>
      </c>
    </row>
    <row r="6">
      <c r="A6" s="87" t="inlineStr">
        <is>
          <t>Delsan Court</t>
        </is>
      </c>
    </row>
    <row r="7">
      <c r="C7" s="87" t="inlineStr">
        <is>
          <t>Bly (TSI), Alisha</t>
        </is>
      </c>
      <c r="E7" s="87" t="inlineStr">
        <is>
          <t>1</t>
        </is>
      </c>
      <c r="F7" s="87" t="inlineStr">
        <is>
          <t>1</t>
        </is>
      </c>
      <c r="G7" s="87" t="inlineStr">
        <is>
          <t>1 Bed 1 Bath</t>
        </is>
      </c>
      <c r="J7" s="88" t="n">
        <v>760</v>
      </c>
      <c r="K7" s="89" t="n">
        <v>1095</v>
      </c>
      <c r="L7" s="89" t="n">
        <v>1095</v>
      </c>
      <c r="M7" s="89" t="n">
        <v>0</v>
      </c>
      <c r="N7" s="89" t="n">
        <v>0</v>
      </c>
      <c r="P7" s="89" t="n">
        <v>1095</v>
      </c>
      <c r="Q7" s="89" t="n">
        <v>1095</v>
      </c>
      <c r="R7" s="89" t="n">
        <v>1095</v>
      </c>
      <c r="S7" s="87" t="inlineStr">
        <is>
          <t>12/23/25</t>
        </is>
      </c>
      <c r="T7" s="90" t="n">
        <v>46023</v>
      </c>
      <c r="V7" s="90" t="n">
        <v>46418</v>
      </c>
    </row>
    <row r="8">
      <c r="C8" s="87" t="inlineStr">
        <is>
          <t>&lt;VACANT&gt;</t>
        </is>
      </c>
      <c r="F8" s="87" t="inlineStr">
        <is>
          <t>2</t>
        </is>
      </c>
      <c r="G8" s="87" t="inlineStr">
        <is>
          <t>3 Bed/1Bath FP</t>
        </is>
      </c>
      <c r="J8" s="88" t="n">
        <v>1026</v>
      </c>
      <c r="K8" s="89" t="n">
        <v>1325</v>
      </c>
      <c r="L8" s="89" t="n">
        <v>1325</v>
      </c>
      <c r="M8" s="89" t="n">
        <v>1325</v>
      </c>
      <c r="N8" s="89" t="n">
        <v>0</v>
      </c>
      <c r="P8" s="89" t="n">
        <v>0</v>
      </c>
      <c r="Q8" s="89" t="n">
        <v>0</v>
      </c>
      <c r="R8" s="89" t="n">
        <v>0</v>
      </c>
    </row>
    <row r="9">
      <c r="C9" s="87" t="inlineStr">
        <is>
          <t>Bryant, Sarah (Belmont)</t>
        </is>
      </c>
      <c r="E9" s="87" t="inlineStr">
        <is>
          <t>1</t>
        </is>
      </c>
      <c r="F9" s="87" t="inlineStr">
        <is>
          <t>3</t>
        </is>
      </c>
      <c r="G9" s="87" t="inlineStr">
        <is>
          <t>1 Bed 1 Bath</t>
        </is>
      </c>
      <c r="J9" s="88" t="n">
        <v>760</v>
      </c>
      <c r="K9" s="89" t="n">
        <v>1095</v>
      </c>
      <c r="L9" s="89" t="n">
        <v>1033</v>
      </c>
      <c r="M9" s="89" t="n">
        <v>0</v>
      </c>
      <c r="N9" s="89" t="n">
        <v>0</v>
      </c>
      <c r="P9" s="89" t="n">
        <v>1033</v>
      </c>
      <c r="Q9" s="89" t="n">
        <v>1095</v>
      </c>
      <c r="R9" s="89" t="n">
        <v>1033</v>
      </c>
      <c r="S9" s="87" t="inlineStr">
        <is>
          <t>10/24/25</t>
        </is>
      </c>
      <c r="T9" s="90" t="n">
        <v>45961</v>
      </c>
      <c r="V9" s="90" t="n">
        <v>46691</v>
      </c>
    </row>
    <row r="10">
      <c r="C10" s="87" t="inlineStr">
        <is>
          <t>Sapienza, Jenelle</t>
        </is>
      </c>
      <c r="F10" s="87" t="inlineStr">
        <is>
          <t>4</t>
        </is>
      </c>
      <c r="G10" s="87" t="inlineStr">
        <is>
          <t>3 Bed/1Bath FP</t>
        </is>
      </c>
      <c r="J10" s="88" t="n">
        <v>1026</v>
      </c>
      <c r="K10" s="89" t="n">
        <v>1345</v>
      </c>
      <c r="L10" s="89" t="n">
        <v>1375</v>
      </c>
      <c r="M10" s="89" t="n">
        <v>0</v>
      </c>
      <c r="N10" s="89" t="n">
        <v>0</v>
      </c>
      <c r="P10" s="89" t="n">
        <v>1375</v>
      </c>
      <c r="Q10" s="89" t="n">
        <v>1375</v>
      </c>
      <c r="R10" s="89" t="n">
        <v>1375</v>
      </c>
      <c r="S10" s="87" t="inlineStr">
        <is>
          <t>03/19/25</t>
        </is>
      </c>
      <c r="T10" s="90" t="n">
        <v>45747</v>
      </c>
      <c r="V10" s="90" t="n">
        <v>46477</v>
      </c>
    </row>
    <row r="11">
      <c r="C11" s="87" t="inlineStr">
        <is>
          <t>Boice (RACB), Blake</t>
        </is>
      </c>
      <c r="E11" s="87" t="inlineStr">
        <is>
          <t>1</t>
        </is>
      </c>
      <c r="F11" s="87" t="inlineStr">
        <is>
          <t>5</t>
        </is>
      </c>
      <c r="G11" s="87" t="inlineStr">
        <is>
          <t>1 Bed 1 Bath</t>
        </is>
      </c>
      <c r="J11" s="88" t="n">
        <v>760</v>
      </c>
      <c r="K11" s="89" t="n">
        <v>1195</v>
      </c>
      <c r="L11" s="89" t="n">
        <v>1095</v>
      </c>
      <c r="M11" s="89" t="n">
        <v>0</v>
      </c>
      <c r="N11" s="89" t="n">
        <v>0</v>
      </c>
      <c r="P11" s="89" t="n">
        <v>1095</v>
      </c>
      <c r="Q11" s="89" t="n">
        <v>0</v>
      </c>
      <c r="R11" s="89" t="n">
        <v>1095</v>
      </c>
      <c r="S11" s="87" t="inlineStr">
        <is>
          <t>05/18/26</t>
        </is>
      </c>
      <c r="T11" s="90" t="n">
        <v>46174</v>
      </c>
      <c r="V11" s="90" t="n">
        <v>46538</v>
      </c>
    </row>
    <row r="12">
      <c r="C12" s="87" t="inlineStr">
        <is>
          <t>Ricks (BEL), Marickers</t>
        </is>
      </c>
      <c r="E12" s="87" t="inlineStr">
        <is>
          <t>1</t>
        </is>
      </c>
      <c r="F12" s="87" t="inlineStr">
        <is>
          <t>6</t>
        </is>
      </c>
      <c r="G12" s="87" t="inlineStr">
        <is>
          <t>3 Bed/ 1Bath</t>
        </is>
      </c>
      <c r="J12" s="88" t="n">
        <v>1026</v>
      </c>
      <c r="K12" s="89" t="n">
        <v>1450</v>
      </c>
      <c r="L12" s="89" t="n">
        <v>1450</v>
      </c>
      <c r="M12" s="89" t="n">
        <v>0</v>
      </c>
      <c r="N12" s="89" t="n">
        <v>0</v>
      </c>
      <c r="P12" s="89" t="n">
        <v>1450</v>
      </c>
      <c r="Q12" s="89" t="n">
        <v>0</v>
      </c>
      <c r="R12" s="89" t="n">
        <v>1450</v>
      </c>
      <c r="S12" s="87" t="inlineStr">
        <is>
          <t>08/21/25</t>
        </is>
      </c>
      <c r="T12" s="90" t="n">
        <v>45901</v>
      </c>
      <c r="V12" s="90" t="n">
        <v>46630</v>
      </c>
    </row>
    <row r="13">
      <c r="C13" s="87" t="inlineStr">
        <is>
          <t>Webb, Darrell</t>
        </is>
      </c>
      <c r="F13" s="87" t="inlineStr">
        <is>
          <t>7</t>
        </is>
      </c>
      <c r="G13" s="87" t="inlineStr">
        <is>
          <t>1 Bed 1 Bath</t>
        </is>
      </c>
      <c r="J13" s="88" t="n">
        <v>760</v>
      </c>
      <c r="K13" s="89" t="n">
        <v>1100</v>
      </c>
      <c r="L13" s="89" t="n">
        <v>1075</v>
      </c>
      <c r="M13" s="89" t="n">
        <v>0</v>
      </c>
      <c r="N13" s="89" t="n">
        <v>0</v>
      </c>
      <c r="P13" s="89" t="n">
        <v>1075</v>
      </c>
      <c r="Q13" s="89" t="n">
        <v>635</v>
      </c>
      <c r="R13" s="89" t="n">
        <v>80</v>
      </c>
      <c r="S13" s="87" t="inlineStr">
        <is>
          <t>11/01/24</t>
        </is>
      </c>
      <c r="T13" s="90" t="n">
        <v>41579</v>
      </c>
      <c r="V13" s="90" t="n">
        <v>46326</v>
      </c>
    </row>
    <row r="14">
      <c r="C14" s="87" t="inlineStr">
        <is>
          <t>&lt;VACANT&gt;</t>
        </is>
      </c>
      <c r="F14" s="87" t="inlineStr">
        <is>
          <t>8</t>
        </is>
      </c>
      <c r="G14" s="87" t="inlineStr">
        <is>
          <t>3 Bed/1Bath FP</t>
        </is>
      </c>
      <c r="J14" s="88" t="n">
        <v>1026</v>
      </c>
      <c r="K14" s="89" t="n">
        <v>1325</v>
      </c>
      <c r="L14" s="89" t="n">
        <v>1325</v>
      </c>
      <c r="M14" s="89" t="n">
        <v>1325</v>
      </c>
      <c r="N14" s="89" t="n">
        <v>0</v>
      </c>
      <c r="P14" s="89" t="n">
        <v>0</v>
      </c>
      <c r="Q14" s="89" t="n">
        <v>0</v>
      </c>
      <c r="R14" s="89" t="n">
        <v>0</v>
      </c>
    </row>
    <row r="15">
      <c r="C15" s="87" t="inlineStr">
        <is>
          <t>Thomas, DeWayne</t>
        </is>
      </c>
      <c r="F15" s="87" t="inlineStr">
        <is>
          <t>9</t>
        </is>
      </c>
      <c r="G15" s="87" t="inlineStr">
        <is>
          <t>1 Bed 1 Bath</t>
        </is>
      </c>
      <c r="J15" s="88" t="n">
        <v>760</v>
      </c>
      <c r="K15" s="89" t="n">
        <v>1095</v>
      </c>
      <c r="L15" s="89" t="n">
        <v>950</v>
      </c>
      <c r="M15" s="89" t="n">
        <v>0</v>
      </c>
      <c r="N15" s="89" t="n">
        <v>0</v>
      </c>
      <c r="P15" s="89" t="n">
        <v>950</v>
      </c>
      <c r="Q15" s="89" t="n">
        <v>475</v>
      </c>
      <c r="R15" s="89" t="n">
        <v>100</v>
      </c>
      <c r="S15" s="87" t="inlineStr">
        <is>
          <t>04/01/25</t>
        </is>
      </c>
      <c r="T15" s="90" t="n">
        <v>42425</v>
      </c>
      <c r="V15" s="90" t="n">
        <v>46112</v>
      </c>
    </row>
    <row r="16">
      <c r="C16" s="87" t="inlineStr">
        <is>
          <t>Rodriguez, Joehan</t>
        </is>
      </c>
      <c r="F16" s="87" t="inlineStr">
        <is>
          <t>10</t>
        </is>
      </c>
      <c r="G16" s="87" t="inlineStr">
        <is>
          <t>3 Bed/ 1Bath</t>
        </is>
      </c>
      <c r="J16" s="88" t="n">
        <v>1026</v>
      </c>
      <c r="K16" s="89" t="n">
        <v>1400</v>
      </c>
      <c r="L16" s="89" t="n">
        <v>1375</v>
      </c>
      <c r="M16" s="89" t="n">
        <v>0</v>
      </c>
      <c r="N16" s="89" t="n">
        <v>0</v>
      </c>
      <c r="P16" s="89" t="n">
        <v>1375</v>
      </c>
      <c r="Q16" s="89" t="n">
        <v>1375</v>
      </c>
      <c r="R16" s="89" t="n">
        <v>1375</v>
      </c>
      <c r="S16" s="87" t="inlineStr">
        <is>
          <t>03/24/26</t>
        </is>
      </c>
      <c r="T16" s="90" t="n">
        <v>46111</v>
      </c>
      <c r="V16" s="90" t="n">
        <v>46477</v>
      </c>
    </row>
    <row r="17">
      <c r="C17" s="87" t="inlineStr">
        <is>
          <t>Simmons, David</t>
        </is>
      </c>
      <c r="F17" s="87" t="inlineStr">
        <is>
          <t>11</t>
        </is>
      </c>
      <c r="G17" s="87" t="inlineStr">
        <is>
          <t>2 Bed 1 Bath</t>
        </is>
      </c>
      <c r="J17" s="88" t="n">
        <v>904</v>
      </c>
      <c r="K17" s="89" t="n">
        <v>1325</v>
      </c>
      <c r="L17" s="89" t="n">
        <v>1225</v>
      </c>
      <c r="M17" s="89" t="n">
        <v>0</v>
      </c>
      <c r="N17" s="89" t="n">
        <v>0</v>
      </c>
      <c r="P17" s="89" t="n">
        <v>1225</v>
      </c>
      <c r="Q17" s="89" t="n">
        <v>785</v>
      </c>
      <c r="R17" s="89" t="n">
        <v>100</v>
      </c>
      <c r="S17" s="87" t="inlineStr">
        <is>
          <t>09/01/25</t>
        </is>
      </c>
      <c r="T17" s="90" t="n">
        <v>42614</v>
      </c>
      <c r="V17" s="90" t="n">
        <v>46630</v>
      </c>
    </row>
    <row r="18">
      <c r="C18" s="87" t="inlineStr">
        <is>
          <t>Flax (BEL), Julie</t>
        </is>
      </c>
      <c r="E18" s="87" t="inlineStr">
        <is>
          <t>1</t>
        </is>
      </c>
      <c r="F18" s="87" t="inlineStr">
        <is>
          <t>12</t>
        </is>
      </c>
      <c r="G18" s="87" t="inlineStr">
        <is>
          <t>2 Bed 1 Bath</t>
        </is>
      </c>
      <c r="J18" s="88" t="n">
        <v>904</v>
      </c>
      <c r="K18" s="89" t="n">
        <v>1275</v>
      </c>
      <c r="L18" s="89" t="n">
        <v>1100</v>
      </c>
      <c r="M18" s="89" t="n">
        <v>0</v>
      </c>
      <c r="N18" s="89" t="n">
        <v>0</v>
      </c>
      <c r="P18" s="89" t="n">
        <v>1100</v>
      </c>
      <c r="Q18" s="89" t="n">
        <v>0</v>
      </c>
      <c r="R18" s="89" t="n">
        <v>1100</v>
      </c>
      <c r="S18" s="87" t="inlineStr">
        <is>
          <t>06/01/25</t>
        </is>
      </c>
      <c r="T18" s="90" t="n">
        <v>45811</v>
      </c>
      <c r="V18" s="90" t="n">
        <v>46173</v>
      </c>
    </row>
    <row r="19">
      <c r="C19" s="87" t="inlineStr">
        <is>
          <t>Adams, Jetaun</t>
        </is>
      </c>
      <c r="F19" s="87" t="inlineStr">
        <is>
          <t>13</t>
        </is>
      </c>
      <c r="G19" s="87" t="inlineStr">
        <is>
          <t>2 Bed 1 Bath</t>
        </is>
      </c>
      <c r="J19" s="88" t="n">
        <v>904</v>
      </c>
      <c r="K19" s="89" t="n">
        <v>1275</v>
      </c>
      <c r="L19" s="89" t="n">
        <v>1275</v>
      </c>
      <c r="M19" s="89" t="n">
        <v>0</v>
      </c>
      <c r="N19" s="89" t="n">
        <v>0</v>
      </c>
      <c r="P19" s="89" t="n">
        <v>1275</v>
      </c>
      <c r="Q19" s="89" t="n">
        <v>1350</v>
      </c>
      <c r="R19" s="89" t="n">
        <v>1275</v>
      </c>
      <c r="S19" s="87" t="inlineStr">
        <is>
          <t>05/29/25</t>
        </is>
      </c>
      <c r="T19" s="90" t="n">
        <v>45809</v>
      </c>
      <c r="V19" s="90" t="n">
        <v>46538</v>
      </c>
    </row>
    <row r="20">
      <c r="C20" s="87" t="inlineStr">
        <is>
          <t>&lt;VACANT&gt;</t>
        </is>
      </c>
      <c r="F20" s="87" t="inlineStr">
        <is>
          <t>14</t>
        </is>
      </c>
      <c r="G20" s="87" t="inlineStr">
        <is>
          <t>2 Bed 1 Bath</t>
        </is>
      </c>
      <c r="J20" s="88" t="n">
        <v>904</v>
      </c>
      <c r="K20" s="89" t="n">
        <v>1325</v>
      </c>
      <c r="L20" s="89" t="n">
        <v>1325</v>
      </c>
      <c r="M20" s="89" t="n">
        <v>1325</v>
      </c>
      <c r="N20" s="89" t="n">
        <v>0</v>
      </c>
      <c r="P20" s="89" t="n">
        <v>0</v>
      </c>
      <c r="Q20" s="89" t="n">
        <v>0</v>
      </c>
      <c r="R20" s="89" t="n">
        <v>0</v>
      </c>
    </row>
    <row r="21">
      <c r="C21" s="87" t="inlineStr">
        <is>
          <t>Dejesus, Ashanti</t>
        </is>
      </c>
      <c r="F21" s="87" t="inlineStr">
        <is>
          <t>15</t>
        </is>
      </c>
      <c r="G21" s="87" t="inlineStr">
        <is>
          <t>2 Bed 1 Bath</t>
        </is>
      </c>
      <c r="J21" s="88" t="n">
        <v>904</v>
      </c>
      <c r="K21" s="89" t="n">
        <v>1325</v>
      </c>
      <c r="L21" s="89" t="n">
        <v>1250</v>
      </c>
      <c r="M21" s="89" t="n">
        <v>0</v>
      </c>
      <c r="N21" s="89" t="n">
        <v>0</v>
      </c>
      <c r="P21" s="89" t="n">
        <v>1250</v>
      </c>
      <c r="Q21" s="89" t="n">
        <v>0</v>
      </c>
      <c r="R21" s="89" t="n">
        <v>1250</v>
      </c>
      <c r="S21" s="87" t="inlineStr">
        <is>
          <t>03/26/26</t>
        </is>
      </c>
      <c r="T21" s="90" t="n">
        <v>46155</v>
      </c>
      <c r="V21" s="90" t="n">
        <v>46538</v>
      </c>
    </row>
    <row r="22">
      <c r="C22" s="87" t="inlineStr">
        <is>
          <t>Novara, Christopher</t>
        </is>
      </c>
      <c r="F22" s="87" t="inlineStr">
        <is>
          <t>16</t>
        </is>
      </c>
      <c r="G22" s="87" t="inlineStr">
        <is>
          <t>2 Bed 1 Bath</t>
        </is>
      </c>
      <c r="J22" s="88" t="n">
        <v>904</v>
      </c>
      <c r="K22" s="89" t="n">
        <v>1325</v>
      </c>
      <c r="L22" s="89" t="n">
        <v>1375</v>
      </c>
      <c r="M22" s="89" t="n">
        <v>0</v>
      </c>
      <c r="N22" s="89" t="n">
        <v>0</v>
      </c>
      <c r="P22" s="89" t="n">
        <v>1375</v>
      </c>
      <c r="Q22" s="89" t="n">
        <v>1325</v>
      </c>
      <c r="R22" s="89" t="n">
        <v>50</v>
      </c>
      <c r="S22" s="87" t="inlineStr">
        <is>
          <t>06/01/25</t>
        </is>
      </c>
      <c r="T22" s="90" t="n">
        <v>45427</v>
      </c>
      <c r="V22" s="90" t="n">
        <v>46173</v>
      </c>
    </row>
    <row r="23">
      <c r="C23" s="87" t="inlineStr">
        <is>
          <t>Watkins, Joanna</t>
        </is>
      </c>
      <c r="F23" s="87" t="inlineStr">
        <is>
          <t>17</t>
        </is>
      </c>
      <c r="G23" s="87" t="inlineStr">
        <is>
          <t>2 Bed 1 Bath</t>
        </is>
      </c>
      <c r="J23" s="88" t="n">
        <v>904</v>
      </c>
      <c r="K23" s="89" t="n">
        <v>1325</v>
      </c>
      <c r="L23" s="89" t="n">
        <v>1325</v>
      </c>
      <c r="M23" s="89" t="n">
        <v>0</v>
      </c>
      <c r="N23" s="89" t="n">
        <v>0</v>
      </c>
      <c r="P23" s="89" t="n">
        <v>1325</v>
      </c>
      <c r="Q23" s="89" t="n">
        <v>1200</v>
      </c>
      <c r="R23" s="89" t="n">
        <v>50</v>
      </c>
      <c r="S23" s="87" t="inlineStr">
        <is>
          <t>05/01/25</t>
        </is>
      </c>
      <c r="T23" s="90" t="n">
        <v>45031</v>
      </c>
    </row>
    <row r="24">
      <c r="C24" s="87" t="inlineStr">
        <is>
          <t>Brown (RACB), Richard</t>
        </is>
      </c>
      <c r="E24" s="87" t="inlineStr">
        <is>
          <t>1</t>
        </is>
      </c>
      <c r="F24" s="87" t="inlineStr">
        <is>
          <t>18</t>
        </is>
      </c>
      <c r="G24" s="87" t="inlineStr">
        <is>
          <t>2 Bed 1 Bath</t>
        </is>
      </c>
      <c r="J24" s="88" t="n">
        <v>904</v>
      </c>
      <c r="K24" s="89" t="n">
        <v>1325</v>
      </c>
      <c r="L24" s="89" t="n">
        <v>1225</v>
      </c>
      <c r="M24" s="89" t="n">
        <v>0</v>
      </c>
      <c r="N24" s="89" t="n">
        <v>0</v>
      </c>
      <c r="P24" s="89" t="n">
        <v>1225</v>
      </c>
      <c r="Q24" s="89" t="n">
        <v>585</v>
      </c>
      <c r="R24" s="89" t="n">
        <v>125</v>
      </c>
      <c r="S24" s="87" t="inlineStr">
        <is>
          <t>06/01/25</t>
        </is>
      </c>
      <c r="T24" s="90" t="n">
        <v>41456</v>
      </c>
      <c r="V24" s="90" t="n">
        <v>46173</v>
      </c>
    </row>
    <row r="25">
      <c r="C25" s="87" t="inlineStr">
        <is>
          <t>Washington, Lanaya (RACB)</t>
        </is>
      </c>
      <c r="E25" s="87" t="inlineStr">
        <is>
          <t>1</t>
        </is>
      </c>
      <c r="F25" s="87" t="inlineStr">
        <is>
          <t>19</t>
        </is>
      </c>
      <c r="G25" s="87" t="inlineStr">
        <is>
          <t>2 Bed 1 Bath</t>
        </is>
      </c>
      <c r="J25" s="88" t="n">
        <v>1250</v>
      </c>
      <c r="K25" s="89" t="n">
        <v>1325</v>
      </c>
      <c r="L25" s="89" t="n">
        <v>1223</v>
      </c>
      <c r="M25" s="89" t="n">
        <v>0</v>
      </c>
      <c r="N25" s="89" t="n">
        <v>0</v>
      </c>
      <c r="P25" s="89" t="n">
        <v>1223</v>
      </c>
      <c r="Q25" s="89" t="n">
        <v>1223</v>
      </c>
      <c r="R25" s="89" t="n">
        <v>1223</v>
      </c>
      <c r="S25" s="87" t="inlineStr">
        <is>
          <t>09/15/25</t>
        </is>
      </c>
      <c r="T25" s="90" t="n">
        <v>45916</v>
      </c>
      <c r="V25" s="90" t="n">
        <v>46295</v>
      </c>
    </row>
    <row r="26">
      <c r="C26" s="87" t="inlineStr">
        <is>
          <t>Gloster, Brittany</t>
        </is>
      </c>
      <c r="F26" s="87" t="inlineStr">
        <is>
          <t>20</t>
        </is>
      </c>
      <c r="G26" s="87" t="inlineStr">
        <is>
          <t>3 Bed 1.5 Bath</t>
        </is>
      </c>
      <c r="J26" s="88" t="n">
        <v>1400</v>
      </c>
      <c r="K26" s="89" t="n">
        <v>1400</v>
      </c>
      <c r="L26" s="89" t="n">
        <v>1400</v>
      </c>
      <c r="M26" s="89" t="n">
        <v>0</v>
      </c>
      <c r="N26" s="89" t="n">
        <v>0</v>
      </c>
      <c r="P26" s="89" t="n">
        <v>1400</v>
      </c>
      <c r="Q26" s="89" t="n">
        <v>1400</v>
      </c>
      <c r="R26" s="89" t="n">
        <v>1400</v>
      </c>
      <c r="S26" s="87" t="inlineStr">
        <is>
          <t>09/23/25</t>
        </is>
      </c>
      <c r="T26" s="90" t="n">
        <v>45925</v>
      </c>
      <c r="V26" s="90" t="n">
        <v>46660</v>
      </c>
    </row>
    <row r="27">
      <c r="C27" s="87" t="inlineStr">
        <is>
          <t>Pratt, Famatta</t>
        </is>
      </c>
      <c r="F27" s="87" t="inlineStr">
        <is>
          <t>21</t>
        </is>
      </c>
      <c r="G27" s="87" t="inlineStr">
        <is>
          <t>3 Bed 1.5 Bath</t>
        </is>
      </c>
      <c r="J27" s="88" t="n">
        <v>1076</v>
      </c>
      <c r="K27" s="89" t="n">
        <v>1450</v>
      </c>
      <c r="L27" s="89" t="n">
        <v>1150</v>
      </c>
      <c r="M27" s="89" t="n">
        <v>0</v>
      </c>
      <c r="N27" s="89" t="n">
        <v>0</v>
      </c>
      <c r="P27" s="89" t="n">
        <v>1150</v>
      </c>
      <c r="Q27" s="89" t="n">
        <v>800</v>
      </c>
      <c r="R27" s="89" t="n">
        <v>75</v>
      </c>
      <c r="S27" s="87" t="inlineStr">
        <is>
          <t>04/01/25</t>
        </is>
      </c>
      <c r="T27" s="90" t="n">
        <v>43556</v>
      </c>
      <c r="V27" s="90" t="n">
        <v>46477</v>
      </c>
    </row>
    <row r="28">
      <c r="C28" s="87" t="inlineStr">
        <is>
          <t>Merriweather, Tonya</t>
        </is>
      </c>
      <c r="F28" s="87" t="inlineStr">
        <is>
          <t>22</t>
        </is>
      </c>
      <c r="G28" s="87" t="inlineStr">
        <is>
          <t>2 Bed 1 Bath</t>
        </is>
      </c>
      <c r="J28" s="88" t="n">
        <v>904</v>
      </c>
      <c r="K28" s="89" t="n">
        <v>1325</v>
      </c>
      <c r="L28" s="89" t="n">
        <v>1075</v>
      </c>
      <c r="M28" s="89" t="n">
        <v>0</v>
      </c>
      <c r="N28" s="89" t="n">
        <v>200</v>
      </c>
      <c r="P28" s="89" t="n">
        <v>1275</v>
      </c>
      <c r="Q28" s="89" t="n">
        <v>585</v>
      </c>
      <c r="R28" s="89" t="n">
        <v>75</v>
      </c>
      <c r="S28" s="87" t="inlineStr">
        <is>
          <t>05/01/24</t>
        </is>
      </c>
      <c r="T28" s="90" t="n">
        <v>41395</v>
      </c>
      <c r="V28" s="90" t="n">
        <v>45777</v>
      </c>
    </row>
    <row r="29">
      <c r="C29" s="87" t="inlineStr">
        <is>
          <t>Bernier (TSI), Angie</t>
        </is>
      </c>
      <c r="E29" s="87" t="inlineStr">
        <is>
          <t>1</t>
        </is>
      </c>
      <c r="F29" s="87" t="inlineStr">
        <is>
          <t>23</t>
        </is>
      </c>
      <c r="G29" s="87" t="inlineStr">
        <is>
          <t>2 Bed 1 Bath</t>
        </is>
      </c>
      <c r="J29" s="88" t="n">
        <v>904</v>
      </c>
      <c r="K29" s="89" t="n">
        <v>1325</v>
      </c>
      <c r="L29" s="89" t="n">
        <v>1450</v>
      </c>
      <c r="M29" s="89" t="n">
        <v>0</v>
      </c>
      <c r="N29" s="89" t="n">
        <v>0</v>
      </c>
      <c r="P29" s="89" t="n">
        <v>1450</v>
      </c>
      <c r="Q29" s="89" t="n">
        <v>1200</v>
      </c>
      <c r="R29" s="89" t="n">
        <v>100</v>
      </c>
      <c r="S29" s="87" t="inlineStr">
        <is>
          <t>12/01/24</t>
        </is>
      </c>
      <c r="T29" s="90" t="n">
        <v>44516</v>
      </c>
      <c r="V29" s="90" t="n">
        <v>46356</v>
      </c>
    </row>
    <row r="30">
      <c r="C30" s="87" t="inlineStr">
        <is>
          <t>&lt;VACANT&gt;</t>
        </is>
      </c>
      <c r="F30" s="87" t="inlineStr">
        <is>
          <t>24</t>
        </is>
      </c>
      <c r="G30" s="87" t="inlineStr">
        <is>
          <t>2 Bed 1 Bath</t>
        </is>
      </c>
      <c r="J30" s="88" t="n">
        <v>904</v>
      </c>
      <c r="K30" s="89" t="n">
        <v>1325</v>
      </c>
      <c r="L30" s="89" t="n">
        <v>1325</v>
      </c>
      <c r="M30" s="89" t="n">
        <v>1325</v>
      </c>
      <c r="N30" s="89" t="n">
        <v>0</v>
      </c>
      <c r="P30" s="89" t="n">
        <v>0</v>
      </c>
      <c r="Q30" s="89" t="n">
        <v>0</v>
      </c>
      <c r="R30" s="89" t="n">
        <v>0</v>
      </c>
    </row>
    <row r="31">
      <c r="C31" s="87" t="inlineStr">
        <is>
          <t>Nix, Terence</t>
        </is>
      </c>
      <c r="F31" s="87" t="inlineStr">
        <is>
          <t>25</t>
        </is>
      </c>
      <c r="G31" s="87" t="inlineStr">
        <is>
          <t>2 Bed 1 Bath</t>
        </is>
      </c>
      <c r="J31" s="88" t="n">
        <v>904</v>
      </c>
      <c r="K31" s="89" t="n">
        <v>1325</v>
      </c>
      <c r="L31" s="89" t="n">
        <v>825</v>
      </c>
      <c r="M31" s="89" t="n">
        <v>0</v>
      </c>
      <c r="N31" s="89" t="n">
        <v>200</v>
      </c>
      <c r="P31" s="89" t="n">
        <v>1025</v>
      </c>
      <c r="Q31" s="89" t="n">
        <v>585</v>
      </c>
      <c r="R31" s="89" t="n">
        <v>100</v>
      </c>
      <c r="S31" s="87" t="inlineStr">
        <is>
          <t>01/01/25</t>
        </is>
      </c>
      <c r="T31" s="90" t="n">
        <v>42856</v>
      </c>
      <c r="V31" s="90" t="n">
        <v>46022</v>
      </c>
    </row>
    <row r="32">
      <c r="C32" s="87" t="inlineStr">
        <is>
          <t>Sandoval, Chelsey</t>
        </is>
      </c>
      <c r="F32" s="87" t="inlineStr">
        <is>
          <t>26</t>
        </is>
      </c>
      <c r="G32" s="87" t="inlineStr">
        <is>
          <t>2 Bed 1 Bath</t>
        </is>
      </c>
      <c r="J32" s="88" t="n">
        <v>904</v>
      </c>
      <c r="K32" s="89" t="n">
        <v>1325</v>
      </c>
      <c r="L32" s="89" t="n">
        <v>1250</v>
      </c>
      <c r="M32" s="89" t="n">
        <v>0</v>
      </c>
      <c r="N32" s="89" t="n">
        <v>0</v>
      </c>
      <c r="P32" s="89" t="n">
        <v>1250</v>
      </c>
      <c r="Q32" s="89" t="n">
        <v>1250</v>
      </c>
      <c r="R32" s="89" t="n">
        <v>1250</v>
      </c>
      <c r="S32" s="87" t="inlineStr">
        <is>
          <t>03/23/26</t>
        </is>
      </c>
      <c r="T32" s="90" t="n">
        <v>46115</v>
      </c>
      <c r="V32" s="90" t="n">
        <v>46507</v>
      </c>
    </row>
    <row r="33">
      <c r="C33" s="87" t="inlineStr">
        <is>
          <t>Frase, Stephen</t>
        </is>
      </c>
      <c r="F33" s="87" t="inlineStr">
        <is>
          <t>27</t>
        </is>
      </c>
      <c r="G33" s="87" t="inlineStr">
        <is>
          <t>2 Bed 1 Bath</t>
        </is>
      </c>
      <c r="J33" s="88" t="n">
        <v>904</v>
      </c>
      <c r="K33" s="89" t="n">
        <v>1325</v>
      </c>
      <c r="L33" s="89" t="n">
        <v>725</v>
      </c>
      <c r="M33" s="89" t="n">
        <v>0</v>
      </c>
      <c r="N33" s="89" t="n">
        <v>0</v>
      </c>
      <c r="P33" s="89" t="n">
        <v>725</v>
      </c>
      <c r="Q33" s="89" t="n">
        <v>350</v>
      </c>
      <c r="R33" s="89" t="n">
        <v>25</v>
      </c>
      <c r="S33" s="87" t="inlineStr">
        <is>
          <t>11/01/24</t>
        </is>
      </c>
      <c r="T33" s="90" t="n">
        <v>36800</v>
      </c>
      <c r="V33" s="90" t="n">
        <v>46691</v>
      </c>
    </row>
    <row r="34">
      <c r="C34" s="87" t="inlineStr">
        <is>
          <t>Brown, Nardisha</t>
        </is>
      </c>
      <c r="F34" s="87" t="inlineStr">
        <is>
          <t>28</t>
        </is>
      </c>
      <c r="G34" s="87" t="inlineStr">
        <is>
          <t>2 Bed 1 Bath</t>
        </is>
      </c>
      <c r="J34" s="88" t="n">
        <v>904</v>
      </c>
      <c r="K34" s="89" t="n">
        <v>1275</v>
      </c>
      <c r="L34" s="89" t="n">
        <v>1200</v>
      </c>
      <c r="M34" s="89" t="n">
        <v>0</v>
      </c>
      <c r="N34" s="89" t="n">
        <v>0</v>
      </c>
      <c r="P34" s="89" t="n">
        <v>1200</v>
      </c>
      <c r="Q34" s="89" t="n">
        <v>1200</v>
      </c>
      <c r="R34" s="89" t="n">
        <v>1200</v>
      </c>
      <c r="S34" s="87" t="inlineStr">
        <is>
          <t>03/30/26</t>
        </is>
      </c>
      <c r="T34" s="90" t="n">
        <v>46127</v>
      </c>
      <c r="V34" s="90" t="n">
        <v>46507</v>
      </c>
    </row>
    <row r="35">
      <c r="C35" s="87" t="inlineStr">
        <is>
          <t>&lt;VACANT&gt;</t>
        </is>
      </c>
      <c r="F35" s="87" t="inlineStr">
        <is>
          <t>29</t>
        </is>
      </c>
      <c r="G35" s="87" t="inlineStr">
        <is>
          <t>2 Bed 1 Bath</t>
        </is>
      </c>
      <c r="J35" s="88" t="n">
        <v>904</v>
      </c>
      <c r="K35" s="89" t="n">
        <v>1325</v>
      </c>
      <c r="L35" s="89" t="n">
        <v>1325</v>
      </c>
      <c r="M35" s="89" t="n">
        <v>1325</v>
      </c>
      <c r="N35" s="89" t="n">
        <v>0</v>
      </c>
      <c r="P35" s="89" t="n">
        <v>0</v>
      </c>
      <c r="Q35" s="89" t="n">
        <v>0</v>
      </c>
      <c r="R35" s="89" t="n">
        <v>0</v>
      </c>
    </row>
    <row r="36">
      <c r="C36" s="87" t="inlineStr">
        <is>
          <t>Elder (PP), Bobbie jean</t>
        </is>
      </c>
      <c r="E36" s="87" t="inlineStr">
        <is>
          <t>1</t>
        </is>
      </c>
      <c r="F36" s="87" t="inlineStr">
        <is>
          <t>30</t>
        </is>
      </c>
      <c r="G36" s="87" t="inlineStr">
        <is>
          <t>2 Bed 1 Bath</t>
        </is>
      </c>
      <c r="J36" s="88" t="n">
        <v>904</v>
      </c>
      <c r="K36" s="89" t="n">
        <v>1325</v>
      </c>
      <c r="L36" s="89" t="n">
        <v>1350</v>
      </c>
      <c r="M36" s="89" t="n">
        <v>0</v>
      </c>
      <c r="N36" s="89" t="n">
        <v>0</v>
      </c>
      <c r="P36" s="89" t="n">
        <v>1350</v>
      </c>
      <c r="Q36" s="89" t="n">
        <v>0</v>
      </c>
      <c r="R36" s="89" t="n">
        <v>55</v>
      </c>
      <c r="S36" s="87" t="inlineStr">
        <is>
          <t>11/01/25</t>
        </is>
      </c>
      <c r="T36" s="90" t="n">
        <v>45231</v>
      </c>
      <c r="U36" s="90" t="n">
        <v>46326</v>
      </c>
      <c r="V36" s="90" t="n">
        <v>46326</v>
      </c>
    </row>
    <row r="37">
      <c r="C37" s="87" t="inlineStr">
        <is>
          <t>Land (BEL), Starlette</t>
        </is>
      </c>
      <c r="E37" s="87" t="inlineStr">
        <is>
          <t>1</t>
        </is>
      </c>
      <c r="F37" s="87" t="inlineStr">
        <is>
          <t>31</t>
        </is>
      </c>
      <c r="G37" s="87" t="inlineStr">
        <is>
          <t>2 Bed 1 Bath</t>
        </is>
      </c>
      <c r="J37" s="88" t="n">
        <v>904</v>
      </c>
      <c r="K37" s="89" t="n">
        <v>1325</v>
      </c>
      <c r="L37" s="89" t="n">
        <v>1050</v>
      </c>
      <c r="M37" s="89" t="n">
        <v>0</v>
      </c>
      <c r="N37" s="89" t="n">
        <v>0</v>
      </c>
      <c r="P37" s="89" t="n">
        <v>1050</v>
      </c>
      <c r="Q37" s="89" t="n">
        <v>635</v>
      </c>
      <c r="R37" s="89" t="n">
        <v>125</v>
      </c>
      <c r="S37" s="87" t="inlineStr">
        <is>
          <t>05/01/25</t>
        </is>
      </c>
      <c r="T37" s="90" t="n">
        <v>43132</v>
      </c>
      <c r="V37" s="90" t="n">
        <v>46507</v>
      </c>
    </row>
    <row r="38">
      <c r="C38" s="87" t="inlineStr">
        <is>
          <t>Gravely (BEL), Jazzlyn</t>
        </is>
      </c>
      <c r="E38" s="87" t="inlineStr">
        <is>
          <t>1</t>
        </is>
      </c>
      <c r="F38" s="87" t="inlineStr">
        <is>
          <t>32</t>
        </is>
      </c>
      <c r="G38" s="87" t="inlineStr">
        <is>
          <t>2 Bed 1 Bath</t>
        </is>
      </c>
      <c r="J38" s="88" t="n">
        <v>904</v>
      </c>
      <c r="K38" s="89" t="n">
        <v>1325</v>
      </c>
      <c r="L38" s="89" t="n">
        <v>1325</v>
      </c>
      <c r="M38" s="89" t="n">
        <v>0</v>
      </c>
      <c r="N38" s="89" t="n">
        <v>0</v>
      </c>
      <c r="P38" s="89" t="n">
        <v>1325</v>
      </c>
      <c r="Q38" s="89" t="n">
        <v>1325</v>
      </c>
      <c r="R38" s="89" t="n">
        <v>1325</v>
      </c>
      <c r="S38" s="87" t="inlineStr">
        <is>
          <t>10/27/25</t>
        </is>
      </c>
      <c r="T38" s="90" t="n">
        <v>45962</v>
      </c>
      <c r="V38" s="90" t="n">
        <v>46691</v>
      </c>
    </row>
    <row r="39">
      <c r="C39" s="87" t="inlineStr">
        <is>
          <t>Marshall, Jonathan</t>
        </is>
      </c>
      <c r="F39" s="87" t="inlineStr">
        <is>
          <t>33</t>
        </is>
      </c>
      <c r="G39" s="87" t="inlineStr">
        <is>
          <t>2 Bed 1 Bath</t>
        </is>
      </c>
      <c r="J39" s="88" t="n">
        <v>904</v>
      </c>
      <c r="K39" s="89" t="n">
        <v>1325</v>
      </c>
      <c r="L39" s="89" t="n">
        <v>1100</v>
      </c>
      <c r="M39" s="89" t="n">
        <v>0</v>
      </c>
      <c r="N39" s="89" t="n">
        <v>0</v>
      </c>
      <c r="P39" s="89" t="n">
        <v>1100</v>
      </c>
      <c r="Q39" s="89" t="n">
        <v>375</v>
      </c>
      <c r="R39" s="89" t="n">
        <v>75</v>
      </c>
      <c r="S39" s="87" t="inlineStr">
        <is>
          <t>10/01/25</t>
        </is>
      </c>
      <c r="T39" s="90" t="n">
        <v>38018</v>
      </c>
      <c r="V39" s="90" t="n">
        <v>46660</v>
      </c>
    </row>
    <row r="40">
      <c r="C40" s="87" t="inlineStr">
        <is>
          <t>Drayton, Rayshel</t>
        </is>
      </c>
      <c r="F40" s="87" t="inlineStr">
        <is>
          <t>34</t>
        </is>
      </c>
      <c r="G40" s="87" t="inlineStr">
        <is>
          <t>2 Bed 1 Bath</t>
        </is>
      </c>
      <c r="J40" s="88" t="n">
        <v>904</v>
      </c>
      <c r="K40" s="89" t="n">
        <v>1275</v>
      </c>
      <c r="L40" s="89" t="n">
        <v>1275</v>
      </c>
      <c r="M40" s="89" t="n">
        <v>0</v>
      </c>
      <c r="N40" s="89" t="n">
        <v>0</v>
      </c>
      <c r="P40" s="89" t="n">
        <v>1275</v>
      </c>
      <c r="Q40" s="89" t="n">
        <v>1275</v>
      </c>
      <c r="R40" s="89" t="n">
        <v>1275</v>
      </c>
      <c r="S40" s="87" t="inlineStr">
        <is>
          <t>05/12/25</t>
        </is>
      </c>
      <c r="T40" s="90" t="n">
        <v>45792</v>
      </c>
      <c r="V40" s="90" t="n">
        <v>46538</v>
      </c>
    </row>
    <row r="41">
      <c r="C41" s="87" t="inlineStr">
        <is>
          <t>Simmons-Mallory, Kimberly</t>
        </is>
      </c>
      <c r="F41" s="87" t="inlineStr">
        <is>
          <t>35</t>
        </is>
      </c>
      <c r="G41" s="87" t="inlineStr">
        <is>
          <t>2 Bed 1 Bath</t>
        </is>
      </c>
      <c r="J41" s="88" t="n">
        <v>904</v>
      </c>
      <c r="K41" s="89" t="n">
        <v>1325</v>
      </c>
      <c r="L41" s="89" t="n">
        <v>1125</v>
      </c>
      <c r="M41" s="89" t="n">
        <v>0</v>
      </c>
      <c r="N41" s="89" t="n">
        <v>0</v>
      </c>
      <c r="P41" s="89" t="n">
        <v>1125</v>
      </c>
      <c r="Q41" s="89" t="n">
        <v>0</v>
      </c>
      <c r="R41" s="89" t="n">
        <v>125</v>
      </c>
      <c r="S41" s="87" t="inlineStr">
        <is>
          <t>10/01/25</t>
        </is>
      </c>
      <c r="T41" s="90" t="n">
        <v>42227</v>
      </c>
      <c r="V41" s="90" t="n">
        <v>46295</v>
      </c>
    </row>
    <row r="42">
      <c r="C42" s="87" t="inlineStr">
        <is>
          <t>Dejesus, Jamira</t>
        </is>
      </c>
      <c r="F42" s="87" t="inlineStr">
        <is>
          <t>36</t>
        </is>
      </c>
      <c r="G42" s="87" t="inlineStr">
        <is>
          <t>2 Bed 1 Bath</t>
        </is>
      </c>
      <c r="J42" s="88" t="n">
        <v>904</v>
      </c>
      <c r="K42" s="89" t="n">
        <v>1325</v>
      </c>
      <c r="L42" s="89" t="n">
        <v>1250</v>
      </c>
      <c r="M42" s="89" t="n">
        <v>0</v>
      </c>
      <c r="N42" s="89" t="n">
        <v>0</v>
      </c>
      <c r="P42" s="89" t="n">
        <v>1250</v>
      </c>
      <c r="Q42" s="89" t="n">
        <v>0</v>
      </c>
      <c r="R42" s="89" t="n">
        <v>1250</v>
      </c>
      <c r="S42" s="87" t="inlineStr">
        <is>
          <t>04/09/26</t>
        </is>
      </c>
      <c r="T42" s="90" t="n">
        <v>46143</v>
      </c>
      <c r="V42" s="90" t="n">
        <v>46507</v>
      </c>
    </row>
    <row r="43">
      <c r="C43" s="87" t="inlineStr">
        <is>
          <t>Copland (TSI), Christopher</t>
        </is>
      </c>
      <c r="E43" s="87" t="inlineStr">
        <is>
          <t>1</t>
        </is>
      </c>
      <c r="F43" s="87" t="inlineStr">
        <is>
          <t>37</t>
        </is>
      </c>
      <c r="G43" s="87" t="inlineStr">
        <is>
          <t>2 Bed 1 Bath</t>
        </is>
      </c>
      <c r="J43" s="88" t="n">
        <v>904</v>
      </c>
      <c r="K43" s="89" t="n">
        <v>1325</v>
      </c>
      <c r="L43" s="89" t="n">
        <v>1450</v>
      </c>
      <c r="M43" s="89" t="n">
        <v>0</v>
      </c>
      <c r="N43" s="89" t="n">
        <v>0</v>
      </c>
      <c r="P43" s="89" t="n">
        <v>1450</v>
      </c>
      <c r="Q43" s="89" t="n">
        <v>1200</v>
      </c>
      <c r="R43" s="89" t="n">
        <v>100</v>
      </c>
      <c r="S43" s="87" t="inlineStr">
        <is>
          <t>12/01/24</t>
        </is>
      </c>
      <c r="T43" s="90" t="n">
        <v>44516</v>
      </c>
      <c r="V43" s="90" t="n">
        <v>46356</v>
      </c>
    </row>
    <row r="44">
      <c r="C44" s="87" t="inlineStr">
        <is>
          <t>Mazhindu, Timothy</t>
        </is>
      </c>
      <c r="F44" s="87" t="inlineStr">
        <is>
          <t>38</t>
        </is>
      </c>
      <c r="G44" s="87" t="inlineStr">
        <is>
          <t>2 Bed 1 Bath</t>
        </is>
      </c>
      <c r="J44" s="88" t="n">
        <v>1250</v>
      </c>
      <c r="K44" s="89" t="n">
        <v>1325</v>
      </c>
      <c r="L44" s="89" t="n">
        <v>1400</v>
      </c>
      <c r="M44" s="89" t="n">
        <v>0</v>
      </c>
      <c r="N44" s="89" t="n">
        <v>0</v>
      </c>
      <c r="P44" s="89" t="n">
        <v>1400</v>
      </c>
      <c r="Q44" s="89" t="n">
        <v>1325</v>
      </c>
      <c r="R44" s="89" t="n">
        <v>75</v>
      </c>
      <c r="S44" s="87" t="inlineStr">
        <is>
          <t>07/01/25</t>
        </is>
      </c>
      <c r="T44" s="90" t="n">
        <v>45457</v>
      </c>
      <c r="V44" s="90" t="n">
        <v>46203</v>
      </c>
    </row>
    <row r="45">
      <c r="C45" s="87" t="inlineStr">
        <is>
          <t>Rosado (BEL), Iraisa</t>
        </is>
      </c>
      <c r="E45" s="87" t="inlineStr">
        <is>
          <t>1</t>
        </is>
      </c>
      <c r="F45" s="87" t="inlineStr">
        <is>
          <t>39</t>
        </is>
      </c>
      <c r="G45" s="87" t="inlineStr">
        <is>
          <t>2 Bed 1 Bath</t>
        </is>
      </c>
      <c r="J45" s="88" t="n">
        <v>904</v>
      </c>
      <c r="K45" s="89" t="n">
        <v>1275</v>
      </c>
      <c r="L45" s="89" t="n">
        <v>1275</v>
      </c>
      <c r="M45" s="89" t="n">
        <v>0</v>
      </c>
      <c r="N45" s="89" t="n">
        <v>0</v>
      </c>
      <c r="P45" s="89" t="n">
        <v>1275</v>
      </c>
      <c r="Q45" s="89" t="n">
        <v>1275</v>
      </c>
      <c r="R45" s="89" t="n">
        <v>1275</v>
      </c>
      <c r="S45" s="87" t="inlineStr">
        <is>
          <t>05/29/25</t>
        </is>
      </c>
      <c r="T45" s="90" t="n">
        <v>45807</v>
      </c>
      <c r="V45" s="90" t="n">
        <v>46173</v>
      </c>
    </row>
    <row r="46">
      <c r="C46" s="87" t="inlineStr">
        <is>
          <t>&lt;VACANT&gt;</t>
        </is>
      </c>
      <c r="F46" s="87" t="inlineStr">
        <is>
          <t>40</t>
        </is>
      </c>
      <c r="G46" s="87" t="inlineStr">
        <is>
          <t>3 Bed 1.5 Bath</t>
        </is>
      </c>
      <c r="J46" s="88" t="n">
        <v>1076</v>
      </c>
      <c r="K46" s="89" t="n">
        <v>1450</v>
      </c>
      <c r="L46" s="89" t="n">
        <v>1450</v>
      </c>
      <c r="M46" s="89" t="n">
        <v>1450</v>
      </c>
      <c r="N46" s="89" t="n">
        <v>0</v>
      </c>
      <c r="P46" s="89" t="n">
        <v>0</v>
      </c>
      <c r="Q46" s="89" t="n">
        <v>0</v>
      </c>
      <c r="R46" s="89" t="n">
        <v>0</v>
      </c>
    </row>
    <row r="47">
      <c r="C47" s="87" t="inlineStr">
        <is>
          <t>Anderson BMHA, Nicole</t>
        </is>
      </c>
      <c r="E47" s="87" t="inlineStr">
        <is>
          <t>1</t>
        </is>
      </c>
      <c r="F47" s="87" t="inlineStr">
        <is>
          <t>41</t>
        </is>
      </c>
      <c r="G47" s="87" t="inlineStr">
        <is>
          <t>3 Bed 1.5 Bath</t>
        </is>
      </c>
      <c r="J47" s="88" t="n">
        <v>1400</v>
      </c>
      <c r="K47" s="89" t="n">
        <v>1450</v>
      </c>
      <c r="L47" s="89" t="n">
        <v>1200</v>
      </c>
      <c r="M47" s="89" t="n">
        <v>0</v>
      </c>
      <c r="N47" s="89" t="n">
        <v>0</v>
      </c>
      <c r="P47" s="89" t="n">
        <v>1200</v>
      </c>
      <c r="Q47" s="89" t="n">
        <v>0</v>
      </c>
      <c r="R47" s="89" t="n">
        <v>1200</v>
      </c>
      <c r="S47" s="87" t="inlineStr">
        <is>
          <t>07/17/26</t>
        </is>
      </c>
      <c r="T47" s="90" t="n">
        <v>46220</v>
      </c>
      <c r="V47" s="90" t="n">
        <v>46599</v>
      </c>
    </row>
    <row r="48">
      <c r="C48" s="87" t="inlineStr">
        <is>
          <t>Brown, Darius</t>
        </is>
      </c>
      <c r="F48" s="87" t="inlineStr">
        <is>
          <t>42</t>
        </is>
      </c>
      <c r="G48" s="87" t="inlineStr">
        <is>
          <t>2 Bed 1 Bath</t>
        </is>
      </c>
      <c r="J48" s="88" t="n">
        <v>904</v>
      </c>
      <c r="K48" s="89" t="n">
        <v>1325</v>
      </c>
      <c r="L48" s="89" t="n">
        <v>1295</v>
      </c>
      <c r="M48" s="89" t="n">
        <v>0</v>
      </c>
      <c r="N48" s="89" t="n">
        <v>0</v>
      </c>
      <c r="P48" s="89" t="n">
        <v>1295</v>
      </c>
      <c r="Q48" s="89" t="n">
        <v>0</v>
      </c>
      <c r="R48" s="89" t="n">
        <v>1295</v>
      </c>
      <c r="S48" s="87" t="inlineStr">
        <is>
          <t>01/19/26</t>
        </is>
      </c>
      <c r="T48" s="90" t="n">
        <v>46081</v>
      </c>
      <c r="V48" s="90" t="n">
        <v>46446</v>
      </c>
    </row>
    <row r="49">
      <c r="C49" s="87" t="inlineStr">
        <is>
          <t>Nyamuke, Adoni</t>
        </is>
      </c>
      <c r="F49" s="87" t="inlineStr">
        <is>
          <t>43</t>
        </is>
      </c>
      <c r="G49" s="87" t="inlineStr">
        <is>
          <t>2 Bed 1 Bath</t>
        </is>
      </c>
      <c r="J49" s="88" t="n">
        <v>940</v>
      </c>
      <c r="K49" s="89" t="n">
        <v>1325</v>
      </c>
      <c r="L49" s="89" t="n">
        <v>1225</v>
      </c>
      <c r="M49" s="89" t="n">
        <v>0</v>
      </c>
      <c r="N49" s="89" t="n">
        <v>0</v>
      </c>
      <c r="P49" s="89" t="n">
        <v>1225</v>
      </c>
      <c r="Q49" s="89" t="n">
        <v>925</v>
      </c>
      <c r="R49" s="89" t="n">
        <v>75</v>
      </c>
      <c r="S49" s="87" t="inlineStr">
        <is>
          <t>11/01/24</t>
        </is>
      </c>
      <c r="T49" s="90" t="n">
        <v>44113</v>
      </c>
      <c r="V49" s="90" t="n">
        <v>46326</v>
      </c>
    </row>
    <row r="50">
      <c r="C50" s="87" t="inlineStr">
        <is>
          <t>Gregory, Shanay</t>
        </is>
      </c>
      <c r="F50" s="87" t="inlineStr">
        <is>
          <t>44</t>
        </is>
      </c>
      <c r="G50" s="87" t="inlineStr">
        <is>
          <t>2 Bed 1 Bath</t>
        </is>
      </c>
      <c r="J50" s="88" t="n">
        <v>904</v>
      </c>
      <c r="K50" s="89" t="n">
        <v>1325</v>
      </c>
      <c r="L50" s="89" t="n">
        <v>1250</v>
      </c>
      <c r="M50" s="89" t="n">
        <v>0</v>
      </c>
      <c r="N50" s="89" t="n">
        <v>0</v>
      </c>
      <c r="P50" s="89" t="n">
        <v>1250</v>
      </c>
      <c r="Q50" s="89" t="n">
        <v>1250</v>
      </c>
      <c r="R50" s="89" t="n">
        <v>1250</v>
      </c>
      <c r="S50" s="87" t="inlineStr">
        <is>
          <t>05/15/26</t>
        </is>
      </c>
      <c r="T50" s="90" t="n">
        <v>46188</v>
      </c>
      <c r="V50" s="90" t="n">
        <v>46568</v>
      </c>
    </row>
    <row r="51">
      <c r="C51" s="87" t="inlineStr">
        <is>
          <t>Sessum, Brittany</t>
        </is>
      </c>
      <c r="F51" s="87" t="inlineStr">
        <is>
          <t>45</t>
        </is>
      </c>
      <c r="G51" s="87" t="inlineStr">
        <is>
          <t>2 Bed 1 Bath</t>
        </is>
      </c>
      <c r="J51" s="88" t="n">
        <v>904</v>
      </c>
      <c r="K51" s="89" t="n">
        <v>1325</v>
      </c>
      <c r="L51" s="89" t="n">
        <v>1395</v>
      </c>
      <c r="M51" s="89" t="n">
        <v>0</v>
      </c>
      <c r="N51" s="89" t="n">
        <v>0</v>
      </c>
      <c r="P51" s="89" t="n">
        <v>1395</v>
      </c>
      <c r="Q51" s="89" t="n">
        <v>1250</v>
      </c>
      <c r="R51" s="89" t="n">
        <v>45</v>
      </c>
      <c r="S51" s="87" t="inlineStr">
        <is>
          <t>01/01/26</t>
        </is>
      </c>
      <c r="T51" s="90" t="n">
        <v>44564</v>
      </c>
      <c r="V51" s="90" t="n">
        <v>46387</v>
      </c>
    </row>
    <row r="52">
      <c r="C52" s="87" t="inlineStr">
        <is>
          <t>Osby, Tierra</t>
        </is>
      </c>
      <c r="F52" s="87" t="inlineStr">
        <is>
          <t>46</t>
        </is>
      </c>
      <c r="G52" s="87" t="inlineStr">
        <is>
          <t>2 Bed 1 Bath</t>
        </is>
      </c>
      <c r="J52" s="88" t="n">
        <v>904</v>
      </c>
      <c r="K52" s="89" t="n">
        <v>1325</v>
      </c>
      <c r="L52" s="89" t="n">
        <v>1025</v>
      </c>
      <c r="M52" s="89" t="n">
        <v>0</v>
      </c>
      <c r="N52" s="89" t="n">
        <v>0</v>
      </c>
      <c r="P52" s="89" t="n">
        <v>1025</v>
      </c>
      <c r="Q52" s="89" t="n">
        <v>660</v>
      </c>
      <c r="R52" s="89" t="n">
        <v>75</v>
      </c>
      <c r="S52" s="87" t="inlineStr">
        <is>
          <t>07/01/24</t>
        </is>
      </c>
      <c r="T52" s="90" t="n">
        <v>42781</v>
      </c>
      <c r="U52" s="90" t="n">
        <v>46295</v>
      </c>
      <c r="V52" s="90" t="n">
        <v>46203</v>
      </c>
    </row>
    <row r="53">
      <c r="C53" s="87" t="inlineStr">
        <is>
          <t>White (BEL), Kimberly</t>
        </is>
      </c>
      <c r="E53" s="87" t="inlineStr">
        <is>
          <t>1</t>
        </is>
      </c>
      <c r="F53" s="87" t="inlineStr">
        <is>
          <t>47</t>
        </is>
      </c>
      <c r="G53" s="87" t="inlineStr">
        <is>
          <t>2 Bed 1 Bath</t>
        </is>
      </c>
      <c r="J53" s="88" t="n">
        <v>904</v>
      </c>
      <c r="K53" s="89" t="n">
        <v>1325</v>
      </c>
      <c r="L53" s="89" t="n">
        <v>1175</v>
      </c>
      <c r="M53" s="89" t="n">
        <v>0</v>
      </c>
      <c r="N53" s="89" t="n">
        <v>0</v>
      </c>
      <c r="P53" s="89" t="n">
        <v>1175</v>
      </c>
      <c r="Q53" s="89" t="n">
        <v>745</v>
      </c>
      <c r="R53" s="89" t="n">
        <v>100</v>
      </c>
      <c r="S53" s="87" t="inlineStr">
        <is>
          <t>02/01/25</t>
        </is>
      </c>
      <c r="T53" s="90" t="n">
        <v>42095</v>
      </c>
      <c r="V53" s="90" t="n">
        <v>46418</v>
      </c>
    </row>
    <row r="54">
      <c r="C54" s="87" t="inlineStr">
        <is>
          <t>Meadows, Torriana</t>
        </is>
      </c>
      <c r="F54" s="87" t="inlineStr">
        <is>
          <t>48</t>
        </is>
      </c>
      <c r="G54" s="87" t="inlineStr">
        <is>
          <t>2 Bed 1 Bath</t>
        </is>
      </c>
      <c r="J54" s="88" t="n">
        <v>904</v>
      </c>
      <c r="K54" s="89" t="n">
        <v>1325</v>
      </c>
      <c r="L54" s="89" t="n">
        <v>1250</v>
      </c>
      <c r="M54" s="89" t="n">
        <v>0</v>
      </c>
      <c r="N54" s="89" t="n">
        <v>0</v>
      </c>
      <c r="P54" s="89" t="n">
        <v>1250</v>
      </c>
      <c r="Q54" s="89" t="n">
        <v>1250</v>
      </c>
      <c r="R54" s="89" t="n">
        <v>1250</v>
      </c>
      <c r="S54" s="87" t="inlineStr">
        <is>
          <t>05/08/26</t>
        </is>
      </c>
      <c r="T54" s="90" t="n">
        <v>46174</v>
      </c>
      <c r="V54" s="90" t="n">
        <v>46538</v>
      </c>
    </row>
    <row r="55">
      <c r="C55" s="87" t="inlineStr">
        <is>
          <t>Proctor (BEL), Reona</t>
        </is>
      </c>
      <c r="E55" s="87" t="inlineStr">
        <is>
          <t>1</t>
        </is>
      </c>
      <c r="F55" s="87" t="inlineStr">
        <is>
          <t>49</t>
        </is>
      </c>
      <c r="G55" s="87" t="inlineStr">
        <is>
          <t>2 Bed 1 Bath</t>
        </is>
      </c>
      <c r="J55" s="88" t="n">
        <v>904</v>
      </c>
      <c r="K55" s="89" t="n">
        <v>1325</v>
      </c>
      <c r="L55" s="89" t="n">
        <v>1230</v>
      </c>
      <c r="M55" s="89" t="n">
        <v>0</v>
      </c>
      <c r="N55" s="89" t="n">
        <v>0</v>
      </c>
      <c r="P55" s="89" t="n">
        <v>1230</v>
      </c>
      <c r="Q55" s="89" t="n">
        <v>1275</v>
      </c>
      <c r="R55" s="89" t="n">
        <v>1230</v>
      </c>
      <c r="S55" s="87" t="inlineStr">
        <is>
          <t>03/05/25</t>
        </is>
      </c>
      <c r="T55" s="90" t="n">
        <v>45722</v>
      </c>
      <c r="V55" s="90" t="n">
        <v>46446</v>
      </c>
    </row>
    <row r="56">
      <c r="C56" s="87" t="inlineStr">
        <is>
          <t>Carter, Christina</t>
        </is>
      </c>
      <c r="F56" s="87" t="inlineStr">
        <is>
          <t>50</t>
        </is>
      </c>
      <c r="G56" s="87" t="inlineStr">
        <is>
          <t>2 Bed 1 Bath</t>
        </is>
      </c>
      <c r="J56" s="88" t="n">
        <v>904</v>
      </c>
      <c r="K56" s="89" t="n">
        <v>1325</v>
      </c>
      <c r="L56" s="89" t="n">
        <v>1075</v>
      </c>
      <c r="M56" s="89" t="n">
        <v>0</v>
      </c>
      <c r="N56" s="89" t="n">
        <v>0</v>
      </c>
      <c r="P56" s="89" t="n">
        <v>1075</v>
      </c>
      <c r="Q56" s="89" t="n">
        <v>595</v>
      </c>
      <c r="R56" s="89" t="n">
        <v>75</v>
      </c>
      <c r="S56" s="87" t="inlineStr">
        <is>
          <t>12/01/25</t>
        </is>
      </c>
      <c r="T56" s="90" t="n">
        <v>43435</v>
      </c>
      <c r="V56" s="90" t="n">
        <v>46356</v>
      </c>
    </row>
    <row r="57">
      <c r="C57" s="87" t="inlineStr">
        <is>
          <t>Seagroves, Sam</t>
        </is>
      </c>
      <c r="F57" s="87" t="inlineStr">
        <is>
          <t>51</t>
        </is>
      </c>
      <c r="G57" s="87" t="inlineStr">
        <is>
          <t>2 Bed 1 Bath</t>
        </is>
      </c>
      <c r="J57" s="88" t="n">
        <v>904</v>
      </c>
      <c r="K57" s="89" t="n">
        <v>1275</v>
      </c>
      <c r="L57" s="89" t="n">
        <v>1325</v>
      </c>
      <c r="M57" s="89" t="n">
        <v>0</v>
      </c>
      <c r="N57" s="89" t="n">
        <v>0</v>
      </c>
      <c r="P57" s="89" t="n">
        <v>1325</v>
      </c>
      <c r="Q57" s="89" t="n">
        <v>1275</v>
      </c>
      <c r="R57" s="89" t="n">
        <v>50</v>
      </c>
      <c r="S57" s="87" t="inlineStr">
        <is>
          <t>02/01/26</t>
        </is>
      </c>
      <c r="T57" s="90" t="n">
        <v>45684</v>
      </c>
      <c r="V57" s="90" t="n">
        <v>46418</v>
      </c>
    </row>
    <row r="58">
      <c r="C58" s="87" t="inlineStr">
        <is>
          <t>Thornton (BMHA), Chanel</t>
        </is>
      </c>
      <c r="E58" s="87" t="inlineStr">
        <is>
          <t>1</t>
        </is>
      </c>
      <c r="F58" s="87" t="inlineStr">
        <is>
          <t>52</t>
        </is>
      </c>
      <c r="G58" s="87" t="inlineStr">
        <is>
          <t>2 Bed 1 Bath</t>
        </is>
      </c>
      <c r="J58" s="88" t="n">
        <v>904</v>
      </c>
      <c r="K58" s="89" t="n">
        <v>1325</v>
      </c>
      <c r="L58" s="89" t="n">
        <v>1275</v>
      </c>
      <c r="M58" s="89" t="n">
        <v>0</v>
      </c>
      <c r="N58" s="89" t="n">
        <v>200</v>
      </c>
      <c r="P58" s="89" t="n">
        <v>1475</v>
      </c>
      <c r="Q58" s="89" t="n">
        <v>1275</v>
      </c>
      <c r="R58" s="89" t="n">
        <v>1275</v>
      </c>
      <c r="S58" s="87" t="inlineStr">
        <is>
          <t>10/11/24</t>
        </is>
      </c>
      <c r="T58" s="90" t="n">
        <v>45576</v>
      </c>
      <c r="V58" s="90" t="n">
        <v>45961</v>
      </c>
    </row>
    <row r="59">
      <c r="C59" s="87" t="inlineStr">
        <is>
          <t>McMillan, Taijanay</t>
        </is>
      </c>
      <c r="F59" s="87" t="inlineStr">
        <is>
          <t>53</t>
        </is>
      </c>
      <c r="G59" s="87" t="inlineStr">
        <is>
          <t>2 Bed 1 Bath</t>
        </is>
      </c>
      <c r="J59" s="88" t="n">
        <v>904</v>
      </c>
      <c r="K59" s="89" t="n">
        <v>1325</v>
      </c>
      <c r="L59" s="89" t="n">
        <v>1315</v>
      </c>
      <c r="M59" s="89" t="n">
        <v>0</v>
      </c>
      <c r="N59" s="89" t="n">
        <v>25</v>
      </c>
      <c r="P59" s="89" t="n">
        <v>1340</v>
      </c>
      <c r="Q59" s="89" t="n">
        <v>1200</v>
      </c>
      <c r="R59" s="89" t="n">
        <v>20</v>
      </c>
      <c r="S59" s="87" t="inlineStr">
        <is>
          <t>10/01/25</t>
        </is>
      </c>
      <c r="T59" s="90" t="n">
        <v>45198</v>
      </c>
      <c r="V59" s="90" t="n">
        <v>46295</v>
      </c>
    </row>
    <row r="60">
      <c r="C60" s="87" t="inlineStr">
        <is>
          <t>Grabowski (TSI), Ariana</t>
        </is>
      </c>
      <c r="E60" s="87" t="inlineStr">
        <is>
          <t>1</t>
        </is>
      </c>
      <c r="F60" s="87" t="inlineStr">
        <is>
          <t>54</t>
        </is>
      </c>
      <c r="G60" s="87" t="inlineStr">
        <is>
          <t>2 Bed 1 Bath</t>
        </is>
      </c>
      <c r="J60" s="88" t="n">
        <v>904</v>
      </c>
      <c r="K60" s="89" t="n">
        <v>1325</v>
      </c>
      <c r="L60" s="89" t="n">
        <v>1450</v>
      </c>
      <c r="M60" s="89" t="n">
        <v>0</v>
      </c>
      <c r="N60" s="89" t="n">
        <v>0</v>
      </c>
      <c r="P60" s="89" t="n">
        <v>1450</v>
      </c>
      <c r="Q60" s="89" t="n">
        <v>1200</v>
      </c>
      <c r="R60" s="89" t="n">
        <v>100</v>
      </c>
      <c r="S60" s="87" t="inlineStr">
        <is>
          <t>12/01/24</t>
        </is>
      </c>
      <c r="T60" s="90" t="n">
        <v>44515</v>
      </c>
      <c r="V60" s="90" t="n">
        <v>46356</v>
      </c>
    </row>
    <row r="61">
      <c r="C61" s="87" t="inlineStr">
        <is>
          <t>&lt;VACANT&gt;</t>
        </is>
      </c>
      <c r="F61" s="87" t="inlineStr">
        <is>
          <t>55</t>
        </is>
      </c>
      <c r="G61" s="87" t="inlineStr">
        <is>
          <t>2 Bed 1 Bath</t>
        </is>
      </c>
      <c r="J61" s="88" t="n">
        <v>904</v>
      </c>
      <c r="K61" s="89" t="n">
        <v>1250</v>
      </c>
      <c r="L61" s="89" t="n">
        <v>1250</v>
      </c>
      <c r="M61" s="89" t="n">
        <v>1250</v>
      </c>
      <c r="N61" s="89" t="n">
        <v>0</v>
      </c>
      <c r="P61" s="89" t="n">
        <v>0</v>
      </c>
      <c r="Q61" s="89" t="n">
        <v>0</v>
      </c>
      <c r="R61" s="89" t="n">
        <v>0</v>
      </c>
    </row>
    <row r="62">
      <c r="C62" s="87" t="inlineStr">
        <is>
          <t>&lt;VACANT&gt;</t>
        </is>
      </c>
      <c r="F62" s="87" t="inlineStr">
        <is>
          <t>56</t>
        </is>
      </c>
      <c r="G62" s="87" t="inlineStr">
        <is>
          <t>2 Bed 1 Bath</t>
        </is>
      </c>
      <c r="J62" s="88" t="n">
        <v>904</v>
      </c>
      <c r="K62" s="89" t="n">
        <v>1275</v>
      </c>
      <c r="L62" s="89" t="n">
        <v>1275</v>
      </c>
      <c r="M62" s="89" t="n">
        <v>1275</v>
      </c>
      <c r="N62" s="89" t="n">
        <v>0</v>
      </c>
      <c r="P62" s="89" t="n">
        <v>0</v>
      </c>
      <c r="Q62" s="89" t="n">
        <v>0</v>
      </c>
      <c r="R62" s="89" t="n">
        <v>0</v>
      </c>
    </row>
    <row r="63">
      <c r="C63" s="87" t="inlineStr">
        <is>
          <t>Harden, Crystal</t>
        </is>
      </c>
      <c r="F63" s="87" t="inlineStr">
        <is>
          <t>57</t>
        </is>
      </c>
      <c r="G63" s="87" t="inlineStr">
        <is>
          <t>2 Bed 1 Bath</t>
        </is>
      </c>
      <c r="J63" s="88" t="n">
        <v>904</v>
      </c>
      <c r="K63" s="89" t="n">
        <v>1325</v>
      </c>
      <c r="L63" s="89" t="n">
        <v>1175</v>
      </c>
      <c r="M63" s="89" t="n">
        <v>0</v>
      </c>
      <c r="N63" s="89" t="n">
        <v>0</v>
      </c>
      <c r="P63" s="89" t="n">
        <v>1175</v>
      </c>
      <c r="Q63" s="89" t="n">
        <v>850</v>
      </c>
      <c r="R63" s="89" t="n">
        <v>80</v>
      </c>
      <c r="S63" s="87" t="inlineStr">
        <is>
          <t>09/01/25</t>
        </is>
      </c>
      <c r="T63" s="90" t="n">
        <v>44028</v>
      </c>
      <c r="V63" s="90" t="n">
        <v>46630</v>
      </c>
    </row>
    <row r="64">
      <c r="C64" s="87" t="inlineStr">
        <is>
          <t>Otero, Gladys</t>
        </is>
      </c>
      <c r="F64" s="87" t="inlineStr">
        <is>
          <t>58</t>
        </is>
      </c>
      <c r="G64" s="87" t="inlineStr">
        <is>
          <t>3 Bed 1.5 Bath</t>
        </is>
      </c>
      <c r="J64" s="88" t="n">
        <v>1076</v>
      </c>
      <c r="K64" s="89" t="n">
        <v>1450</v>
      </c>
      <c r="L64" s="89" t="n">
        <v>1400</v>
      </c>
      <c r="M64" s="89" t="n">
        <v>0</v>
      </c>
      <c r="N64" s="89" t="n">
        <v>0</v>
      </c>
      <c r="P64" s="89" t="n">
        <v>1400</v>
      </c>
      <c r="Q64" s="89" t="n">
        <v>1400</v>
      </c>
      <c r="R64" s="89" t="n">
        <v>1400</v>
      </c>
      <c r="S64" s="87" t="inlineStr">
        <is>
          <t>04/11/25</t>
        </is>
      </c>
      <c r="T64" s="90" t="n">
        <v>45762</v>
      </c>
      <c r="V64" s="90" t="n">
        <v>46142</v>
      </c>
    </row>
    <row r="65">
      <c r="C65" s="87" t="inlineStr">
        <is>
          <t>Szatkowski, Janay</t>
        </is>
      </c>
      <c r="F65" s="87" t="inlineStr">
        <is>
          <t>59</t>
        </is>
      </c>
      <c r="G65" s="87" t="inlineStr">
        <is>
          <t>3 Bed 1.5 Bath</t>
        </is>
      </c>
      <c r="J65" s="88" t="n">
        <v>1076</v>
      </c>
      <c r="K65" s="89" t="n">
        <v>1450</v>
      </c>
      <c r="L65" s="89" t="n">
        <v>1500</v>
      </c>
      <c r="M65" s="89" t="n">
        <v>0</v>
      </c>
      <c r="N65" s="89" t="n">
        <v>0</v>
      </c>
      <c r="P65" s="89" t="n">
        <v>1500</v>
      </c>
      <c r="Q65" s="89" t="n">
        <v>0</v>
      </c>
      <c r="R65" s="89" t="n">
        <v>50</v>
      </c>
      <c r="S65" s="87" t="inlineStr">
        <is>
          <t>01/01/26</t>
        </is>
      </c>
      <c r="T65" s="90" t="n">
        <v>44896</v>
      </c>
      <c r="V65" s="90" t="n">
        <v>46387</v>
      </c>
    </row>
    <row r="66">
      <c r="C66" s="87" t="inlineStr">
        <is>
          <t>Prince, Nathen</t>
        </is>
      </c>
      <c r="F66" s="87" t="inlineStr">
        <is>
          <t>60</t>
        </is>
      </c>
      <c r="G66" s="87" t="inlineStr">
        <is>
          <t>2 Bed 1 Bath</t>
        </is>
      </c>
      <c r="J66" s="88" t="n">
        <v>904</v>
      </c>
      <c r="K66" s="89" t="n">
        <v>1275</v>
      </c>
      <c r="L66" s="89" t="n">
        <v>1275</v>
      </c>
      <c r="M66" s="89" t="n">
        <v>0</v>
      </c>
      <c r="N66" s="89" t="n">
        <v>0</v>
      </c>
      <c r="P66" s="89" t="n">
        <v>1275</v>
      </c>
      <c r="Q66" s="89" t="n">
        <v>1275</v>
      </c>
      <c r="R66" s="89" t="n">
        <v>1275</v>
      </c>
      <c r="S66" s="87" t="inlineStr">
        <is>
          <t>05/22/25</t>
        </is>
      </c>
      <c r="T66" s="90" t="n">
        <v>45834</v>
      </c>
      <c r="V66" s="90" t="n">
        <v>46568</v>
      </c>
    </row>
    <row r="67">
      <c r="C67" s="87" t="inlineStr">
        <is>
          <t>&lt;VACANT&gt;</t>
        </is>
      </c>
      <c r="F67" s="87" t="inlineStr">
        <is>
          <t>61</t>
        </is>
      </c>
      <c r="G67" s="87" t="inlineStr">
        <is>
          <t>2 Bed 1 Bath</t>
        </is>
      </c>
      <c r="J67" s="88" t="n">
        <v>904</v>
      </c>
      <c r="K67" s="89" t="n">
        <v>1325</v>
      </c>
      <c r="L67" s="89" t="n">
        <v>1325</v>
      </c>
      <c r="M67" s="89" t="n">
        <v>1325</v>
      </c>
      <c r="N67" s="89" t="n">
        <v>0</v>
      </c>
      <c r="P67" s="89" t="n">
        <v>0</v>
      </c>
      <c r="Q67" s="89" t="n">
        <v>0</v>
      </c>
      <c r="R67" s="89" t="n">
        <v>0</v>
      </c>
    </row>
    <row r="68">
      <c r="C68" s="87" t="inlineStr">
        <is>
          <t>Woods, Startrise</t>
        </is>
      </c>
      <c r="F68" s="87" t="inlineStr">
        <is>
          <t>62</t>
        </is>
      </c>
      <c r="G68" s="87" t="inlineStr">
        <is>
          <t>2 Bed 1 Bath</t>
        </is>
      </c>
      <c r="J68" s="88" t="n">
        <v>904</v>
      </c>
      <c r="K68" s="89" t="n">
        <v>1325</v>
      </c>
      <c r="L68" s="89" t="n">
        <v>1200</v>
      </c>
      <c r="M68" s="89" t="n">
        <v>0</v>
      </c>
      <c r="N68" s="89" t="n">
        <v>0</v>
      </c>
      <c r="P68" s="89" t="n">
        <v>1200</v>
      </c>
      <c r="Q68" s="89" t="n">
        <v>1200</v>
      </c>
      <c r="R68" s="89" t="n">
        <v>1200</v>
      </c>
      <c r="S68" s="87" t="inlineStr">
        <is>
          <t>07/22/26</t>
        </is>
      </c>
      <c r="T68" s="90" t="n">
        <v>46234</v>
      </c>
      <c r="V68" s="90" t="n">
        <v>46599</v>
      </c>
    </row>
    <row r="69">
      <c r="C69" s="87" t="inlineStr">
        <is>
          <t>Maciejewski (TSI), Bruce</t>
        </is>
      </c>
      <c r="E69" s="87" t="inlineStr">
        <is>
          <t>1</t>
        </is>
      </c>
      <c r="F69" s="87" t="inlineStr">
        <is>
          <t>63</t>
        </is>
      </c>
      <c r="G69" s="87" t="inlineStr">
        <is>
          <t>2 Bed 1 Bath</t>
        </is>
      </c>
      <c r="J69" s="88" t="n">
        <v>904</v>
      </c>
      <c r="K69" s="89" t="n">
        <v>1325</v>
      </c>
      <c r="L69" s="89" t="n">
        <v>1450</v>
      </c>
      <c r="M69" s="89" t="n">
        <v>0</v>
      </c>
      <c r="N69" s="89" t="n">
        <v>0</v>
      </c>
      <c r="P69" s="89" t="n">
        <v>1450</v>
      </c>
      <c r="Q69" s="89" t="n">
        <v>1200</v>
      </c>
      <c r="R69" s="89" t="n">
        <v>100</v>
      </c>
      <c r="S69" s="87" t="inlineStr">
        <is>
          <t>12/01/24</t>
        </is>
      </c>
      <c r="T69" s="90" t="n">
        <v>44516</v>
      </c>
      <c r="V69" s="90" t="n">
        <v>46356</v>
      </c>
    </row>
    <row r="70">
      <c r="C70" s="87" t="inlineStr">
        <is>
          <t>Negron, Brittney</t>
        </is>
      </c>
      <c r="F70" s="87" t="inlineStr">
        <is>
          <t>64</t>
        </is>
      </c>
      <c r="G70" s="87" t="inlineStr">
        <is>
          <t>2 Bed 1 Bath</t>
        </is>
      </c>
      <c r="J70" s="88" t="n">
        <v>1250</v>
      </c>
      <c r="K70" s="89" t="n">
        <v>1325</v>
      </c>
      <c r="L70" s="89" t="n">
        <v>1350</v>
      </c>
      <c r="M70" s="89" t="n">
        <v>0</v>
      </c>
      <c r="N70" s="89" t="n">
        <v>0</v>
      </c>
      <c r="P70" s="89" t="n">
        <v>1350</v>
      </c>
      <c r="Q70" s="89" t="n">
        <v>1325</v>
      </c>
      <c r="R70" s="89" t="n">
        <v>25</v>
      </c>
      <c r="S70" s="87" t="inlineStr">
        <is>
          <t>11/01/25</t>
        </is>
      </c>
      <c r="T70" s="90" t="n">
        <v>45596</v>
      </c>
      <c r="V70" s="90" t="n">
        <v>46326</v>
      </c>
    </row>
    <row r="71">
      <c r="C71" s="87" t="inlineStr">
        <is>
          <t>Williams, Linda</t>
        </is>
      </c>
      <c r="F71" s="87" t="inlineStr">
        <is>
          <t>65</t>
        </is>
      </c>
      <c r="G71" s="87" t="inlineStr">
        <is>
          <t>2 Bed 1 Bath</t>
        </is>
      </c>
      <c r="J71" s="88" t="n">
        <v>904</v>
      </c>
      <c r="K71" s="89" t="n">
        <v>1325</v>
      </c>
      <c r="L71" s="89" t="n">
        <v>1125</v>
      </c>
      <c r="M71" s="89" t="n">
        <v>0</v>
      </c>
      <c r="N71" s="89" t="n">
        <v>0</v>
      </c>
      <c r="P71" s="89" t="n">
        <v>1125</v>
      </c>
      <c r="Q71" s="89" t="n">
        <v>0</v>
      </c>
      <c r="R71" s="89" t="n">
        <v>75</v>
      </c>
      <c r="S71" s="87" t="inlineStr">
        <is>
          <t>10/01/25</t>
        </is>
      </c>
      <c r="T71" s="90" t="n">
        <v>41913</v>
      </c>
      <c r="V71" s="90" t="n">
        <v>46660</v>
      </c>
    </row>
    <row r="72">
      <c r="C72" s="87" t="inlineStr">
        <is>
          <t>Jones, Michelle</t>
        </is>
      </c>
      <c r="F72" s="87" t="inlineStr">
        <is>
          <t>66</t>
        </is>
      </c>
      <c r="G72" s="87" t="inlineStr">
        <is>
          <t>2 Bed 1 Bath</t>
        </is>
      </c>
      <c r="J72" s="88" t="n">
        <v>904</v>
      </c>
      <c r="K72" s="89" t="n">
        <v>1325</v>
      </c>
      <c r="L72" s="89" t="n">
        <v>1425</v>
      </c>
      <c r="M72" s="89" t="n">
        <v>0</v>
      </c>
      <c r="N72" s="89" t="n">
        <v>0</v>
      </c>
      <c r="P72" s="89" t="n">
        <v>1425</v>
      </c>
      <c r="Q72" s="89" t="n">
        <v>1250</v>
      </c>
      <c r="R72" s="89" t="n">
        <v>50</v>
      </c>
      <c r="S72" s="87" t="inlineStr">
        <is>
          <t>05/01/25</t>
        </is>
      </c>
      <c r="T72" s="90" t="n">
        <v>44671</v>
      </c>
      <c r="V72" s="90" t="n">
        <v>46507</v>
      </c>
    </row>
    <row r="73">
      <c r="C73" s="87" t="inlineStr">
        <is>
          <t>&lt;VACANT&gt;</t>
        </is>
      </c>
      <c r="F73" s="87" t="inlineStr">
        <is>
          <t>67</t>
        </is>
      </c>
      <c r="G73" s="87" t="inlineStr">
        <is>
          <t>2 Bed 1 Bath</t>
        </is>
      </c>
      <c r="J73" s="88" t="n">
        <v>904</v>
      </c>
      <c r="K73" s="89" t="n">
        <v>1325</v>
      </c>
      <c r="L73" s="89" t="n">
        <v>1325</v>
      </c>
      <c r="M73" s="89" t="n">
        <v>1325</v>
      </c>
      <c r="N73" s="89" t="n">
        <v>0</v>
      </c>
      <c r="P73" s="89" t="n">
        <v>0</v>
      </c>
      <c r="Q73" s="89" t="n">
        <v>0</v>
      </c>
      <c r="R73" s="89" t="n">
        <v>0</v>
      </c>
    </row>
    <row r="74">
      <c r="C74" s="87" t="inlineStr">
        <is>
          <t>Smith, Arianna</t>
        </is>
      </c>
      <c r="F74" s="87" t="inlineStr">
        <is>
          <t>68</t>
        </is>
      </c>
      <c r="G74" s="87" t="inlineStr">
        <is>
          <t>2 Bed 1 Bath</t>
        </is>
      </c>
      <c r="J74" s="88" t="n">
        <v>904</v>
      </c>
      <c r="K74" s="89" t="n">
        <v>1275</v>
      </c>
      <c r="L74" s="89" t="n">
        <v>1275</v>
      </c>
      <c r="M74" s="89" t="n">
        <v>0</v>
      </c>
      <c r="N74" s="89" t="n">
        <v>0</v>
      </c>
      <c r="P74" s="89" t="n">
        <v>1275</v>
      </c>
      <c r="Q74" s="89" t="n">
        <v>1275</v>
      </c>
      <c r="R74" s="89" t="n">
        <v>1275</v>
      </c>
      <c r="S74" s="87" t="inlineStr">
        <is>
          <t>03/26/25</t>
        </is>
      </c>
      <c r="T74" s="90" t="n">
        <v>45751</v>
      </c>
      <c r="V74" s="90" t="n">
        <v>46507</v>
      </c>
    </row>
    <row r="75">
      <c r="C75" s="87" t="inlineStr">
        <is>
          <t>Martinez-Santana, Raysa</t>
        </is>
      </c>
      <c r="F75" s="87" t="inlineStr">
        <is>
          <t>69</t>
        </is>
      </c>
      <c r="G75" s="87" t="inlineStr">
        <is>
          <t>2 Bed 1 Bath</t>
        </is>
      </c>
      <c r="J75" s="88" t="n">
        <v>904</v>
      </c>
      <c r="K75" s="89" t="n">
        <v>1325</v>
      </c>
      <c r="L75" s="89" t="n">
        <v>1250</v>
      </c>
      <c r="M75" s="89" t="n">
        <v>0</v>
      </c>
      <c r="N75" s="89" t="n">
        <v>0</v>
      </c>
      <c r="P75" s="89" t="n">
        <v>1250</v>
      </c>
      <c r="Q75" s="89" t="n">
        <v>1250</v>
      </c>
      <c r="R75" s="89" t="n">
        <v>1250</v>
      </c>
      <c r="S75" s="87" t="inlineStr">
        <is>
          <t>03/27/26</t>
        </is>
      </c>
      <c r="T75" s="90" t="n">
        <v>46162</v>
      </c>
      <c r="V75" s="90" t="n">
        <v>46538</v>
      </c>
    </row>
    <row r="76">
      <c r="C76" s="87" t="inlineStr">
        <is>
          <t>Burgio, Monet</t>
        </is>
      </c>
      <c r="F76" s="87" t="inlineStr">
        <is>
          <t>70</t>
        </is>
      </c>
      <c r="G76" s="87" t="inlineStr">
        <is>
          <t>2 Bed 1 Bath</t>
        </is>
      </c>
      <c r="J76" s="88" t="n">
        <v>904</v>
      </c>
      <c r="K76" s="89" t="n">
        <v>1325</v>
      </c>
      <c r="L76" s="89" t="n">
        <v>1375</v>
      </c>
      <c r="M76" s="89" t="n">
        <v>0</v>
      </c>
      <c r="N76" s="89" t="n">
        <v>0</v>
      </c>
      <c r="P76" s="89" t="n">
        <v>1375</v>
      </c>
      <c r="Q76" s="89" t="n">
        <v>1200</v>
      </c>
      <c r="R76" s="89" t="n">
        <v>80</v>
      </c>
      <c r="S76" s="87" t="inlineStr">
        <is>
          <t>10/01/25</t>
        </is>
      </c>
      <c r="T76" s="90" t="n">
        <v>45184</v>
      </c>
      <c r="V76" s="90" t="n">
        <v>46295</v>
      </c>
    </row>
    <row r="77">
      <c r="C77" s="87" t="inlineStr">
        <is>
          <t>May (RACB), John</t>
        </is>
      </c>
      <c r="E77" s="87" t="inlineStr">
        <is>
          <t>1</t>
        </is>
      </c>
      <c r="F77" s="87" t="inlineStr">
        <is>
          <t>71</t>
        </is>
      </c>
      <c r="G77" s="87" t="inlineStr">
        <is>
          <t>2 Bed 1 Bath</t>
        </is>
      </c>
      <c r="J77" s="88" t="n">
        <v>904</v>
      </c>
      <c r="K77" s="89" t="n">
        <v>1325</v>
      </c>
      <c r="L77" s="89" t="n">
        <v>1350</v>
      </c>
      <c r="M77" s="89" t="n">
        <v>0</v>
      </c>
      <c r="N77" s="89" t="n">
        <v>0</v>
      </c>
      <c r="P77" s="89" t="n">
        <v>1350</v>
      </c>
      <c r="Q77" s="89" t="n">
        <v>0</v>
      </c>
      <c r="R77" s="89" t="n">
        <v>80</v>
      </c>
      <c r="S77" s="87" t="inlineStr">
        <is>
          <t>09/01/25</t>
        </is>
      </c>
      <c r="T77" s="90" t="n">
        <v>45536</v>
      </c>
      <c r="V77" s="90" t="n">
        <v>46265</v>
      </c>
    </row>
    <row r="78">
      <c r="C78" s="87" t="inlineStr">
        <is>
          <t>Services Inc, Transitional</t>
        </is>
      </c>
      <c r="F78" s="87" t="inlineStr">
        <is>
          <t>72</t>
        </is>
      </c>
      <c r="G78" s="87" t="inlineStr">
        <is>
          <t>2 Bed 1 Bath</t>
        </is>
      </c>
      <c r="J78" s="88" t="n">
        <v>904</v>
      </c>
      <c r="K78" s="89" t="n">
        <v>1325</v>
      </c>
      <c r="L78" s="89" t="n">
        <v>1200</v>
      </c>
      <c r="M78" s="89" t="n">
        <v>0</v>
      </c>
      <c r="N78" s="89" t="n">
        <v>0</v>
      </c>
      <c r="P78" s="89" t="n">
        <v>1200</v>
      </c>
      <c r="Q78" s="89" t="n">
        <v>755</v>
      </c>
      <c r="R78" s="89" t="n">
        <v>100</v>
      </c>
      <c r="S78" s="87" t="inlineStr">
        <is>
          <t>05/01/25</t>
        </is>
      </c>
      <c r="T78" s="90" t="n">
        <v>41030</v>
      </c>
      <c r="V78" s="90" t="n">
        <v>46507</v>
      </c>
    </row>
    <row r="79">
      <c r="C79" s="87" t="inlineStr">
        <is>
          <t>Delgado, Narraly</t>
        </is>
      </c>
      <c r="F79" s="87" t="inlineStr">
        <is>
          <t>73</t>
        </is>
      </c>
      <c r="G79" s="87" t="inlineStr">
        <is>
          <t>2 Bed 1 Bath</t>
        </is>
      </c>
      <c r="J79" s="88" t="n">
        <v>904</v>
      </c>
      <c r="K79" s="89" t="n">
        <v>1325</v>
      </c>
      <c r="L79" s="89" t="n">
        <v>1125</v>
      </c>
      <c r="M79" s="89" t="n">
        <v>0</v>
      </c>
      <c r="N79" s="89" t="n">
        <v>0</v>
      </c>
      <c r="P79" s="89" t="n">
        <v>1125</v>
      </c>
      <c r="Q79" s="89" t="n">
        <v>850</v>
      </c>
      <c r="R79" s="89" t="n">
        <v>75</v>
      </c>
      <c r="S79" s="87" t="inlineStr">
        <is>
          <t>05/01/24</t>
        </is>
      </c>
      <c r="T79" s="90" t="n">
        <v>44235</v>
      </c>
      <c r="V79" s="90" t="n">
        <v>46142</v>
      </c>
    </row>
    <row r="80">
      <c r="C80" s="87" t="inlineStr">
        <is>
          <t>Watkins, Kathleen</t>
        </is>
      </c>
      <c r="F80" s="87" t="inlineStr">
        <is>
          <t>74</t>
        </is>
      </c>
      <c r="G80" s="87" t="inlineStr">
        <is>
          <t>2 Bed 1 Bath</t>
        </is>
      </c>
      <c r="J80" s="88" t="n">
        <v>904</v>
      </c>
      <c r="K80" s="89" t="n">
        <v>1325</v>
      </c>
      <c r="L80" s="89" t="n">
        <v>1325</v>
      </c>
      <c r="M80" s="89" t="n">
        <v>0</v>
      </c>
      <c r="N80" s="89" t="n">
        <v>0</v>
      </c>
      <c r="P80" s="89" t="n">
        <v>1325</v>
      </c>
      <c r="Q80" s="89" t="n">
        <v>1200</v>
      </c>
      <c r="R80" s="89" t="n">
        <v>50</v>
      </c>
      <c r="S80" s="87" t="inlineStr">
        <is>
          <t>05/01/25</t>
        </is>
      </c>
      <c r="T80" s="90" t="n">
        <v>45047</v>
      </c>
      <c r="V80" s="90" t="n">
        <v>46142</v>
      </c>
    </row>
    <row r="81">
      <c r="C81" s="87" t="inlineStr">
        <is>
          <t>Millington, Chevaneese</t>
        </is>
      </c>
      <c r="F81" s="87" t="inlineStr">
        <is>
          <t>75</t>
        </is>
      </c>
      <c r="G81" s="87" t="inlineStr">
        <is>
          <t>2 Bed 1 Bath</t>
        </is>
      </c>
      <c r="J81" s="88" t="n">
        <v>904</v>
      </c>
      <c r="K81" s="89" t="n">
        <v>1275</v>
      </c>
      <c r="L81" s="89" t="n">
        <v>1275</v>
      </c>
      <c r="M81" s="89" t="n">
        <v>0</v>
      </c>
      <c r="N81" s="89" t="n">
        <v>0</v>
      </c>
      <c r="P81" s="89" t="n">
        <v>1275</v>
      </c>
      <c r="Q81" s="89" t="n">
        <v>1275</v>
      </c>
      <c r="R81" s="89" t="n">
        <v>1275</v>
      </c>
      <c r="S81" s="87" t="inlineStr">
        <is>
          <t>05/27/25</t>
        </is>
      </c>
      <c r="T81" s="90" t="n">
        <v>45807</v>
      </c>
      <c r="V81" s="90" t="n">
        <v>46568</v>
      </c>
    </row>
    <row r="82">
      <c r="C82" s="87" t="inlineStr">
        <is>
          <t>Jackson (BEL), Alyshia</t>
        </is>
      </c>
      <c r="E82" s="87" t="inlineStr">
        <is>
          <t>1</t>
        </is>
      </c>
      <c r="F82" s="87" t="inlineStr">
        <is>
          <t>76</t>
        </is>
      </c>
      <c r="G82" s="87" t="inlineStr">
        <is>
          <t>2 Bed 1 Bath</t>
        </is>
      </c>
      <c r="J82" s="88" t="n">
        <v>904</v>
      </c>
      <c r="K82" s="89" t="n">
        <v>1325</v>
      </c>
      <c r="L82" s="89" t="n">
        <v>1200</v>
      </c>
      <c r="M82" s="89" t="n">
        <v>0</v>
      </c>
      <c r="N82" s="89" t="n">
        <v>0</v>
      </c>
      <c r="P82" s="89" t="n">
        <v>1200</v>
      </c>
      <c r="Q82" s="89" t="n">
        <v>850</v>
      </c>
      <c r="R82" s="89" t="n">
        <v>100</v>
      </c>
      <c r="S82" s="87" t="inlineStr">
        <is>
          <t>05/01/25</t>
        </is>
      </c>
      <c r="T82" s="90" t="n">
        <v>43719</v>
      </c>
      <c r="V82" s="90" t="n">
        <v>46507</v>
      </c>
    </row>
    <row r="83">
      <c r="C83" s="87" t="inlineStr">
        <is>
          <t>Miles, Shawn</t>
        </is>
      </c>
      <c r="F83" s="87" t="inlineStr">
        <is>
          <t>77</t>
        </is>
      </c>
      <c r="G83" s="87" t="inlineStr">
        <is>
          <t>2 Bed 1 Bath</t>
        </is>
      </c>
      <c r="J83" s="88" t="n">
        <v>904</v>
      </c>
      <c r="K83" s="89" t="n">
        <v>1325</v>
      </c>
      <c r="L83" s="89" t="n">
        <v>1075</v>
      </c>
      <c r="M83" s="89" t="n">
        <v>0</v>
      </c>
      <c r="N83" s="89" t="n">
        <v>0</v>
      </c>
      <c r="P83" s="89" t="n">
        <v>1075</v>
      </c>
      <c r="Q83" s="89" t="n">
        <v>400</v>
      </c>
      <c r="R83" s="89" t="n">
        <v>100</v>
      </c>
      <c r="S83" s="87" t="inlineStr">
        <is>
          <t>05/01/25</t>
        </is>
      </c>
      <c r="T83" s="90" t="n">
        <v>39295</v>
      </c>
      <c r="V83" s="90" t="n">
        <v>46507</v>
      </c>
    </row>
    <row r="84">
      <c r="C84" s="87" t="inlineStr">
        <is>
          <t>Rivera (BMHA), Katherine</t>
        </is>
      </c>
      <c r="E84" s="87" t="inlineStr">
        <is>
          <t>1</t>
        </is>
      </c>
      <c r="F84" s="87" t="inlineStr">
        <is>
          <t>78</t>
        </is>
      </c>
      <c r="G84" s="87" t="inlineStr">
        <is>
          <t>3 Bed 1.5 Bath</t>
        </is>
      </c>
      <c r="J84" s="88" t="n">
        <v>1400</v>
      </c>
      <c r="K84" s="89" t="n">
        <v>1450</v>
      </c>
      <c r="L84" s="89" t="n">
        <v>1525</v>
      </c>
      <c r="M84" s="89" t="n">
        <v>0</v>
      </c>
      <c r="N84" s="89" t="n">
        <v>0</v>
      </c>
      <c r="P84" s="89" t="n">
        <v>1525</v>
      </c>
      <c r="Q84" s="89" t="n">
        <v>1450</v>
      </c>
      <c r="R84" s="89" t="n">
        <v>75</v>
      </c>
      <c r="S84" s="87" t="inlineStr">
        <is>
          <t>07/01/25</t>
        </is>
      </c>
      <c r="T84" s="90" t="n">
        <v>45467</v>
      </c>
      <c r="V84" s="90" t="n">
        <v>46568</v>
      </c>
    </row>
    <row r="85">
      <c r="C85" s="87" t="inlineStr">
        <is>
          <t>Hidalgo, Evelyn</t>
        </is>
      </c>
      <c r="F85" s="87" t="inlineStr">
        <is>
          <t>79</t>
        </is>
      </c>
      <c r="G85" s="87" t="inlineStr">
        <is>
          <t>3 Bed 1.5 Bath</t>
        </is>
      </c>
      <c r="J85" s="88" t="n">
        <v>1076</v>
      </c>
      <c r="K85" s="89" t="n">
        <v>1495</v>
      </c>
      <c r="L85" s="89" t="n">
        <v>1125</v>
      </c>
      <c r="M85" s="89" t="n">
        <v>0</v>
      </c>
      <c r="N85" s="89" t="n">
        <v>0</v>
      </c>
      <c r="P85" s="89" t="n">
        <v>1125</v>
      </c>
      <c r="Q85" s="89" t="n">
        <v>1400</v>
      </c>
      <c r="R85" s="89" t="n">
        <v>100</v>
      </c>
      <c r="S85" s="87" t="inlineStr">
        <is>
          <t>09/01/25</t>
        </is>
      </c>
      <c r="T85" s="90" t="n">
        <v>40421</v>
      </c>
      <c r="V85" s="90" t="n">
        <v>46265</v>
      </c>
    </row>
    <row r="86">
      <c r="C86" s="87" t="inlineStr">
        <is>
          <t>Pilgrom, Jairus</t>
        </is>
      </c>
      <c r="F86" s="87" t="inlineStr">
        <is>
          <t>80</t>
        </is>
      </c>
      <c r="G86" s="87" t="inlineStr">
        <is>
          <t>2 Bed 1 Bath</t>
        </is>
      </c>
      <c r="J86" s="88" t="n">
        <v>904</v>
      </c>
      <c r="K86" s="89" t="n">
        <v>1275</v>
      </c>
      <c r="L86" s="89" t="n">
        <v>1250</v>
      </c>
      <c r="M86" s="89" t="n">
        <v>0</v>
      </c>
      <c r="N86" s="89" t="n">
        <v>0</v>
      </c>
      <c r="P86" s="89" t="n">
        <v>1250</v>
      </c>
      <c r="Q86" s="89" t="n">
        <v>1250</v>
      </c>
      <c r="R86" s="89" t="n">
        <v>1250</v>
      </c>
      <c r="S86" s="87" t="inlineStr">
        <is>
          <t>04/17/26</t>
        </is>
      </c>
      <c r="T86" s="90" t="n">
        <v>46143</v>
      </c>
      <c r="V86" s="90" t="n">
        <v>46507</v>
      </c>
    </row>
    <row r="87">
      <c r="C87" s="87" t="inlineStr">
        <is>
          <t>Robinson-Peoples (BMHA), Ciara</t>
        </is>
      </c>
      <c r="E87" s="87" t="inlineStr">
        <is>
          <t>1</t>
        </is>
      </c>
      <c r="F87" s="87" t="inlineStr">
        <is>
          <t>81</t>
        </is>
      </c>
      <c r="G87" s="87" t="inlineStr">
        <is>
          <t>2 Bed 1 Bath</t>
        </is>
      </c>
      <c r="J87" s="88" t="n">
        <v>904</v>
      </c>
      <c r="K87" s="89" t="n">
        <v>1325</v>
      </c>
      <c r="L87" s="89" t="n">
        <v>1245</v>
      </c>
      <c r="M87" s="89" t="n">
        <v>0</v>
      </c>
      <c r="N87" s="89" t="n">
        <v>0</v>
      </c>
      <c r="P87" s="89" t="n">
        <v>1245</v>
      </c>
      <c r="Q87" s="89" t="n">
        <v>0</v>
      </c>
      <c r="R87" s="89" t="n">
        <v>1245</v>
      </c>
      <c r="S87" s="87" t="inlineStr">
        <is>
          <t>03/10/25</t>
        </is>
      </c>
      <c r="T87" s="90" t="n">
        <v>45726</v>
      </c>
      <c r="U87" s="90" t="n">
        <v>46387</v>
      </c>
      <c r="V87" s="90" t="n">
        <v>46477</v>
      </c>
    </row>
    <row r="88">
      <c r="C88" s="87" t="inlineStr">
        <is>
          <t>Wigdor (RACB), Rachel</t>
        </is>
      </c>
      <c r="E88" s="87" t="inlineStr">
        <is>
          <t>1</t>
        </is>
      </c>
      <c r="F88" s="87" t="inlineStr">
        <is>
          <t>82</t>
        </is>
      </c>
      <c r="G88" s="87" t="inlineStr">
        <is>
          <t>2 Bed 1 Bath</t>
        </is>
      </c>
      <c r="J88" s="88" t="n">
        <v>904</v>
      </c>
      <c r="K88" s="89" t="n">
        <v>1325</v>
      </c>
      <c r="L88" s="89" t="n">
        <v>1325</v>
      </c>
      <c r="M88" s="89" t="n">
        <v>0</v>
      </c>
      <c r="N88" s="89" t="n">
        <v>0</v>
      </c>
      <c r="P88" s="89" t="n">
        <v>1325</v>
      </c>
      <c r="Q88" s="89" t="n">
        <v>0</v>
      </c>
      <c r="R88" s="89" t="n">
        <v>125</v>
      </c>
      <c r="S88" s="87" t="inlineStr">
        <is>
          <t>04/01/25</t>
        </is>
      </c>
      <c r="T88" s="90" t="n">
        <v>45359</v>
      </c>
      <c r="V88" s="90" t="n">
        <v>46477</v>
      </c>
    </row>
    <row r="89">
      <c r="C89" s="87" t="inlineStr">
        <is>
          <t>Lofton (BEL), Chinira</t>
        </is>
      </c>
      <c r="E89" s="87" t="inlineStr">
        <is>
          <t>1</t>
        </is>
      </c>
      <c r="F89" s="87" t="inlineStr">
        <is>
          <t>83</t>
        </is>
      </c>
      <c r="G89" s="87" t="inlineStr">
        <is>
          <t>2 Bed 1 Bath</t>
        </is>
      </c>
      <c r="J89" s="88" t="n">
        <v>904</v>
      </c>
      <c r="K89" s="89" t="n">
        <v>1325</v>
      </c>
      <c r="L89" s="89" t="n">
        <v>1230</v>
      </c>
      <c r="M89" s="89" t="n">
        <v>0</v>
      </c>
      <c r="N89" s="89" t="n">
        <v>0</v>
      </c>
      <c r="P89" s="89" t="n">
        <v>1230</v>
      </c>
      <c r="Q89" s="89" t="n">
        <v>0</v>
      </c>
      <c r="R89" s="89" t="n">
        <v>1230</v>
      </c>
      <c r="S89" s="87" t="inlineStr">
        <is>
          <t>11/25/24</t>
        </is>
      </c>
      <c r="T89" s="90" t="n">
        <v>45621</v>
      </c>
      <c r="V89" s="90" t="n">
        <v>45961</v>
      </c>
    </row>
    <row r="90">
      <c r="C90" s="87" t="inlineStr">
        <is>
          <t>Lindsay, Nosa'J</t>
        </is>
      </c>
      <c r="F90" s="87" t="inlineStr">
        <is>
          <t>84</t>
        </is>
      </c>
      <c r="G90" s="87" t="inlineStr">
        <is>
          <t>2 Bed 1 Bath</t>
        </is>
      </c>
      <c r="J90" s="88" t="n">
        <v>1250</v>
      </c>
      <c r="K90" s="89" t="n">
        <v>1325</v>
      </c>
      <c r="L90" s="89" t="n">
        <v>1400</v>
      </c>
      <c r="M90" s="89" t="n">
        <v>0</v>
      </c>
      <c r="N90" s="89" t="n">
        <v>0</v>
      </c>
      <c r="P90" s="89" t="n">
        <v>1400</v>
      </c>
      <c r="Q90" s="89" t="n">
        <v>1325</v>
      </c>
      <c r="R90" s="89" t="n">
        <v>75</v>
      </c>
      <c r="S90" s="87" t="inlineStr">
        <is>
          <t>10/01/25</t>
        </is>
      </c>
      <c r="T90" s="90" t="n">
        <v>45565</v>
      </c>
      <c r="U90" s="90" t="n">
        <v>46286</v>
      </c>
      <c r="V90" s="90" t="n">
        <v>46295</v>
      </c>
    </row>
    <row r="91">
      <c r="C91" s="87" t="inlineStr">
        <is>
          <t>Freeman (BFNC), Ebin</t>
        </is>
      </c>
      <c r="E91" s="87" t="inlineStr">
        <is>
          <t>1</t>
        </is>
      </c>
      <c r="F91" s="87" t="inlineStr">
        <is>
          <t>85</t>
        </is>
      </c>
      <c r="G91" s="87" t="inlineStr">
        <is>
          <t>2 Bed 1 Bath</t>
        </is>
      </c>
      <c r="J91" s="88" t="n">
        <v>904</v>
      </c>
      <c r="K91" s="89" t="n">
        <v>1325</v>
      </c>
      <c r="L91" s="89" t="n">
        <v>1325</v>
      </c>
      <c r="M91" s="89" t="n">
        <v>0</v>
      </c>
      <c r="N91" s="89" t="n">
        <v>0</v>
      </c>
      <c r="P91" s="89" t="n">
        <v>1325</v>
      </c>
      <c r="Q91" s="89" t="n">
        <v>1325</v>
      </c>
      <c r="R91" s="89" t="n">
        <v>1325</v>
      </c>
      <c r="S91" s="87" t="inlineStr">
        <is>
          <t>07/03/25</t>
        </is>
      </c>
      <c r="T91" s="90" t="n">
        <v>45853</v>
      </c>
      <c r="V91" s="90" t="n">
        <v>46599</v>
      </c>
    </row>
    <row r="92">
      <c r="C92" s="87" t="inlineStr">
        <is>
          <t>Rosario, Jose</t>
        </is>
      </c>
      <c r="F92" s="87" t="inlineStr">
        <is>
          <t>86</t>
        </is>
      </c>
      <c r="G92" s="87" t="inlineStr">
        <is>
          <t>2 Bed 1 Bath</t>
        </is>
      </c>
      <c r="J92" s="88" t="n">
        <v>904</v>
      </c>
      <c r="K92" s="89" t="n">
        <v>1325</v>
      </c>
      <c r="L92" s="89" t="n">
        <v>1295</v>
      </c>
      <c r="M92" s="89" t="n">
        <v>0</v>
      </c>
      <c r="N92" s="89" t="n">
        <v>0</v>
      </c>
      <c r="P92" s="89" t="n">
        <v>1295</v>
      </c>
      <c r="Q92" s="89" t="n">
        <v>1200</v>
      </c>
      <c r="R92" s="89" t="n">
        <v>95</v>
      </c>
      <c r="S92" s="87" t="inlineStr">
        <is>
          <t>12/01/24</t>
        </is>
      </c>
      <c r="T92" s="90" t="n">
        <v>45243</v>
      </c>
      <c r="V92" s="90" t="n">
        <v>46356</v>
      </c>
    </row>
    <row r="93">
      <c r="C93" s="87" t="inlineStr">
        <is>
          <t>Boykin, Jamee</t>
        </is>
      </c>
      <c r="F93" s="87" t="inlineStr">
        <is>
          <t>87</t>
        </is>
      </c>
      <c r="G93" s="87" t="inlineStr">
        <is>
          <t>2 Bed 1 Bath</t>
        </is>
      </c>
      <c r="J93" s="88" t="n">
        <v>904</v>
      </c>
      <c r="K93" s="89" t="n">
        <v>1325</v>
      </c>
      <c r="L93" s="89" t="n">
        <v>1275</v>
      </c>
      <c r="M93" s="89" t="n">
        <v>0</v>
      </c>
      <c r="N93" s="89" t="n">
        <v>0</v>
      </c>
      <c r="P93" s="89" t="n">
        <v>1275</v>
      </c>
      <c r="Q93" s="89" t="n">
        <v>0</v>
      </c>
      <c r="R93" s="89" t="n">
        <v>1275</v>
      </c>
      <c r="S93" s="87" t="inlineStr">
        <is>
          <t>02/13/26</t>
        </is>
      </c>
      <c r="T93" s="90" t="n">
        <v>46113</v>
      </c>
      <c r="V93" s="90" t="n">
        <v>46477</v>
      </c>
    </row>
    <row r="94">
      <c r="C94" s="87" t="inlineStr">
        <is>
          <t>Nevler, Philip</t>
        </is>
      </c>
      <c r="F94" s="87" t="inlineStr">
        <is>
          <t>88</t>
        </is>
      </c>
      <c r="G94" s="87" t="inlineStr">
        <is>
          <t>2 Bed 1 Bath</t>
        </is>
      </c>
      <c r="J94" s="88" t="n">
        <v>904</v>
      </c>
      <c r="K94" s="89" t="n">
        <v>1325</v>
      </c>
      <c r="L94" s="89" t="n">
        <v>995</v>
      </c>
      <c r="M94" s="89" t="n">
        <v>0</v>
      </c>
      <c r="N94" s="89" t="n">
        <v>0</v>
      </c>
      <c r="P94" s="89" t="n">
        <v>995</v>
      </c>
      <c r="Q94" s="89" t="n">
        <v>400</v>
      </c>
      <c r="R94" s="89" t="n">
        <v>95</v>
      </c>
      <c r="S94" s="87" t="inlineStr">
        <is>
          <t>12/01/25</t>
        </is>
      </c>
      <c r="T94" s="90" t="n">
        <v>39052</v>
      </c>
      <c r="V94" s="90" t="n">
        <v>46356</v>
      </c>
    </row>
    <row r="95">
      <c r="C95" s="87" t="inlineStr">
        <is>
          <t>Martin, Bennie</t>
        </is>
      </c>
      <c r="F95" s="87" t="inlineStr">
        <is>
          <t>89</t>
        </is>
      </c>
      <c r="G95" s="87" t="inlineStr">
        <is>
          <t>2 Bed 1 Bath</t>
        </is>
      </c>
      <c r="J95" s="88" t="n">
        <v>904</v>
      </c>
      <c r="K95" s="89" t="n">
        <v>1325</v>
      </c>
      <c r="L95" s="89" t="n">
        <v>1295</v>
      </c>
      <c r="M95" s="89" t="n">
        <v>0</v>
      </c>
      <c r="N95" s="89" t="n">
        <v>0</v>
      </c>
      <c r="P95" s="89" t="n">
        <v>1295</v>
      </c>
      <c r="Q95" s="89" t="n">
        <v>0</v>
      </c>
      <c r="R95" s="89" t="n">
        <v>95</v>
      </c>
      <c r="S95" s="87" t="inlineStr">
        <is>
          <t>07/15/24</t>
        </is>
      </c>
      <c r="T95" s="90" t="n">
        <v>45122</v>
      </c>
      <c r="V95" s="90" t="n">
        <v>46418</v>
      </c>
    </row>
    <row r="96">
      <c r="C96" s="87" t="inlineStr">
        <is>
          <t>Reinard (Bel), Amanda</t>
        </is>
      </c>
      <c r="E96" s="87" t="inlineStr">
        <is>
          <t>1</t>
        </is>
      </c>
      <c r="F96" s="87" t="inlineStr">
        <is>
          <t>90</t>
        </is>
      </c>
      <c r="G96" s="87" t="inlineStr">
        <is>
          <t>2 Bed 1 Bath</t>
        </is>
      </c>
      <c r="J96" s="88" t="n">
        <v>904</v>
      </c>
      <c r="K96" s="89" t="n">
        <v>1275</v>
      </c>
      <c r="L96" s="89" t="n">
        <v>1192</v>
      </c>
      <c r="M96" s="89" t="n">
        <v>0</v>
      </c>
      <c r="N96" s="89" t="n">
        <v>0</v>
      </c>
      <c r="P96" s="89" t="n">
        <v>1192</v>
      </c>
      <c r="Q96" s="89" t="n">
        <v>1192</v>
      </c>
      <c r="R96" s="89" t="n">
        <v>1192</v>
      </c>
      <c r="S96" s="87" t="inlineStr">
        <is>
          <t>04/28/25</t>
        </is>
      </c>
      <c r="T96" s="90" t="n">
        <v>45775</v>
      </c>
      <c r="V96" s="90" t="n">
        <v>46507</v>
      </c>
    </row>
    <row r="97">
      <c r="C97" s="87" t="inlineStr">
        <is>
          <t>Jones (DePaul), Hope</t>
        </is>
      </c>
      <c r="E97" s="87" t="inlineStr">
        <is>
          <t>1</t>
        </is>
      </c>
      <c r="F97" s="87" t="inlineStr">
        <is>
          <t>91</t>
        </is>
      </c>
      <c r="G97" s="87" t="inlineStr">
        <is>
          <t>1 Bed 1 Bath</t>
        </is>
      </c>
      <c r="J97" s="88" t="n">
        <v>760</v>
      </c>
      <c r="K97" s="89" t="n">
        <v>1100</v>
      </c>
      <c r="L97" s="89" t="n">
        <v>1195</v>
      </c>
      <c r="M97" s="89" t="n">
        <v>0</v>
      </c>
      <c r="N97" s="89" t="n">
        <v>0</v>
      </c>
      <c r="P97" s="89" t="n">
        <v>1195</v>
      </c>
      <c r="Q97" s="89" t="n">
        <v>1100</v>
      </c>
      <c r="R97" s="89" t="n">
        <v>95</v>
      </c>
      <c r="S97" s="87" t="inlineStr">
        <is>
          <t>11/01/25</t>
        </is>
      </c>
      <c r="T97" s="90" t="n">
        <v>45595</v>
      </c>
      <c r="V97" s="90" t="n">
        <v>46326</v>
      </c>
    </row>
    <row r="98">
      <c r="C98" s="87" t="inlineStr">
        <is>
          <t>Williams-pearsall, Shavone</t>
        </is>
      </c>
      <c r="F98" s="87" t="inlineStr">
        <is>
          <t>92</t>
        </is>
      </c>
      <c r="G98" s="87" t="inlineStr">
        <is>
          <t>3 Bed/1Bath FP</t>
        </is>
      </c>
      <c r="J98" s="88" t="n">
        <v>1026</v>
      </c>
      <c r="K98" s="89" t="n">
        <v>1450</v>
      </c>
      <c r="L98" s="89" t="n">
        <v>1375</v>
      </c>
      <c r="M98" s="89" t="n">
        <v>0</v>
      </c>
      <c r="N98" s="89" t="n">
        <v>0</v>
      </c>
      <c r="P98" s="89" t="n">
        <v>1375</v>
      </c>
      <c r="Q98" s="89" t="n">
        <v>0</v>
      </c>
      <c r="R98" s="89" t="n">
        <v>1375</v>
      </c>
      <c r="S98" s="87" t="inlineStr">
        <is>
          <t>12/17/25</t>
        </is>
      </c>
      <c r="T98" s="90" t="n">
        <v>46023</v>
      </c>
      <c r="V98" s="90" t="n">
        <v>46418</v>
      </c>
    </row>
    <row r="99">
      <c r="C99" s="87" t="inlineStr">
        <is>
          <t>Gelia (RACB), Gina</t>
        </is>
      </c>
      <c r="E99" s="87" t="inlineStr">
        <is>
          <t>1</t>
        </is>
      </c>
      <c r="F99" s="87" t="inlineStr">
        <is>
          <t>93</t>
        </is>
      </c>
      <c r="G99" s="87" t="inlineStr">
        <is>
          <t>1 Bed 1 Bath</t>
        </is>
      </c>
      <c r="J99" s="88" t="n">
        <v>760</v>
      </c>
      <c r="K99" s="89" t="n">
        <v>1100</v>
      </c>
      <c r="L99" s="89" t="n">
        <v>1125</v>
      </c>
      <c r="M99" s="89" t="n">
        <v>0</v>
      </c>
      <c r="N99" s="89" t="n">
        <v>200</v>
      </c>
      <c r="P99" s="89" t="n">
        <v>1325</v>
      </c>
      <c r="Q99" s="89" t="n">
        <v>1095</v>
      </c>
      <c r="R99" s="89" t="n">
        <v>76</v>
      </c>
      <c r="S99" s="87" t="inlineStr">
        <is>
          <t>11/01/24</t>
        </is>
      </c>
      <c r="T99" s="90" t="n">
        <v>45141</v>
      </c>
      <c r="V99" s="90" t="n">
        <v>45961</v>
      </c>
    </row>
    <row r="100">
      <c r="C100" s="87" t="inlineStr">
        <is>
          <t>&lt;VACANT&gt;</t>
        </is>
      </c>
      <c r="F100" s="87" t="inlineStr">
        <is>
          <t>94</t>
        </is>
      </c>
      <c r="G100" s="87" t="inlineStr">
        <is>
          <t>3 Bed/1Bath FP</t>
        </is>
      </c>
      <c r="J100" s="88" t="n">
        <v>1400</v>
      </c>
      <c r="K100" s="89" t="n">
        <v>1325</v>
      </c>
      <c r="L100" s="89" t="n">
        <v>1325</v>
      </c>
      <c r="M100" s="89" t="n">
        <v>1325</v>
      </c>
      <c r="N100" s="89" t="n">
        <v>0</v>
      </c>
      <c r="P100" s="89" t="n">
        <v>0</v>
      </c>
      <c r="Q100" s="89" t="n">
        <v>0</v>
      </c>
      <c r="R100" s="89" t="n">
        <v>0</v>
      </c>
    </row>
    <row r="101">
      <c r="C101" s="87" t="inlineStr">
        <is>
          <t>Haslip, Brittany</t>
        </is>
      </c>
      <c r="F101" s="87" t="inlineStr">
        <is>
          <t>95</t>
        </is>
      </c>
      <c r="G101" s="87" t="inlineStr">
        <is>
          <t>1 Bed 1 Bath</t>
        </is>
      </c>
      <c r="J101" s="88" t="n">
        <v>760</v>
      </c>
      <c r="K101" s="89" t="n">
        <v>1100</v>
      </c>
      <c r="L101" s="89" t="n">
        <v>1250</v>
      </c>
      <c r="M101" s="89" t="n">
        <v>0</v>
      </c>
      <c r="N101" s="89" t="n">
        <v>0</v>
      </c>
      <c r="P101" s="89" t="n">
        <v>1250</v>
      </c>
      <c r="Q101" s="89" t="n">
        <v>1195</v>
      </c>
      <c r="R101" s="89" t="n">
        <v>55</v>
      </c>
      <c r="S101" s="87" t="inlineStr">
        <is>
          <t>07/01/25</t>
        </is>
      </c>
      <c r="T101" s="90" t="n">
        <v>45449</v>
      </c>
      <c r="V101" s="90" t="n">
        <v>46203</v>
      </c>
    </row>
    <row r="102">
      <c r="C102" s="87" t="inlineStr">
        <is>
          <t>Madlock (BEL), Eaton</t>
        </is>
      </c>
      <c r="E102" s="87" t="inlineStr">
        <is>
          <t>1</t>
        </is>
      </c>
      <c r="F102" s="87" t="inlineStr">
        <is>
          <t>96</t>
        </is>
      </c>
      <c r="G102" s="87" t="inlineStr">
        <is>
          <t>3 Bed/ 1Bath</t>
        </is>
      </c>
      <c r="J102" s="88" t="n">
        <v>1026</v>
      </c>
      <c r="K102" s="89" t="n">
        <v>1450</v>
      </c>
      <c r="L102" s="89" t="n">
        <v>1495</v>
      </c>
      <c r="M102" s="89" t="n">
        <v>0</v>
      </c>
      <c r="N102" s="89" t="n">
        <v>0</v>
      </c>
      <c r="P102" s="89" t="n">
        <v>1495</v>
      </c>
      <c r="Q102" s="89" t="n">
        <v>0</v>
      </c>
      <c r="R102" s="89" t="n">
        <v>100</v>
      </c>
      <c r="S102" s="87" t="inlineStr">
        <is>
          <t>02/01/25</t>
        </is>
      </c>
      <c r="T102" s="90" t="n">
        <v>45323</v>
      </c>
      <c r="V102" s="90" t="n">
        <v>46418</v>
      </c>
    </row>
    <row r="103">
      <c r="C103" s="87" t="inlineStr">
        <is>
          <t>Torres, Carmen (BMHA)</t>
        </is>
      </c>
      <c r="E103" s="87" t="inlineStr">
        <is>
          <t>1</t>
        </is>
      </c>
      <c r="F103" s="87" t="inlineStr">
        <is>
          <t>97</t>
        </is>
      </c>
      <c r="G103" s="87" t="inlineStr">
        <is>
          <t>1 Bed 1 Bath</t>
        </is>
      </c>
      <c r="J103" s="88" t="n">
        <v>760</v>
      </c>
      <c r="K103" s="89" t="n">
        <v>1100</v>
      </c>
      <c r="L103" s="89" t="n">
        <v>1100</v>
      </c>
      <c r="M103" s="89" t="n">
        <v>0</v>
      </c>
      <c r="N103" s="89" t="n">
        <v>0</v>
      </c>
      <c r="P103" s="89" t="n">
        <v>1100</v>
      </c>
      <c r="Q103" s="89" t="n">
        <v>1100</v>
      </c>
      <c r="R103" s="89" t="n">
        <v>1100</v>
      </c>
      <c r="S103" s="87" t="inlineStr">
        <is>
          <t>12/29/25</t>
        </is>
      </c>
      <c r="T103" s="90" t="n">
        <v>46023</v>
      </c>
      <c r="V103" s="90" t="n">
        <v>46387</v>
      </c>
    </row>
    <row r="104">
      <c r="C104" s="87" t="inlineStr">
        <is>
          <t>Patton (Evergreen), LaKaylea</t>
        </is>
      </c>
      <c r="E104" s="87" t="inlineStr">
        <is>
          <t>1</t>
        </is>
      </c>
      <c r="F104" s="87" t="inlineStr">
        <is>
          <t>98</t>
        </is>
      </c>
      <c r="G104" s="87" t="inlineStr">
        <is>
          <t>2 Bed 1 Bath</t>
        </is>
      </c>
      <c r="J104" s="88" t="n">
        <v>1026</v>
      </c>
      <c r="K104" s="89" t="n">
        <v>1325</v>
      </c>
      <c r="L104" s="89" t="n">
        <v>1425</v>
      </c>
      <c r="M104" s="89" t="n">
        <v>0</v>
      </c>
      <c r="N104" s="89" t="n">
        <v>0</v>
      </c>
      <c r="P104" s="89" t="n">
        <v>1425</v>
      </c>
      <c r="Q104" s="89" t="n">
        <v>1425</v>
      </c>
      <c r="R104" s="89" t="n">
        <v>1425</v>
      </c>
      <c r="S104" s="87" t="inlineStr">
        <is>
          <t>10/29/24</t>
        </is>
      </c>
      <c r="T104" s="90" t="n">
        <v>45602</v>
      </c>
      <c r="V104" s="90" t="n">
        <v>46356</v>
      </c>
    </row>
    <row r="105">
      <c r="C105" s="87" t="inlineStr">
        <is>
          <t>Brown (BFNC), Chris</t>
        </is>
      </c>
      <c r="E105" s="87" t="inlineStr">
        <is>
          <t>1</t>
        </is>
      </c>
      <c r="F105" s="87" t="inlineStr">
        <is>
          <t>99</t>
        </is>
      </c>
      <c r="G105" s="87" t="inlineStr">
        <is>
          <t>1 Bed 1 Bath</t>
        </is>
      </c>
      <c r="J105" s="88" t="n">
        <v>760</v>
      </c>
      <c r="K105" s="89" t="n">
        <v>1100</v>
      </c>
      <c r="L105" s="89" t="n">
        <v>1095</v>
      </c>
      <c r="M105" s="89" t="n">
        <v>0</v>
      </c>
      <c r="N105" s="89" t="n">
        <v>0</v>
      </c>
      <c r="P105" s="89" t="n">
        <v>1095</v>
      </c>
      <c r="Q105" s="89" t="n">
        <v>0</v>
      </c>
      <c r="R105" s="89" t="n">
        <v>1095</v>
      </c>
      <c r="S105" s="87" t="inlineStr">
        <is>
          <t>10/06/25</t>
        </is>
      </c>
      <c r="T105" s="90" t="n">
        <v>45931</v>
      </c>
      <c r="V105" s="90" t="n">
        <v>46295</v>
      </c>
    </row>
    <row r="106">
      <c r="C106" s="87" t="inlineStr">
        <is>
          <t>McClerkin, Kierra</t>
        </is>
      </c>
      <c r="F106" s="87" t="inlineStr">
        <is>
          <t>100</t>
        </is>
      </c>
      <c r="G106" s="87" t="inlineStr">
        <is>
          <t>3 Bed/1Bath FP</t>
        </is>
      </c>
      <c r="J106" s="88" t="n">
        <v>1026</v>
      </c>
      <c r="K106" s="89" t="n">
        <v>1325</v>
      </c>
      <c r="L106" s="89" t="n">
        <v>1000</v>
      </c>
      <c r="M106" s="89" t="n">
        <v>0</v>
      </c>
      <c r="N106" s="89" t="n">
        <v>0</v>
      </c>
      <c r="P106" s="89" t="n">
        <v>1000</v>
      </c>
      <c r="Q106" s="89" t="n">
        <v>1360</v>
      </c>
      <c r="R106" s="89" t="n">
        <v>100</v>
      </c>
      <c r="S106" s="87" t="inlineStr">
        <is>
          <t>08/01/25</t>
        </is>
      </c>
      <c r="T106" s="90" t="n">
        <v>42767</v>
      </c>
      <c r="V106" s="90" t="n">
        <v>46234</v>
      </c>
    </row>
    <row r="107">
      <c r="C107" s="87" t="inlineStr">
        <is>
          <t>Podgorny, Elizabeth</t>
        </is>
      </c>
      <c r="F107" s="87" t="inlineStr">
        <is>
          <t>101</t>
        </is>
      </c>
      <c r="G107" s="87" t="inlineStr">
        <is>
          <t>2 Bed 1 Bath</t>
        </is>
      </c>
      <c r="J107" s="88" t="n">
        <v>904</v>
      </c>
      <c r="K107" s="89" t="n">
        <v>1325</v>
      </c>
      <c r="L107" s="89" t="n">
        <v>1050</v>
      </c>
      <c r="M107" s="89" t="n">
        <v>0</v>
      </c>
      <c r="N107" s="89" t="n">
        <v>0</v>
      </c>
      <c r="P107" s="89" t="n">
        <v>1050</v>
      </c>
      <c r="Q107" s="89" t="n">
        <v>585</v>
      </c>
      <c r="R107" s="89" t="n">
        <v>75</v>
      </c>
      <c r="S107" s="87" t="inlineStr">
        <is>
          <t>12/01/25</t>
        </is>
      </c>
      <c r="T107" s="90" t="n">
        <v>42340</v>
      </c>
      <c r="V107" s="90" t="n">
        <v>46356</v>
      </c>
    </row>
    <row r="108">
      <c r="C108" s="87" t="inlineStr">
        <is>
          <t>Matthews, Yakeyda (RACB)</t>
        </is>
      </c>
      <c r="E108" s="87" t="inlineStr">
        <is>
          <t>1</t>
        </is>
      </c>
      <c r="F108" s="87" t="inlineStr">
        <is>
          <t>102</t>
        </is>
      </c>
      <c r="G108" s="87" t="inlineStr">
        <is>
          <t>3 Bed 1.5 Bath</t>
        </is>
      </c>
      <c r="J108" s="88" t="n">
        <v>1076</v>
      </c>
      <c r="K108" s="89" t="n">
        <v>1400</v>
      </c>
      <c r="L108" s="89" t="n">
        <v>1400</v>
      </c>
      <c r="M108" s="89" t="n">
        <v>0</v>
      </c>
      <c r="N108" s="89" t="n">
        <v>0</v>
      </c>
      <c r="P108" s="89" t="n">
        <v>1400</v>
      </c>
      <c r="Q108" s="89" t="n">
        <v>1400</v>
      </c>
      <c r="R108" s="89" t="n">
        <v>1400</v>
      </c>
      <c r="S108" s="87" t="inlineStr">
        <is>
          <t>09/29/25</t>
        </is>
      </c>
      <c r="T108" s="90" t="n">
        <v>45931</v>
      </c>
      <c r="V108" s="90" t="n">
        <v>46660</v>
      </c>
    </row>
    <row r="109">
      <c r="C109" s="87" t="inlineStr">
        <is>
          <t>Funderburk, Khadia</t>
        </is>
      </c>
      <c r="F109" s="87" t="inlineStr">
        <is>
          <t>103</t>
        </is>
      </c>
      <c r="G109" s="87" t="inlineStr">
        <is>
          <t>3 Bed 1.5 Bath</t>
        </is>
      </c>
      <c r="J109" s="88" t="n">
        <v>1076</v>
      </c>
      <c r="K109" s="89" t="n">
        <v>1450</v>
      </c>
      <c r="L109" s="89" t="n">
        <v>1450</v>
      </c>
      <c r="M109" s="89" t="n">
        <v>0</v>
      </c>
      <c r="N109" s="89" t="n">
        <v>0</v>
      </c>
      <c r="P109" s="89" t="n">
        <v>1450</v>
      </c>
      <c r="Q109" s="89" t="n">
        <v>1450</v>
      </c>
      <c r="R109" s="89" t="n">
        <v>1450</v>
      </c>
      <c r="S109" s="87" t="inlineStr">
        <is>
          <t>10/10/24</t>
        </is>
      </c>
      <c r="T109" s="90" t="n">
        <v>45580</v>
      </c>
      <c r="V109" s="90" t="n">
        <v>46691</v>
      </c>
    </row>
    <row r="110">
      <c r="C110" s="87" t="inlineStr">
        <is>
          <t>Swann, Gina</t>
        </is>
      </c>
      <c r="F110" s="87" t="inlineStr">
        <is>
          <t>104</t>
        </is>
      </c>
      <c r="G110" s="87" t="inlineStr">
        <is>
          <t>2 Bed 1 Bath</t>
        </is>
      </c>
      <c r="J110" s="88" t="n">
        <v>904</v>
      </c>
      <c r="K110" s="89" t="n">
        <v>1325</v>
      </c>
      <c r="L110" s="89" t="n">
        <v>1250</v>
      </c>
      <c r="M110" s="89" t="n">
        <v>0</v>
      </c>
      <c r="N110" s="89" t="n">
        <v>0</v>
      </c>
      <c r="P110" s="89" t="n">
        <v>1250</v>
      </c>
      <c r="Q110" s="89" t="n">
        <v>1250</v>
      </c>
      <c r="R110" s="89" t="n">
        <v>1250</v>
      </c>
      <c r="S110" s="87" t="inlineStr">
        <is>
          <t>04/29/26</t>
        </is>
      </c>
      <c r="T110" s="90" t="n">
        <v>46143</v>
      </c>
      <c r="V110" s="90" t="n">
        <v>46507</v>
      </c>
    </row>
    <row r="111">
      <c r="C111" s="87" t="inlineStr">
        <is>
          <t>Moseley, Dara</t>
        </is>
      </c>
      <c r="F111" s="87" t="inlineStr">
        <is>
          <t>105</t>
        </is>
      </c>
      <c r="G111" s="87" t="inlineStr">
        <is>
          <t>2 Bed 1 Bath</t>
        </is>
      </c>
      <c r="J111" s="88" t="n">
        <v>904</v>
      </c>
      <c r="K111" s="89" t="n">
        <v>1325</v>
      </c>
      <c r="L111" s="89" t="n">
        <v>1350</v>
      </c>
      <c r="M111" s="89" t="n">
        <v>0</v>
      </c>
      <c r="N111" s="89" t="n">
        <v>0</v>
      </c>
      <c r="P111" s="89" t="n">
        <v>1350</v>
      </c>
      <c r="Q111" s="89" t="n">
        <v>0</v>
      </c>
      <c r="R111" s="89" t="n">
        <v>55</v>
      </c>
      <c r="S111" s="87" t="inlineStr">
        <is>
          <t>07/01/25</t>
        </is>
      </c>
      <c r="T111" s="90" t="n">
        <v>45085</v>
      </c>
      <c r="V111" s="90" t="n">
        <v>46203</v>
      </c>
    </row>
    <row r="112">
      <c r="C112" s="87" t="inlineStr">
        <is>
          <t>Compton, Donald</t>
        </is>
      </c>
      <c r="F112" s="87" t="inlineStr">
        <is>
          <t>106</t>
        </is>
      </c>
      <c r="G112" s="87" t="inlineStr">
        <is>
          <t>2 Bed 1 Bath</t>
        </is>
      </c>
      <c r="J112" s="88" t="n">
        <v>904</v>
      </c>
      <c r="K112" s="89" t="n">
        <v>1325</v>
      </c>
      <c r="L112" s="89" t="n">
        <v>1295</v>
      </c>
      <c r="M112" s="89" t="n">
        <v>0</v>
      </c>
      <c r="N112" s="89" t="n">
        <v>0</v>
      </c>
      <c r="P112" s="89" t="n">
        <v>1295</v>
      </c>
      <c r="Q112" s="89" t="n">
        <v>1295</v>
      </c>
      <c r="R112" s="89" t="n">
        <v>1295</v>
      </c>
      <c r="S112" s="87" t="inlineStr">
        <is>
          <t>01/23/26</t>
        </is>
      </c>
      <c r="T112" s="90" t="n">
        <v>46053</v>
      </c>
      <c r="V112" s="90" t="n">
        <v>46418</v>
      </c>
    </row>
    <row r="113">
      <c r="C113" s="87" t="inlineStr">
        <is>
          <t>Reynolds (BEL), Warnette</t>
        </is>
      </c>
      <c r="E113" s="87" t="inlineStr">
        <is>
          <t>1</t>
        </is>
      </c>
      <c r="F113" s="87" t="inlineStr">
        <is>
          <t>107</t>
        </is>
      </c>
      <c r="G113" s="87" t="inlineStr">
        <is>
          <t>2 Bed 1 Bath</t>
        </is>
      </c>
      <c r="J113" s="88" t="n">
        <v>904</v>
      </c>
      <c r="K113" s="89" t="n">
        <v>1325</v>
      </c>
      <c r="L113" s="89" t="n">
        <v>1050</v>
      </c>
      <c r="M113" s="89" t="n">
        <v>0</v>
      </c>
      <c r="N113" s="89" t="n">
        <v>0</v>
      </c>
      <c r="P113" s="89" t="n">
        <v>1050</v>
      </c>
      <c r="Q113" s="89" t="n">
        <v>0</v>
      </c>
      <c r="R113" s="89" t="n">
        <v>150</v>
      </c>
      <c r="S113" s="87" t="inlineStr">
        <is>
          <t>11/01/25</t>
        </is>
      </c>
      <c r="T113" s="90" t="n">
        <v>42552</v>
      </c>
      <c r="V113" s="90" t="n">
        <v>46691</v>
      </c>
    </row>
    <row r="114">
      <c r="C114" s="87" t="inlineStr">
        <is>
          <t>Copeland (RACB), Takela</t>
        </is>
      </c>
      <c r="E114" s="87" t="inlineStr">
        <is>
          <t>1</t>
        </is>
      </c>
      <c r="F114" s="87" t="inlineStr">
        <is>
          <t>108</t>
        </is>
      </c>
      <c r="G114" s="87" t="inlineStr">
        <is>
          <t>2 Bed 1 Bath</t>
        </is>
      </c>
      <c r="J114" s="88" t="n">
        <v>904</v>
      </c>
      <c r="K114" s="89" t="n">
        <v>1325</v>
      </c>
      <c r="L114" s="89" t="n">
        <v>1250</v>
      </c>
      <c r="M114" s="89" t="n">
        <v>0</v>
      </c>
      <c r="N114" s="89" t="n">
        <v>0</v>
      </c>
      <c r="P114" s="89" t="n">
        <v>1250</v>
      </c>
      <c r="Q114" s="89" t="n">
        <v>0</v>
      </c>
      <c r="R114" s="89" t="n">
        <v>1250</v>
      </c>
      <c r="S114" s="87" t="inlineStr">
        <is>
          <t>05/01/24</t>
        </is>
      </c>
      <c r="T114" s="90" t="n">
        <v>45413</v>
      </c>
      <c r="V114" s="90" t="n">
        <v>46507</v>
      </c>
    </row>
    <row r="115">
      <c r="C115" s="87" t="inlineStr">
        <is>
          <t>Holmes, Candice</t>
        </is>
      </c>
      <c r="F115" s="87" t="inlineStr">
        <is>
          <t>109</t>
        </is>
      </c>
      <c r="G115" s="87" t="inlineStr">
        <is>
          <t>2 Bed 1 Bath</t>
        </is>
      </c>
      <c r="J115" s="88" t="n">
        <v>904</v>
      </c>
      <c r="K115" s="89" t="n">
        <v>1325</v>
      </c>
      <c r="L115" s="89" t="n">
        <v>1425</v>
      </c>
      <c r="M115" s="89" t="n">
        <v>0</v>
      </c>
      <c r="N115" s="89" t="n">
        <v>0</v>
      </c>
      <c r="P115" s="89" t="n">
        <v>1425</v>
      </c>
      <c r="Q115" s="89" t="n">
        <v>1200</v>
      </c>
      <c r="R115" s="89" t="n">
        <v>25</v>
      </c>
      <c r="S115" s="87" t="inlineStr">
        <is>
          <t>05/01/24</t>
        </is>
      </c>
      <c r="T115" s="90" t="n">
        <v>44438</v>
      </c>
      <c r="V115" s="90" t="n">
        <v>45777</v>
      </c>
    </row>
    <row r="116">
      <c r="C116" s="87" t="inlineStr">
        <is>
          <t>McCarter, Lynea</t>
        </is>
      </c>
      <c r="F116" s="87" t="inlineStr">
        <is>
          <t>110</t>
        </is>
      </c>
      <c r="G116" s="87" t="inlineStr">
        <is>
          <t>2 Bed 1 Bath</t>
        </is>
      </c>
      <c r="J116" s="88" t="n">
        <v>1250</v>
      </c>
      <c r="K116" s="89" t="n">
        <v>1325</v>
      </c>
      <c r="L116" s="89" t="n">
        <v>1275</v>
      </c>
      <c r="M116" s="89" t="n">
        <v>0</v>
      </c>
      <c r="N116" s="89" t="n">
        <v>0</v>
      </c>
      <c r="P116" s="89" t="n">
        <v>1275</v>
      </c>
      <c r="Q116" s="89" t="n">
        <v>1275</v>
      </c>
      <c r="R116" s="89" t="n">
        <v>1275</v>
      </c>
      <c r="S116" s="87" t="inlineStr">
        <is>
          <t>06/09/25</t>
        </is>
      </c>
      <c r="T116" s="90" t="n">
        <v>45818</v>
      </c>
      <c r="V116" s="90" t="n">
        <v>46203</v>
      </c>
    </row>
    <row r="117">
      <c r="C117" s="87" t="inlineStr">
        <is>
          <t>Garner, Antwan</t>
        </is>
      </c>
      <c r="F117" s="87" t="inlineStr">
        <is>
          <t>111</t>
        </is>
      </c>
      <c r="G117" s="87" t="inlineStr">
        <is>
          <t>2 Bed 1 Bath</t>
        </is>
      </c>
      <c r="J117" s="88" t="n">
        <v>904</v>
      </c>
      <c r="K117" s="89" t="n">
        <v>1325</v>
      </c>
      <c r="L117" s="89" t="n">
        <v>1295</v>
      </c>
      <c r="M117" s="89" t="n">
        <v>0</v>
      </c>
      <c r="N117" s="89" t="n">
        <v>0</v>
      </c>
      <c r="P117" s="89" t="n">
        <v>1295</v>
      </c>
      <c r="Q117" s="89" t="n">
        <v>1295</v>
      </c>
      <c r="R117" s="89" t="n">
        <v>1295</v>
      </c>
      <c r="S117" s="87" t="inlineStr">
        <is>
          <t>02/17/26</t>
        </is>
      </c>
      <c r="T117" s="90" t="n">
        <v>46082</v>
      </c>
      <c r="V117" s="90" t="n">
        <v>46478</v>
      </c>
    </row>
    <row r="118">
      <c r="C118" s="87" t="inlineStr">
        <is>
          <t>&lt;VACANT&gt;</t>
        </is>
      </c>
      <c r="F118" s="87" t="inlineStr">
        <is>
          <t>112</t>
        </is>
      </c>
      <c r="G118" s="87" t="inlineStr">
        <is>
          <t>2 Bed 1 Bath</t>
        </is>
      </c>
      <c r="J118" s="88" t="n">
        <v>1250</v>
      </c>
      <c r="K118" s="89" t="n">
        <v>1325</v>
      </c>
      <c r="L118" s="89" t="n">
        <v>1325</v>
      </c>
      <c r="M118" s="89" t="n">
        <v>1325</v>
      </c>
      <c r="N118" s="89" t="n">
        <v>0</v>
      </c>
      <c r="P118" s="89" t="n">
        <v>0</v>
      </c>
      <c r="Q118" s="89" t="n">
        <v>0</v>
      </c>
      <c r="R118" s="89" t="n">
        <v>0</v>
      </c>
    </row>
    <row r="119">
      <c r="C119" s="87" t="inlineStr">
        <is>
          <t>Conway, Christian</t>
        </is>
      </c>
      <c r="F119" s="87" t="inlineStr">
        <is>
          <t>113</t>
        </is>
      </c>
      <c r="G119" s="87" t="inlineStr">
        <is>
          <t>2 Bed 1 Bath</t>
        </is>
      </c>
      <c r="J119" s="88" t="n">
        <v>904</v>
      </c>
      <c r="K119" s="89" t="n">
        <v>1325</v>
      </c>
      <c r="L119" s="89" t="n">
        <v>1325</v>
      </c>
      <c r="M119" s="89" t="n">
        <v>0</v>
      </c>
      <c r="N119" s="89" t="n">
        <v>0</v>
      </c>
      <c r="P119" s="89" t="n">
        <v>1325</v>
      </c>
      <c r="Q119" s="89" t="n">
        <v>0</v>
      </c>
      <c r="R119" s="89" t="n">
        <v>30</v>
      </c>
      <c r="S119" s="87" t="inlineStr">
        <is>
          <t>05/01/24</t>
        </is>
      </c>
      <c r="T119" s="90" t="n">
        <v>45047</v>
      </c>
      <c r="V119" s="90" t="n">
        <v>46418</v>
      </c>
    </row>
    <row r="120">
      <c r="C120" s="87" t="inlineStr">
        <is>
          <t>Battaglia (TSI), Anthony</t>
        </is>
      </c>
      <c r="E120" s="87" t="inlineStr">
        <is>
          <t>1</t>
        </is>
      </c>
      <c r="F120" s="87" t="inlineStr">
        <is>
          <t>114</t>
        </is>
      </c>
      <c r="G120" s="87" t="inlineStr">
        <is>
          <t>2 Bed 1 Bath</t>
        </is>
      </c>
      <c r="J120" s="88" t="n">
        <v>904</v>
      </c>
      <c r="K120" s="89" t="n">
        <v>1325</v>
      </c>
      <c r="L120" s="89" t="n">
        <v>1450</v>
      </c>
      <c r="M120" s="89" t="n">
        <v>0</v>
      </c>
      <c r="N120" s="89" t="n">
        <v>0</v>
      </c>
      <c r="P120" s="89" t="n">
        <v>1450</v>
      </c>
      <c r="Q120" s="89" t="n">
        <v>1200</v>
      </c>
      <c r="R120" s="89" t="n">
        <v>100</v>
      </c>
      <c r="S120" s="87" t="inlineStr">
        <is>
          <t>12/01/24</t>
        </is>
      </c>
      <c r="T120" s="90" t="n">
        <v>44516</v>
      </c>
      <c r="V120" s="90" t="n">
        <v>46356</v>
      </c>
    </row>
    <row r="121">
      <c r="C121" s="87" t="inlineStr">
        <is>
          <t>Flores Rosario, Gysellys</t>
        </is>
      </c>
      <c r="F121" s="87" t="inlineStr">
        <is>
          <t>115</t>
        </is>
      </c>
      <c r="G121" s="87" t="inlineStr">
        <is>
          <t>2 Bed 1 Bath</t>
        </is>
      </c>
      <c r="J121" s="88" t="n">
        <v>904</v>
      </c>
      <c r="K121" s="89" t="n">
        <v>1325</v>
      </c>
      <c r="L121" s="89" t="n">
        <v>1375</v>
      </c>
      <c r="M121" s="89" t="n">
        <v>0</v>
      </c>
      <c r="N121" s="89" t="n">
        <v>0</v>
      </c>
      <c r="P121" s="89" t="n">
        <v>1375</v>
      </c>
      <c r="Q121" s="89" t="n">
        <v>1295</v>
      </c>
      <c r="R121" s="89" t="n">
        <v>80</v>
      </c>
      <c r="S121" s="87" t="inlineStr">
        <is>
          <t>04/01/25</t>
        </is>
      </c>
      <c r="T121" s="90" t="n">
        <v>45370</v>
      </c>
      <c r="V121" s="90" t="n">
        <v>46477</v>
      </c>
    </row>
    <row r="122">
      <c r="C122" s="87" t="inlineStr">
        <is>
          <t>&lt;VACANT&gt;</t>
        </is>
      </c>
      <c r="F122" s="87" t="inlineStr">
        <is>
          <t>116</t>
        </is>
      </c>
      <c r="G122" s="87" t="inlineStr">
        <is>
          <t>2 Bed 1 Bath</t>
        </is>
      </c>
      <c r="J122" s="88" t="n">
        <v>904</v>
      </c>
      <c r="K122" s="89" t="n">
        <v>1325</v>
      </c>
      <c r="L122" s="89" t="n">
        <v>1325</v>
      </c>
      <c r="M122" s="89" t="n">
        <v>1325</v>
      </c>
      <c r="N122" s="89" t="n">
        <v>0</v>
      </c>
      <c r="P122" s="89" t="n">
        <v>0</v>
      </c>
      <c r="Q122" s="89" t="n">
        <v>0</v>
      </c>
      <c r="R122" s="89" t="n">
        <v>0</v>
      </c>
    </row>
    <row r="123">
      <c r="C123" s="87" t="inlineStr">
        <is>
          <t>Daniels, Samantha</t>
        </is>
      </c>
      <c r="F123" s="87" t="inlineStr">
        <is>
          <t>117</t>
        </is>
      </c>
      <c r="G123" s="87" t="inlineStr">
        <is>
          <t>2 Bed 1 Bath</t>
        </is>
      </c>
      <c r="J123" s="88" t="n">
        <v>904</v>
      </c>
      <c r="K123" s="89" t="n">
        <v>1325</v>
      </c>
      <c r="L123" s="89" t="n">
        <v>1200</v>
      </c>
      <c r="M123" s="89" t="n">
        <v>0</v>
      </c>
      <c r="N123" s="89" t="n">
        <v>0</v>
      </c>
      <c r="P123" s="89" t="n">
        <v>1200</v>
      </c>
      <c r="Q123" s="89" t="n">
        <v>850</v>
      </c>
      <c r="R123" s="89" t="n">
        <v>75</v>
      </c>
      <c r="S123" s="87" t="inlineStr">
        <is>
          <t>05/01/25</t>
        </is>
      </c>
      <c r="T123" s="90" t="n">
        <v>43647</v>
      </c>
      <c r="V123" s="90" t="n">
        <v>46507</v>
      </c>
    </row>
    <row r="124">
      <c r="C124" s="87" t="inlineStr">
        <is>
          <t>Pimental (RACB), Janet</t>
        </is>
      </c>
      <c r="E124" s="87" t="inlineStr">
        <is>
          <t>1</t>
        </is>
      </c>
      <c r="F124" s="87" t="inlineStr">
        <is>
          <t>118</t>
        </is>
      </c>
      <c r="G124" s="87" t="inlineStr">
        <is>
          <t>2 Bed 1 Bath</t>
        </is>
      </c>
      <c r="J124" s="88" t="n">
        <v>904</v>
      </c>
      <c r="K124" s="89" t="n">
        <v>1325</v>
      </c>
      <c r="L124" s="89" t="n">
        <v>1395</v>
      </c>
      <c r="M124" s="89" t="n">
        <v>0</v>
      </c>
      <c r="N124" s="89" t="n">
        <v>0</v>
      </c>
      <c r="P124" s="89" t="n">
        <v>1395</v>
      </c>
      <c r="Q124" s="89" t="n">
        <v>467</v>
      </c>
      <c r="R124" s="89" t="n">
        <v>100</v>
      </c>
      <c r="S124" s="87" t="inlineStr">
        <is>
          <t>03/01/25</t>
        </is>
      </c>
      <c r="T124" s="90" t="n">
        <v>38763</v>
      </c>
      <c r="V124" s="90" t="n">
        <v>46446</v>
      </c>
    </row>
    <row r="125">
      <c r="C125" s="87" t="inlineStr">
        <is>
          <t>Allen, Joseph</t>
        </is>
      </c>
      <c r="F125" s="87" t="inlineStr">
        <is>
          <t>119</t>
        </is>
      </c>
      <c r="G125" s="87" t="inlineStr">
        <is>
          <t>2 Bed 1 Bath</t>
        </is>
      </c>
      <c r="J125" s="88" t="n">
        <v>904</v>
      </c>
      <c r="K125" s="89" t="n">
        <v>1325</v>
      </c>
      <c r="L125" s="89" t="n">
        <v>1325</v>
      </c>
      <c r="M125" s="89" t="n">
        <v>0</v>
      </c>
      <c r="N125" s="89" t="n">
        <v>0</v>
      </c>
      <c r="P125" s="89" t="n">
        <v>1325</v>
      </c>
      <c r="Q125" s="89" t="n">
        <v>1325</v>
      </c>
      <c r="R125" s="89" t="n">
        <v>1325</v>
      </c>
      <c r="S125" s="87" t="inlineStr">
        <is>
          <t>12/08/25</t>
        </is>
      </c>
      <c r="T125" s="90" t="n">
        <v>46023</v>
      </c>
      <c r="V125" s="90" t="n">
        <v>46387</v>
      </c>
    </row>
    <row r="126">
      <c r="C126" s="87" t="inlineStr">
        <is>
          <t>Johnson, Theressa</t>
        </is>
      </c>
      <c r="F126" s="87" t="inlineStr">
        <is>
          <t>120</t>
        </is>
      </c>
      <c r="G126" s="87" t="inlineStr">
        <is>
          <t>2 Bed 1 Bath</t>
        </is>
      </c>
      <c r="J126" s="88" t="n">
        <v>904</v>
      </c>
      <c r="K126" s="89" t="n">
        <v>1325</v>
      </c>
      <c r="L126" s="89" t="n">
        <v>1425</v>
      </c>
      <c r="M126" s="89" t="n">
        <v>0</v>
      </c>
      <c r="N126" s="89" t="n">
        <v>0</v>
      </c>
      <c r="P126" s="89" t="n">
        <v>1425</v>
      </c>
      <c r="Q126" s="89" t="n">
        <v>1295</v>
      </c>
      <c r="R126" s="89" t="n">
        <v>25</v>
      </c>
      <c r="S126" s="87" t="inlineStr">
        <is>
          <t>02/01/26</t>
        </is>
      </c>
      <c r="T126" s="90" t="n">
        <v>44927</v>
      </c>
      <c r="V126" s="90" t="n">
        <v>46418</v>
      </c>
    </row>
    <row r="127">
      <c r="C127" s="87" t="inlineStr">
        <is>
          <t>Ross, Courtney</t>
        </is>
      </c>
      <c r="F127" s="87" t="inlineStr">
        <is>
          <t>121</t>
        </is>
      </c>
      <c r="G127" s="87" t="inlineStr">
        <is>
          <t>3 Bed 1.5 Bath</t>
        </is>
      </c>
      <c r="J127" s="88" t="n">
        <v>1550</v>
      </c>
      <c r="K127" s="89" t="n">
        <v>1450</v>
      </c>
      <c r="L127" s="89" t="n">
        <v>1500</v>
      </c>
      <c r="M127" s="89" t="n">
        <v>0</v>
      </c>
      <c r="N127" s="89" t="n">
        <v>0</v>
      </c>
      <c r="P127" s="89" t="n">
        <v>1500</v>
      </c>
      <c r="Q127" s="89" t="n">
        <v>1450</v>
      </c>
      <c r="R127" s="89" t="n">
        <v>50</v>
      </c>
      <c r="S127" s="87" t="inlineStr">
        <is>
          <t>08/01/25</t>
        </is>
      </c>
      <c r="T127" s="90" t="n">
        <v>45519</v>
      </c>
      <c r="V127" s="90" t="n">
        <v>46599</v>
      </c>
    </row>
    <row r="128">
      <c r="C128" s="87" t="inlineStr">
        <is>
          <t>Smith, Paige</t>
        </is>
      </c>
      <c r="F128" s="87" t="inlineStr">
        <is>
          <t>122</t>
        </is>
      </c>
      <c r="G128" s="87" t="inlineStr">
        <is>
          <t>3 Bed 1.5 Bath</t>
        </is>
      </c>
      <c r="J128" s="88" t="n">
        <v>1076</v>
      </c>
      <c r="K128" s="89" t="n">
        <v>1600</v>
      </c>
      <c r="L128" s="89" t="n">
        <v>1600</v>
      </c>
      <c r="M128" s="89" t="n">
        <v>0</v>
      </c>
      <c r="N128" s="89" t="n">
        <v>0</v>
      </c>
      <c r="P128" s="89" t="n">
        <v>1600</v>
      </c>
      <c r="Q128" s="89" t="n">
        <v>1600</v>
      </c>
      <c r="R128" s="89" t="n">
        <v>1600</v>
      </c>
      <c r="S128" s="87" t="inlineStr">
        <is>
          <t>05/29/25</t>
        </is>
      </c>
      <c r="T128" s="90" t="n">
        <v>45806</v>
      </c>
      <c r="V128" s="90" t="n">
        <v>46538</v>
      </c>
    </row>
    <row r="129">
      <c r="C129" s="87" t="inlineStr">
        <is>
          <t>Massey (RACB), John</t>
        </is>
      </c>
      <c r="E129" s="87" t="inlineStr">
        <is>
          <t>1</t>
        </is>
      </c>
      <c r="F129" s="87" t="inlineStr">
        <is>
          <t>123</t>
        </is>
      </c>
      <c r="G129" s="87" t="inlineStr">
        <is>
          <t>2 Bed 1 Bath</t>
        </is>
      </c>
      <c r="J129" s="88" t="n">
        <v>904</v>
      </c>
      <c r="K129" s="89" t="n">
        <v>1325</v>
      </c>
      <c r="L129" s="89" t="n">
        <v>1250</v>
      </c>
      <c r="M129" s="89" t="n">
        <v>0</v>
      </c>
      <c r="N129" s="89" t="n">
        <v>0</v>
      </c>
      <c r="P129" s="89" t="n">
        <v>1250</v>
      </c>
      <c r="Q129" s="89" t="n">
        <v>0</v>
      </c>
      <c r="R129" s="89" t="n">
        <v>125</v>
      </c>
      <c r="S129" s="87" t="inlineStr">
        <is>
          <t>08/01/25</t>
        </is>
      </c>
      <c r="T129" s="90" t="n">
        <v>41944</v>
      </c>
      <c r="V129" s="90" t="n">
        <v>46234</v>
      </c>
    </row>
    <row r="130">
      <c r="C130" s="87" t="inlineStr">
        <is>
          <t>Herby (RACB), Mary</t>
        </is>
      </c>
      <c r="E130" s="87" t="inlineStr">
        <is>
          <t>1</t>
        </is>
      </c>
      <c r="F130" s="87" t="inlineStr">
        <is>
          <t>124</t>
        </is>
      </c>
      <c r="G130" s="87" t="inlineStr">
        <is>
          <t>2 Bed 1 Bath</t>
        </is>
      </c>
      <c r="J130" s="88" t="n">
        <v>904</v>
      </c>
      <c r="K130" s="89" t="n">
        <v>1325</v>
      </c>
      <c r="L130" s="89" t="n">
        <v>1195</v>
      </c>
      <c r="M130" s="89" t="n">
        <v>0</v>
      </c>
      <c r="N130" s="89" t="n">
        <v>0</v>
      </c>
      <c r="P130" s="89" t="n">
        <v>1195</v>
      </c>
      <c r="Q130" s="89" t="n">
        <v>148</v>
      </c>
      <c r="R130" s="89" t="n">
        <v>95</v>
      </c>
      <c r="S130" s="87" t="inlineStr">
        <is>
          <t>02/01/25</t>
        </is>
      </c>
      <c r="T130" s="90" t="n">
        <v>36830</v>
      </c>
      <c r="V130" s="90" t="n">
        <v>46418</v>
      </c>
    </row>
    <row r="131">
      <c r="J131" s="88" t="n">
        <v>117872</v>
      </c>
      <c r="K131" s="89" t="n">
        <v>163520</v>
      </c>
      <c r="L131" s="89" t="n">
        <v>156848</v>
      </c>
      <c r="M131" s="89" t="n">
        <v>17225</v>
      </c>
      <c r="N131" s="89" t="n">
        <v>825</v>
      </c>
      <c r="P131" s="89" t="n">
        <v>140448</v>
      </c>
      <c r="Q131" s="89" t="n">
        <v>93950</v>
      </c>
      <c r="R131" s="89" t="n">
        <v>66084</v>
      </c>
    </row>
    <row r="132">
      <c r="A132" s="87" t="inlineStr">
        <is>
          <t xml:space="preserve">Totals for </t>
        </is>
      </c>
      <c r="D132" s="87" t="inlineStr">
        <is>
          <t>Delsan Court</t>
        </is>
      </c>
    </row>
    <row r="133">
      <c r="E133" s="87" t="n">
        <v>0</v>
      </c>
    </row>
    <row r="135">
      <c r="J135" s="87" t="inlineStr">
        <is>
          <t>Sq Ft</t>
        </is>
      </c>
      <c r="K135" s="87" t="inlineStr">
        <is>
          <t>Market 
Rent</t>
        </is>
      </c>
      <c r="L135" s="87" t="inlineStr">
        <is>
          <t>Rent</t>
        </is>
      </c>
      <c r="M135" s="87" t="inlineStr">
        <is>
          <t>Vacancy 
Loss</t>
        </is>
      </c>
      <c r="N135" s="87" t="inlineStr">
        <is>
          <t>Misc 
Charges</t>
        </is>
      </c>
      <c r="P135" s="87" t="inlineStr">
        <is>
          <t>Total 
Charges</t>
        </is>
      </c>
      <c r="Q135" s="87" t="inlineStr">
        <is>
          <t>Security 
Deposit</t>
        </is>
      </c>
      <c r="R135" s="87" t="inlineStr">
        <is>
          <t>Increase 
Amount</t>
        </is>
      </c>
    </row>
    <row r="136">
      <c r="J136" s="88" t="n">
        <v>117872</v>
      </c>
      <c r="K136" s="89" t="n">
        <v>163520</v>
      </c>
      <c r="L136" s="89" t="n">
        <v>156848</v>
      </c>
      <c r="M136" s="89" t="n">
        <v>17225</v>
      </c>
      <c r="N136" s="89" t="n">
        <v>825</v>
      </c>
      <c r="P136" s="89" t="n">
        <v>140448</v>
      </c>
      <c r="Q136" s="89" t="n">
        <v>93950</v>
      </c>
      <c r="R136" s="89" t="n">
        <v>66084</v>
      </c>
    </row>
    <row r="138">
      <c r="A138" s="87" t="inlineStr">
        <is>
          <t>Report Summary</t>
        </is>
      </c>
    </row>
    <row r="140">
      <c r="A140" s="87" t="inlineStr">
        <is>
          <t>Detail</t>
        </is>
      </c>
      <c r="O140" s="87" t="inlineStr">
        <is>
          <t>Value</t>
        </is>
      </c>
    </row>
    <row r="141">
      <c r="A141" s="87" t="inlineStr">
        <is>
          <t>Total Possible Rent</t>
        </is>
      </c>
      <c r="O141" s="87" t="inlineStr">
        <is>
          <t>156,848.00</t>
        </is>
      </c>
    </row>
    <row r="142">
      <c r="A142" s="87" t="inlineStr">
        <is>
          <t>Vacancy Rent</t>
        </is>
      </c>
      <c r="O142" s="87" t="inlineStr">
        <is>
          <t>17,225.00</t>
        </is>
      </c>
    </row>
    <row r="143">
      <c r="A143" s="87" t="inlineStr">
        <is>
          <t>Occupied Unit Rent</t>
        </is>
      </c>
      <c r="O143" s="87" t="inlineStr">
        <is>
          <t>139,623.00</t>
        </is>
      </c>
    </row>
    <row r="144">
      <c r="A144" s="87" t="inlineStr">
        <is>
          <t># of Units</t>
        </is>
      </c>
      <c r="O144" s="87" t="inlineStr">
        <is>
          <t>124</t>
        </is>
      </c>
    </row>
    <row r="145">
      <c r="A145" s="87" t="inlineStr">
        <is>
          <t>Vacant Units</t>
        </is>
      </c>
      <c r="O145" s="87" t="inlineStr">
        <is>
          <t>13</t>
        </is>
      </c>
    </row>
    <row r="146">
      <c r="A146" s="87" t="inlineStr">
        <is>
          <t>Occupancy</t>
        </is>
      </c>
      <c r="O146" s="87" t="inlineStr">
        <is>
          <t>89.52%</t>
        </is>
      </c>
    </row>
  </sheetData>
  <mergeCells count="524">
    <mergeCell ref="N101:O101"/>
    <mergeCell ref="N113:O113"/>
    <mergeCell ref="V73:W73"/>
    <mergeCell ref="N76:O76"/>
    <mergeCell ref="C15:D15"/>
    <mergeCell ref="V100:W100"/>
    <mergeCell ref="N100:O100"/>
    <mergeCell ref="G71:H71"/>
    <mergeCell ref="N94:O94"/>
    <mergeCell ref="C107:D107"/>
    <mergeCell ref="A142:N142"/>
    <mergeCell ref="O146:W146"/>
    <mergeCell ref="C79:D79"/>
    <mergeCell ref="C73:D73"/>
    <mergeCell ref="V102:W102"/>
    <mergeCell ref="V20:W20"/>
    <mergeCell ref="N77:O77"/>
    <mergeCell ref="C121:D121"/>
    <mergeCell ref="G66:H66"/>
    <mergeCell ref="V84:W84"/>
    <mergeCell ref="V127:W127"/>
    <mergeCell ref="V15:W15"/>
    <mergeCell ref="N29:O29"/>
    <mergeCell ref="G68:H68"/>
    <mergeCell ref="A145:N145"/>
    <mergeCell ref="V51:W51"/>
    <mergeCell ref="G114:H114"/>
    <mergeCell ref="V128:W128"/>
    <mergeCell ref="N31:O31"/>
    <mergeCell ref="N87:O87"/>
    <mergeCell ref="N24:O24"/>
    <mergeCell ref="N89:O89"/>
    <mergeCell ref="C28:D28"/>
    <mergeCell ref="N26:O26"/>
    <mergeCell ref="G59:H59"/>
    <mergeCell ref="C92:D92"/>
    <mergeCell ref="C30:D30"/>
    <mergeCell ref="G117:H117"/>
    <mergeCell ref="V33:W33"/>
    <mergeCell ref="G67:H67"/>
    <mergeCell ref="V8:W8"/>
    <mergeCell ref="G61:H61"/>
    <mergeCell ref="C97:D97"/>
    <mergeCell ref="G48:H48"/>
    <mergeCell ref="V35:W35"/>
    <mergeCell ref="G125:H125"/>
    <mergeCell ref="V10:W10"/>
    <mergeCell ref="N121:O121"/>
    <mergeCell ref="G112:H112"/>
    <mergeCell ref="N115:O115"/>
    <mergeCell ref="N42:O42"/>
    <mergeCell ref="V99:W99"/>
    <mergeCell ref="N102:O102"/>
    <mergeCell ref="G62:H62"/>
    <mergeCell ref="V74:W74"/>
    <mergeCell ref="N52:O52"/>
    <mergeCell ref="G127:H127"/>
    <mergeCell ref="V39:W39"/>
    <mergeCell ref="V110:W110"/>
    <mergeCell ref="B5:D5"/>
    <mergeCell ref="N44:O44"/>
    <mergeCell ref="N116:O116"/>
    <mergeCell ref="V103:W103"/>
    <mergeCell ref="C123:D123"/>
    <mergeCell ref="C110:D110"/>
    <mergeCell ref="V118:W118"/>
    <mergeCell ref="G16:H16"/>
    <mergeCell ref="G76:H76"/>
    <mergeCell ref="C18:D18"/>
    <mergeCell ref="G9:H9"/>
    <mergeCell ref="V65:W65"/>
    <mergeCell ref="V21:W21"/>
    <mergeCell ref="C34:D34"/>
    <mergeCell ref="N70:O70"/>
    <mergeCell ref="G11:H11"/>
    <mergeCell ref="V129:W129"/>
    <mergeCell ref="N32:O32"/>
    <mergeCell ref="V23:W23"/>
    <mergeCell ref="V94:W94"/>
    <mergeCell ref="V121:W121"/>
    <mergeCell ref="C128:D128"/>
    <mergeCell ref="N96:O96"/>
    <mergeCell ref="C113:D113"/>
    <mergeCell ref="A146:N146"/>
    <mergeCell ref="V87:W87"/>
    <mergeCell ref="C29:D29"/>
    <mergeCell ref="C100:D100"/>
    <mergeCell ref="C94:D94"/>
    <mergeCell ref="C65:D65"/>
    <mergeCell ref="V24:W24"/>
    <mergeCell ref="C44:D44"/>
    <mergeCell ref="N98:O98"/>
    <mergeCell ref="G69:H69"/>
    <mergeCell ref="C31:D31"/>
    <mergeCell ref="C80:D80"/>
    <mergeCell ref="V89:W89"/>
    <mergeCell ref="C129:D129"/>
    <mergeCell ref="G87:H87"/>
    <mergeCell ref="C95:D95"/>
    <mergeCell ref="V49:W49"/>
    <mergeCell ref="A3:W3"/>
    <mergeCell ref="G95:H95"/>
    <mergeCell ref="V120:W120"/>
    <mergeCell ref="N123:O123"/>
    <mergeCell ref="V36:W36"/>
    <mergeCell ref="G89:H89"/>
    <mergeCell ref="G64:H64"/>
    <mergeCell ref="A141:N141"/>
    <mergeCell ref="N60:O60"/>
    <mergeCell ref="V113:W113"/>
    <mergeCell ref="G51:H51"/>
    <mergeCell ref="V124:W124"/>
    <mergeCell ref="N124:O124"/>
    <mergeCell ref="N118:O118"/>
    <mergeCell ref="N45:O45"/>
    <mergeCell ref="V80:W80"/>
    <mergeCell ref="C49:D49"/>
    <mergeCell ref="V55:W55"/>
    <mergeCell ref="V126:W126"/>
    <mergeCell ref="N126:O126"/>
    <mergeCell ref="C24:D24"/>
    <mergeCell ref="N109:O109"/>
    <mergeCell ref="N47:O47"/>
    <mergeCell ref="C42:D42"/>
    <mergeCell ref="C88:D88"/>
    <mergeCell ref="C126:D126"/>
    <mergeCell ref="C26:D26"/>
    <mergeCell ref="G17:H17"/>
    <mergeCell ref="V29:W29"/>
    <mergeCell ref="G82:H82"/>
    <mergeCell ref="C117:D117"/>
    <mergeCell ref="G19:H19"/>
    <mergeCell ref="C55:D55"/>
    <mergeCell ref="N71:O71"/>
    <mergeCell ref="V31:W31"/>
    <mergeCell ref="G83:H83"/>
    <mergeCell ref="C115:D115"/>
    <mergeCell ref="N73:O73"/>
    <mergeCell ref="V60:W60"/>
    <mergeCell ref="V45:W45"/>
    <mergeCell ref="N119:O119"/>
    <mergeCell ref="G14:H14"/>
    <mergeCell ref="V32:W32"/>
    <mergeCell ref="C52:D52"/>
    <mergeCell ref="V26:W26"/>
    <mergeCell ref="C39:D39"/>
    <mergeCell ref="C81:D81"/>
    <mergeCell ref="C37:D37"/>
    <mergeCell ref="V57:W57"/>
    <mergeCell ref="N114:O114"/>
    <mergeCell ref="G72:H72"/>
    <mergeCell ref="V86:W86"/>
    <mergeCell ref="V42:W42"/>
    <mergeCell ref="V58:W58"/>
    <mergeCell ref="V52:W52"/>
    <mergeCell ref="N66:O66"/>
    <mergeCell ref="N53:O53"/>
    <mergeCell ref="N130:O130"/>
    <mergeCell ref="N68:O68"/>
    <mergeCell ref="N46:O46"/>
    <mergeCell ref="C63:D63"/>
    <mergeCell ref="N117:O117"/>
    <mergeCell ref="C50:D50"/>
    <mergeCell ref="N5:O5"/>
    <mergeCell ref="N61:O61"/>
    <mergeCell ref="N48:O48"/>
    <mergeCell ref="G108:H108"/>
    <mergeCell ref="C27:D27"/>
    <mergeCell ref="C76:D76"/>
    <mergeCell ref="C119:D119"/>
    <mergeCell ref="V70:W70"/>
    <mergeCell ref="G20:H20"/>
    <mergeCell ref="G91:H91"/>
    <mergeCell ref="G85:H85"/>
    <mergeCell ref="V109:W109"/>
    <mergeCell ref="G84:H84"/>
    <mergeCell ref="V47:W47"/>
    <mergeCell ref="G22:H22"/>
    <mergeCell ref="V101:W101"/>
    <mergeCell ref="G86:H86"/>
    <mergeCell ref="V76:W76"/>
    <mergeCell ref="N16:O16"/>
    <mergeCell ref="C45:D45"/>
    <mergeCell ref="V48:W48"/>
    <mergeCell ref="N51:O51"/>
    <mergeCell ref="N122:O122"/>
    <mergeCell ref="C109:D109"/>
    <mergeCell ref="C47:D47"/>
    <mergeCell ref="G38:H38"/>
    <mergeCell ref="V77:W77"/>
    <mergeCell ref="C40:D40"/>
    <mergeCell ref="N92:O92"/>
    <mergeCell ref="N67:O67"/>
    <mergeCell ref="G33:H33"/>
    <mergeCell ref="C71:D71"/>
    <mergeCell ref="G104:H104"/>
    <mergeCell ref="V66:W66"/>
    <mergeCell ref="C8:D8"/>
    <mergeCell ref="N69:O69"/>
    <mergeCell ref="G35:H35"/>
    <mergeCell ref="V53:W53"/>
    <mergeCell ref="V46:W46"/>
    <mergeCell ref="C66:D66"/>
    <mergeCell ref="V95:W95"/>
    <mergeCell ref="G99:H99"/>
    <mergeCell ref="C53:D53"/>
    <mergeCell ref="C102:D102"/>
    <mergeCell ref="V61:W61"/>
    <mergeCell ref="C77:D77"/>
    <mergeCell ref="N135:O135"/>
    <mergeCell ref="C68:D68"/>
    <mergeCell ref="G130:H130"/>
    <mergeCell ref="V79:W79"/>
    <mergeCell ref="G122:H122"/>
    <mergeCell ref="G101:H101"/>
    <mergeCell ref="V115:W115"/>
    <mergeCell ref="N18:O18"/>
    <mergeCell ref="C59:D59"/>
    <mergeCell ref="N17:O17"/>
    <mergeCell ref="V123:W123"/>
    <mergeCell ref="C46:D46"/>
    <mergeCell ref="C21:D21"/>
    <mergeCell ref="N82:O82"/>
    <mergeCell ref="C61:D61"/>
    <mergeCell ref="N19:O19"/>
    <mergeCell ref="C48:D48"/>
    <mergeCell ref="C23:D23"/>
    <mergeCell ref="C125:D125"/>
    <mergeCell ref="G54:H54"/>
    <mergeCell ref="G41:H41"/>
    <mergeCell ref="G106:H106"/>
    <mergeCell ref="G56:H56"/>
    <mergeCell ref="V130:W130"/>
    <mergeCell ref="G105:H105"/>
    <mergeCell ref="V68:W68"/>
    <mergeCell ref="G43:H43"/>
    <mergeCell ref="N108:O108"/>
    <mergeCell ref="V92:W92"/>
    <mergeCell ref="N95:O95"/>
    <mergeCell ref="V67:W67"/>
    <mergeCell ref="G120:H120"/>
    <mergeCell ref="V5:W5"/>
    <mergeCell ref="G36:H36"/>
    <mergeCell ref="C74:D74"/>
    <mergeCell ref="G107:H107"/>
    <mergeCell ref="V97:W97"/>
    <mergeCell ref="N37:O37"/>
    <mergeCell ref="N97:O97"/>
    <mergeCell ref="V69:W69"/>
    <mergeCell ref="N72:O72"/>
    <mergeCell ref="V96:W96"/>
    <mergeCell ref="C16:D16"/>
    <mergeCell ref="C103:D103"/>
    <mergeCell ref="O142:W142"/>
    <mergeCell ref="N136:O136"/>
    <mergeCell ref="C9:D9"/>
    <mergeCell ref="V98:W98"/>
    <mergeCell ref="C118:D118"/>
    <mergeCell ref="O144:W144"/>
    <mergeCell ref="A138:V138"/>
    <mergeCell ref="C11:D11"/>
    <mergeCell ref="N88:O88"/>
    <mergeCell ref="G29:H29"/>
    <mergeCell ref="V16:W16"/>
    <mergeCell ref="N90:O90"/>
    <mergeCell ref="G31:H31"/>
    <mergeCell ref="N27:O27"/>
    <mergeCell ref="N83:O83"/>
    <mergeCell ref="C96:D96"/>
    <mergeCell ref="V18:W18"/>
    <mergeCell ref="C87:D87"/>
    <mergeCell ref="V116:W116"/>
    <mergeCell ref="C62:D62"/>
    <mergeCell ref="V17:W17"/>
    <mergeCell ref="N20:O20"/>
    <mergeCell ref="N91:O91"/>
    <mergeCell ref="V82:W82"/>
    <mergeCell ref="C98:D98"/>
    <mergeCell ref="N85:O85"/>
    <mergeCell ref="C89:D89"/>
    <mergeCell ref="C116:D116"/>
    <mergeCell ref="C64:D64"/>
    <mergeCell ref="N22:O22"/>
    <mergeCell ref="G97:H97"/>
    <mergeCell ref="V111:W111"/>
    <mergeCell ref="G57:H57"/>
    <mergeCell ref="C93:D93"/>
    <mergeCell ref="G128:H128"/>
    <mergeCell ref="V44:W44"/>
    <mergeCell ref="G121:H121"/>
    <mergeCell ref="V108:W108"/>
    <mergeCell ref="N111:O111"/>
    <mergeCell ref="N38:O38"/>
    <mergeCell ref="D132:I132"/>
    <mergeCell ref="G58:H58"/>
    <mergeCell ref="G123:H123"/>
    <mergeCell ref="C17:D17"/>
    <mergeCell ref="G110:H110"/>
    <mergeCell ref="N40:O40"/>
    <mergeCell ref="N15:O15"/>
    <mergeCell ref="A132:C132"/>
    <mergeCell ref="C19:D19"/>
    <mergeCell ref="O145:W145"/>
    <mergeCell ref="G75:H75"/>
    <mergeCell ref="C111:D111"/>
    <mergeCell ref="N79:O79"/>
    <mergeCell ref="V114:W114"/>
    <mergeCell ref="C83:D83"/>
    <mergeCell ref="G12:H12"/>
    <mergeCell ref="N35:O35"/>
    <mergeCell ref="A143:N143"/>
    <mergeCell ref="C14:D14"/>
    <mergeCell ref="G70:H70"/>
    <mergeCell ref="V88:W88"/>
    <mergeCell ref="A1:W1"/>
    <mergeCell ref="G7:H7"/>
    <mergeCell ref="V19:W19"/>
    <mergeCell ref="N93:O93"/>
    <mergeCell ref="V117:W117"/>
    <mergeCell ref="C124:D124"/>
    <mergeCell ref="V83:W83"/>
    <mergeCell ref="C90:D90"/>
    <mergeCell ref="V119:W119"/>
    <mergeCell ref="N28:O28"/>
    <mergeCell ref="G65:H65"/>
    <mergeCell ref="O140:W140"/>
    <mergeCell ref="N30:O30"/>
    <mergeCell ref="G129:H129"/>
    <mergeCell ref="G25:H25"/>
    <mergeCell ref="V37:W37"/>
    <mergeCell ref="G60:H60"/>
    <mergeCell ref="N104:O104"/>
    <mergeCell ref="C108:D108"/>
    <mergeCell ref="N54:O54"/>
    <mergeCell ref="V38:W38"/>
    <mergeCell ref="N41:O41"/>
    <mergeCell ref="N112:O112"/>
    <mergeCell ref="N106:O106"/>
    <mergeCell ref="V13:W13"/>
    <mergeCell ref="G126:H126"/>
    <mergeCell ref="C20:D20"/>
    <mergeCell ref="N56:O56"/>
    <mergeCell ref="V105:W105"/>
    <mergeCell ref="N105:O105"/>
    <mergeCell ref="C85:D85"/>
    <mergeCell ref="N43:O43"/>
    <mergeCell ref="C112:D112"/>
    <mergeCell ref="V63:W63"/>
    <mergeCell ref="C84:D84"/>
    <mergeCell ref="C22:D22"/>
    <mergeCell ref="V107:W107"/>
    <mergeCell ref="G13:H13"/>
    <mergeCell ref="C127:D127"/>
    <mergeCell ref="N107:O107"/>
    <mergeCell ref="G78:H78"/>
    <mergeCell ref="C114:D114"/>
    <mergeCell ref="A6:G6"/>
    <mergeCell ref="G15:H15"/>
    <mergeCell ref="C51:D51"/>
    <mergeCell ref="V27:W27"/>
    <mergeCell ref="G80:H80"/>
    <mergeCell ref="N59:O59"/>
    <mergeCell ref="V104:W104"/>
    <mergeCell ref="G79:H79"/>
    <mergeCell ref="G73:H73"/>
    <mergeCell ref="N9:O9"/>
    <mergeCell ref="A144:N144"/>
    <mergeCell ref="C38:D38"/>
    <mergeCell ref="V22:W22"/>
    <mergeCell ref="O141:W141"/>
    <mergeCell ref="C33:D33"/>
    <mergeCell ref="C104:D104"/>
    <mergeCell ref="V122:W122"/>
    <mergeCell ref="N110:O110"/>
    <mergeCell ref="G8:H8"/>
    <mergeCell ref="O143:W143"/>
    <mergeCell ref="C35:D35"/>
    <mergeCell ref="N125:O125"/>
    <mergeCell ref="C10:D10"/>
    <mergeCell ref="G10:H10"/>
    <mergeCell ref="V59:W59"/>
    <mergeCell ref="N62:O62"/>
    <mergeCell ref="C99:D99"/>
    <mergeCell ref="G53:H53"/>
    <mergeCell ref="G28:H28"/>
    <mergeCell ref="N127:O127"/>
    <mergeCell ref="V40:W40"/>
    <mergeCell ref="G74:H74"/>
    <mergeCell ref="N64:O64"/>
    <mergeCell ref="N120:O120"/>
    <mergeCell ref="G92:H92"/>
    <mergeCell ref="G30:H30"/>
    <mergeCell ref="C130:D130"/>
    <mergeCell ref="G5:H5"/>
    <mergeCell ref="V54:W54"/>
    <mergeCell ref="N57:O57"/>
    <mergeCell ref="N128:O128"/>
    <mergeCell ref="A2:W2"/>
    <mergeCell ref="V41:W41"/>
    <mergeCell ref="C122:D122"/>
    <mergeCell ref="A140:N140"/>
    <mergeCell ref="C72:D72"/>
    <mergeCell ref="G21:H21"/>
    <mergeCell ref="G81:H81"/>
    <mergeCell ref="N11:O11"/>
    <mergeCell ref="G23:H23"/>
    <mergeCell ref="N75:O75"/>
    <mergeCell ref="V34:W34"/>
    <mergeCell ref="N12:O12"/>
    <mergeCell ref="C54:D54"/>
    <mergeCell ref="V28:W28"/>
    <mergeCell ref="V72:W72"/>
    <mergeCell ref="C41:D41"/>
    <mergeCell ref="G18:H18"/>
    <mergeCell ref="N39:O39"/>
    <mergeCell ref="N14:O14"/>
    <mergeCell ref="C56:D56"/>
    <mergeCell ref="V30:W30"/>
    <mergeCell ref="C105:D105"/>
    <mergeCell ref="C43:D43"/>
    <mergeCell ref="G34:H34"/>
    <mergeCell ref="N103:O103"/>
    <mergeCell ref="C120:D120"/>
    <mergeCell ref="C36:D36"/>
    <mergeCell ref="G113:H113"/>
    <mergeCell ref="V125:W125"/>
    <mergeCell ref="C67:D67"/>
    <mergeCell ref="G100:H100"/>
    <mergeCell ref="V90:W90"/>
    <mergeCell ref="G94:H94"/>
    <mergeCell ref="G44:H44"/>
    <mergeCell ref="V62:W62"/>
    <mergeCell ref="N65:O65"/>
    <mergeCell ref="V56:W56"/>
    <mergeCell ref="C69:D69"/>
    <mergeCell ref="G102:H102"/>
    <mergeCell ref="V43:W43"/>
    <mergeCell ref="G77:H77"/>
    <mergeCell ref="N7:O7"/>
    <mergeCell ref="N63:O63"/>
    <mergeCell ref="N129:O129"/>
    <mergeCell ref="V91:W91"/>
    <mergeCell ref="N50:O50"/>
    <mergeCell ref="N25:O25"/>
    <mergeCell ref="V85:W85"/>
    <mergeCell ref="N131:O131"/>
    <mergeCell ref="V9:W9"/>
    <mergeCell ref="G49:H49"/>
    <mergeCell ref="G24:H24"/>
    <mergeCell ref="C60:D60"/>
    <mergeCell ref="V11:W11"/>
    <mergeCell ref="G88:H88"/>
    <mergeCell ref="N13:O13"/>
    <mergeCell ref="G26:H26"/>
    <mergeCell ref="N84:O84"/>
    <mergeCell ref="V75:W75"/>
    <mergeCell ref="N78:O78"/>
    <mergeCell ref="C91:D91"/>
    <mergeCell ref="C82:D82"/>
    <mergeCell ref="V50:W50"/>
    <mergeCell ref="C57:D57"/>
    <mergeCell ref="G90:H90"/>
    <mergeCell ref="N80:O80"/>
    <mergeCell ref="N55:O55"/>
    <mergeCell ref="C86:D86"/>
    <mergeCell ref="G115:H115"/>
    <mergeCell ref="G42:H42"/>
    <mergeCell ref="C58:D58"/>
    <mergeCell ref="V64:W64"/>
    <mergeCell ref="G39:H39"/>
    <mergeCell ref="G116:H116"/>
    <mergeCell ref="G103:H103"/>
    <mergeCell ref="G37:H37"/>
    <mergeCell ref="C75:D75"/>
    <mergeCell ref="N33:O33"/>
    <mergeCell ref="N58:O58"/>
    <mergeCell ref="V93:W93"/>
    <mergeCell ref="N8:O8"/>
    <mergeCell ref="G118:H118"/>
    <mergeCell ref="C12:D12"/>
    <mergeCell ref="N10:O10"/>
    <mergeCell ref="C70:D70"/>
    <mergeCell ref="C106:D106"/>
    <mergeCell ref="C32:D32"/>
    <mergeCell ref="C7:D7"/>
    <mergeCell ref="G32:H32"/>
    <mergeCell ref="G63:H63"/>
    <mergeCell ref="G50:H50"/>
    <mergeCell ref="G96:H96"/>
    <mergeCell ref="V12:W12"/>
    <mergeCell ref="C101:D101"/>
    <mergeCell ref="N86:O86"/>
    <mergeCell ref="G52:H52"/>
    <mergeCell ref="G27:H27"/>
    <mergeCell ref="G98:H98"/>
    <mergeCell ref="V14:W14"/>
    <mergeCell ref="V112:W112"/>
    <mergeCell ref="V106:W106"/>
    <mergeCell ref="V81:W81"/>
    <mergeCell ref="N21:O21"/>
    <mergeCell ref="V78:W78"/>
    <mergeCell ref="N81:O81"/>
    <mergeCell ref="C25:D25"/>
    <mergeCell ref="G93:H93"/>
    <mergeCell ref="N23:O23"/>
    <mergeCell ref="G124:H124"/>
    <mergeCell ref="G45:H45"/>
    <mergeCell ref="G55:H55"/>
    <mergeCell ref="V7:W7"/>
    <mergeCell ref="G111:H111"/>
    <mergeCell ref="G109:H109"/>
    <mergeCell ref="N34:O34"/>
    <mergeCell ref="G47:H47"/>
    <mergeCell ref="V25:W25"/>
    <mergeCell ref="N99:O99"/>
    <mergeCell ref="G119:H119"/>
    <mergeCell ref="V71:W71"/>
    <mergeCell ref="C13:D13"/>
    <mergeCell ref="G46:H46"/>
    <mergeCell ref="N49:O49"/>
    <mergeCell ref="G40:H40"/>
    <mergeCell ref="N74:O74"/>
    <mergeCell ref="C78:D78"/>
    <mergeCell ref="N36:O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2026-10-04T17:34:28Z</dcterms:created>
  <dcterms:modified xsi:type="dcterms:W3CDTF">2026-10-04T17:34:28Z</dcterms:modified>
</cp:coreProperties>
</file>