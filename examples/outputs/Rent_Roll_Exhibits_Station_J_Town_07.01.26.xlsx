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Mix &amp; RR Summary" sheetId="1" state="visible" r:id="rId1"/>
    <sheet xmlns:r="http://schemas.openxmlformats.org/officeDocument/2006/relationships" name="Recent Leases" sheetId="2" state="visible" r:id="rId2"/>
    <sheet xmlns:r="http://schemas.openxmlformats.org/officeDocument/2006/relationships" name="Unit Mix based on # of Beds" sheetId="3" state="visible" r:id="rId3"/>
    <sheet xmlns:r="http://schemas.openxmlformats.org/officeDocument/2006/relationships" name="Pres. Rent Roll" sheetId="4" state="visible" r:id="rId4"/>
    <sheet xmlns:r="http://schemas.openxmlformats.org/officeDocument/2006/relationships" name="OneLineR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5">
    <numFmt numFmtId="164" formatCode="#0\ &quot;Units&quot;"/>
    <numFmt numFmtId="165" formatCode="#\ &quot;Units&quot;"/>
    <numFmt numFmtId="166" formatCode="#,##0\ &quot;SF&quot;"/>
    <numFmt numFmtId="167" formatCode="&quot;$&quot;#,##0"/>
    <numFmt numFmtId="168" formatCode="&quot;$&quot;#,##0.00"/>
    <numFmt numFmtId="169" formatCode="#,##0\ &quot;Units&quot;"/>
    <numFmt numFmtId="170" formatCode="0.0%"/>
    <numFmt numFmtId="171" formatCode="yyyy-mm-dd"/>
    <numFmt numFmtId="172" formatCode="#\ &quot;Days&quot;"/>
    <numFmt numFmtId="173" formatCode="#0\ &quot;Bed/s&quot;"/>
    <numFmt numFmtId="174" formatCode="0.#"/>
    <numFmt numFmtId="175" formatCode="&quot;$&quot;#,##0_);[Red]\(&quot;$&quot;#,##0\)"/>
    <numFmt numFmtId="176" formatCode="mm\/dd\/yyyy"/>
    <numFmt numFmtId="177" formatCode="0.0"/>
    <numFmt numFmtId="178" formatCode="_(* #,##0_);_(* \(#,##0\);_(* &quot;-&quot;??_);_(@_)"/>
  </numFmts>
  <fonts count="11">
    <font>
      <name val="Calibri"/>
      <family val="2"/>
      <color theme="1"/>
      <sz val="11"/>
      <scheme val="minor"/>
    </font>
    <font>
      <b val="1"/>
      <color theme="3"/>
      <sz val="15"/>
    </font>
    <font>
      <b val="1"/>
      <color rgb="FF808080"/>
      <sz val="15"/>
    </font>
    <font>
      <b val="1"/>
      <color theme="0"/>
      <sz val="11"/>
    </font>
    <font>
      <color theme="1"/>
      <sz val="11"/>
    </font>
    <font>
      <b val="1"/>
      <color theme="1"/>
      <sz val="11"/>
    </font>
    <font>
      <b val="1"/>
      <sz val="11"/>
    </font>
    <font>
      <b val="1"/>
      <color theme="0"/>
      <sz val="12"/>
    </font>
    <font>
      <b val="1"/>
      <color theme="0"/>
      <sz val="10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theme="4" tint="-0.25"/>
      </patternFill>
    </fill>
    <fill>
      <patternFill patternType="solid">
        <fgColor theme="8" tint="0.8"/>
      </patternFill>
    </fill>
    <fill>
      <patternFill patternType="solid">
        <fgColor theme="0" tint="-0.05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bottom style="thick"/>
    </border>
    <border>
      <left style="dashDot"/>
      <right style="dashDot"/>
      <top style="dashDot"/>
      <bottom style="dashDot"/>
    </border>
    <border>
      <left style="dotted"/>
      <right/>
      <top/>
      <bottom/>
    </border>
    <border>
      <top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0" borderId="1" pivotButton="0" quotePrefix="0" xfId="0"/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165" fontId="5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right" vertical="center"/>
    </xf>
    <xf numFmtId="166" fontId="5" fillId="3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168" fontId="5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/>
    </xf>
    <xf numFmtId="0" fontId="0" fillId="4" borderId="0" pivotButton="0" quotePrefix="0" xfId="0"/>
    <xf numFmtId="169" fontId="5" fillId="4" borderId="0" applyAlignment="1" pivotButton="0" quotePrefix="0" xfId="0">
      <alignment horizontal="right"/>
    </xf>
    <xf numFmtId="170" fontId="5" fillId="4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0" fontId="5" fillId="0" borderId="0" pivotButton="0" quotePrefix="0" xfId="0"/>
    <xf numFmtId="0" fontId="4" fillId="0" borderId="0" pivotButton="0" quotePrefix="0" xfId="0"/>
    <xf numFmtId="3" fontId="4" fillId="0" borderId="0" applyAlignment="1" pivotButton="0" quotePrefix="0" xfId="0">
      <alignment horizontal="right"/>
    </xf>
    <xf numFmtId="170" fontId="4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14" fontId="6" fillId="0" borderId="2" applyAlignment="1" pivotButton="0" quotePrefix="0" xfId="0">
      <alignment horizontal="center"/>
    </xf>
    <xf numFmtId="0" fontId="3" fillId="2" borderId="0" applyAlignment="1" pivotButton="0" quotePrefix="0" xfId="0">
      <alignment horizontal="centerContinuous" vertical="center"/>
    </xf>
    <xf numFmtId="0" fontId="3" fillId="2" borderId="3" applyAlignment="1" pivotButton="0" quotePrefix="0" xfId="0">
      <alignment horizontal="centerContinuous" vertical="center"/>
    </xf>
    <xf numFmtId="0" fontId="3" fillId="2" borderId="3" applyAlignment="1" pivotButton="0" quotePrefix="0" xfId="0">
      <alignment horizontal="center" vertical="center"/>
    </xf>
    <xf numFmtId="172" fontId="3" fillId="2" borderId="3" applyAlignment="1" pivotButton="0" quotePrefix="0" xfId="0">
      <alignment horizontal="center" vertical="center"/>
    </xf>
    <xf numFmtId="172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right" vertical="center"/>
    </xf>
    <xf numFmtId="167" fontId="4" fillId="0" borderId="3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0" fillId="3" borderId="0" pivotButton="0" quotePrefix="0" xfId="0"/>
    <xf numFmtId="167" fontId="5" fillId="3" borderId="3" applyAlignment="1" pivotButton="0" quotePrefix="0" xfId="0">
      <alignment horizontal="right" vertical="center"/>
    </xf>
    <xf numFmtId="170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center" vertical="center"/>
    </xf>
    <xf numFmtId="173" fontId="4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0" pivotButton="0" quotePrefix="0" xfId="0"/>
    <xf numFmtId="0" fontId="7" fillId="2" borderId="0" applyAlignment="1" pivotButton="0" quotePrefix="0" xfId="0">
      <alignment horizontal="centerContinuous" vertical="center"/>
    </xf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right"/>
    </xf>
    <xf numFmtId="174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175" fontId="4" fillId="0" borderId="0" applyAlignment="1" pivotButton="0" quotePrefix="0" xfId="0">
      <alignment horizontal="right"/>
    </xf>
    <xf numFmtId="176" fontId="4" fillId="0" borderId="0" applyAlignment="1" pivotButton="0" quotePrefix="0" xfId="0">
      <alignment horizontal="right"/>
    </xf>
    <xf numFmtId="14" fontId="5" fillId="0" borderId="0" applyAlignment="1" pivotButton="0" quotePrefix="0" xfId="0">
      <alignment horizontal="left"/>
    </xf>
    <xf numFmtId="0" fontId="0" fillId="0" borderId="4" pivotButton="0" quotePrefix="0" xfId="0"/>
    <xf numFmtId="169" fontId="5" fillId="0" borderId="4" applyAlignment="1" pivotButton="0" quotePrefix="0" xfId="0">
      <alignment horizontal="center"/>
    </xf>
    <xf numFmtId="166" fontId="5" fillId="0" borderId="4" applyAlignment="1" pivotButton="0" quotePrefix="0" xfId="0">
      <alignment horizontal="right"/>
    </xf>
    <xf numFmtId="175" fontId="5" fillId="0" borderId="4" applyAlignment="1" pivotButton="0" quotePrefix="0" xfId="0">
      <alignment horizontal="right"/>
    </xf>
    <xf numFmtId="167" fontId="4" fillId="0" borderId="4" applyAlignment="1" pivotButton="0" quotePrefix="0" xfId="0">
      <alignment horizontal="center"/>
    </xf>
    <xf numFmtId="10" fontId="4" fillId="0" borderId="4" applyAlignment="1" pivotButton="0" quotePrefix="0" xfId="0">
      <alignment horizont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10" fillId="5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5" borderId="0" applyAlignment="1" pivotButton="0" quotePrefix="0" xfId="0">
      <alignment horizontal="center"/>
    </xf>
    <xf numFmtId="177" fontId="10" fillId="5" borderId="0" applyAlignment="1" pivotButton="0" quotePrefix="0" xfId="0">
      <alignment horizontal="center"/>
    </xf>
    <xf numFmtId="3" fontId="10" fillId="0" borderId="0" applyAlignment="1" pivotButton="0" quotePrefix="0" xfId="0">
      <alignment horizontal="right"/>
    </xf>
    <xf numFmtId="3" fontId="9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0" fontId="10" fillId="0" borderId="0" pivotButton="0" quotePrefix="0" xfId="0"/>
    <xf numFmtId="14" fontId="9" fillId="0" borderId="0" applyAlignment="1" pivotButton="0" quotePrefix="0" xfId="0">
      <alignment horizontal="left"/>
    </xf>
    <xf numFmtId="178" fontId="10" fillId="0" borderId="0" pivotButton="0" quotePrefix="0" xfId="0"/>
    <xf numFmtId="4" fontId="10" fillId="0" borderId="0" applyAlignment="1" pivotButton="0" quotePrefix="0" xfId="0">
      <alignment horizontal="right"/>
    </xf>
    <xf numFmtId="176" fontId="1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W51"/>
  <sheetViews>
    <sheetView showGridLines="0" workbookViewId="0">
      <selection activeCell="A1" sqref="A1"/>
    </sheetView>
  </sheetViews>
  <sheetFormatPr baseColWidth="8" defaultRowHeight="15"/>
  <cols>
    <col width="0.9" customWidth="1" min="1" max="1"/>
    <col width="0.9" customWidth="1" min="3" max="3"/>
    <col width="29.6" customWidth="1" min="4" max="4"/>
    <col width="28" customWidth="1" min="5" max="5"/>
    <col width="15.4" customWidth="1" min="6" max="6"/>
    <col width="14.1" customWidth="1" min="7" max="7"/>
    <col width="15.4" customWidth="1" min="8" max="8"/>
    <col width="13.9" customWidth="1" min="9" max="9"/>
    <col width="12.1" customWidth="1" min="10" max="10"/>
    <col width="12.4" customWidth="1" min="11" max="11"/>
    <col width="14.4" customWidth="1" min="12" max="12"/>
    <col width="12.4" customWidth="1" min="13" max="13"/>
    <col width="15" customWidth="1" min="14" max="14"/>
    <col width="13.1" customWidth="1" min="15" max="15"/>
    <col width="12.4" customWidth="1" min="17" max="17"/>
    <col width="0.9" customWidth="1" min="18" max="18"/>
    <col width="13.4" customWidth="1" min="19" max="19"/>
    <col width="9.4" customWidth="1" min="20" max="20"/>
    <col width="7.1" customWidth="1" min="21" max="21"/>
    <col width="9.4" customWidth="1" min="22" max="22"/>
    <col width="9.4" customWidth="1" min="23" max="23"/>
  </cols>
  <sheetData>
    <row r="3">
      <c r="C3" s="1" t="inlineStr">
        <is>
          <t>UNIT MIX &amp; RENT ROLL SUMMARY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inlineStr">
        <is>
          <t>Station J Town</t>
        </is>
      </c>
    </row>
    <row r="5">
      <c r="C5" s="3" t="n"/>
      <c r="D5" s="4" t="inlineStr">
        <is>
          <t>Property Name</t>
        </is>
      </c>
      <c r="E5" s="4" t="inlineStr">
        <is>
          <t>Floor Plan</t>
        </is>
      </c>
      <c r="F5" s="5" t="inlineStr">
        <is>
          <t>Occ Units</t>
        </is>
      </c>
      <c r="G5" s="5" t="inlineStr">
        <is>
          <t>Tot Units</t>
        </is>
      </c>
      <c r="H5" s="5" t="inlineStr">
        <is>
          <t>Sq. Ft</t>
        </is>
      </c>
      <c r="I5" s="5" t="inlineStr">
        <is>
          <t>Avg SF</t>
        </is>
      </c>
      <c r="J5" s="5" t="inlineStr">
        <is>
          <t>Mkt Rent</t>
        </is>
      </c>
      <c r="K5" s="5" t="inlineStr">
        <is>
          <t>Avg Mkt/Unit</t>
        </is>
      </c>
      <c r="L5" s="5" t="inlineStr">
        <is>
          <t>AvgMkt/SF</t>
        </is>
      </c>
      <c r="M5" s="5" t="inlineStr">
        <is>
          <t>Cont Rent</t>
        </is>
      </c>
      <c r="N5" s="5" t="inlineStr">
        <is>
          <t>Avg Cont/Unit</t>
        </is>
      </c>
      <c r="O5" s="5" t="inlineStr">
        <is>
          <t>AvgCont/SF</t>
        </is>
      </c>
      <c r="P5" s="5" t="inlineStr">
        <is>
          <t>Max Rent</t>
        </is>
      </c>
      <c r="Q5" s="5" t="inlineStr">
        <is>
          <t>Other Inc.</t>
        </is>
      </c>
      <c r="S5" s="6" t="inlineStr">
        <is>
          <t>Sq. Ft. (Occ)</t>
        </is>
      </c>
    </row>
    <row r="6">
      <c r="D6" s="7" t="inlineStr">
        <is>
          <t>Station J Town</t>
        </is>
      </c>
      <c r="E6" s="7" t="inlineStr">
        <is>
          <t>1 BD / 1 BA</t>
        </is>
      </c>
      <c r="F6" s="8" t="n">
        <v>64</v>
      </c>
      <c r="G6" s="9" t="n">
        <v>72</v>
      </c>
      <c r="H6" s="10" t="n">
        <v>61200</v>
      </c>
      <c r="I6" s="10" t="n">
        <v>850</v>
      </c>
      <c r="J6" s="11" t="n">
        <v>72215</v>
      </c>
      <c r="K6" s="11" t="n">
        <v>1002.986111111111</v>
      </c>
      <c r="L6" s="12" t="n">
        <v>1.179983660130719</v>
      </c>
      <c r="M6" s="11" t="n">
        <v>59493</v>
      </c>
      <c r="N6" s="11" t="n">
        <v>929.578125</v>
      </c>
      <c r="O6" s="12" t="n">
        <v>1.093621323529412</v>
      </c>
      <c r="P6" s="11" t="n">
        <v>1050</v>
      </c>
      <c r="Q6" s="11" t="n">
        <v>0</v>
      </c>
      <c r="S6" s="10" t="n">
        <v>54400</v>
      </c>
    </row>
    <row r="7">
      <c r="D7" s="7" t="inlineStr">
        <is>
          <t>Station J Town</t>
        </is>
      </c>
      <c r="E7" s="7" t="inlineStr">
        <is>
          <t>2 BD / 1 BA</t>
        </is>
      </c>
      <c r="F7" s="8" t="n">
        <v>196</v>
      </c>
      <c r="G7" s="9" t="n">
        <v>208</v>
      </c>
      <c r="H7" s="10" t="n">
        <v>197600</v>
      </c>
      <c r="I7" s="10" t="n">
        <v>950</v>
      </c>
      <c r="J7" s="11" t="n">
        <v>226955</v>
      </c>
      <c r="K7" s="11" t="n">
        <v>1091.129807692308</v>
      </c>
      <c r="L7" s="12" t="n">
        <v>1.148557692307692</v>
      </c>
      <c r="M7" s="11" t="n">
        <v>206425</v>
      </c>
      <c r="N7" s="11" t="n">
        <v>1053.188775510204</v>
      </c>
      <c r="O7" s="12" t="n">
        <v>1.108619763694952</v>
      </c>
      <c r="P7" s="11" t="n">
        <v>1200</v>
      </c>
      <c r="Q7" s="11" t="n">
        <v>0</v>
      </c>
      <c r="S7" s="10" t="n">
        <v>186200</v>
      </c>
    </row>
    <row r="8">
      <c r="D8" s="7" t="inlineStr">
        <is>
          <t>Station J Town</t>
        </is>
      </c>
      <c r="E8" s="7" t="inlineStr">
        <is>
          <t>2 BD / 1.5 BA</t>
        </is>
      </c>
      <c r="F8" s="8" t="n">
        <v>42</v>
      </c>
      <c r="G8" s="9" t="n">
        <v>44</v>
      </c>
      <c r="H8" s="10" t="n">
        <v>41800</v>
      </c>
      <c r="I8" s="10" t="n">
        <v>950</v>
      </c>
      <c r="J8" s="11" t="n">
        <v>49767</v>
      </c>
      <c r="K8" s="11" t="n">
        <v>1131.068181818182</v>
      </c>
      <c r="L8" s="12" t="n">
        <v>1.190598086124402</v>
      </c>
      <c r="M8" s="11" t="n">
        <v>45049</v>
      </c>
      <c r="N8" s="11" t="n">
        <v>1072.595238095238</v>
      </c>
      <c r="O8" s="12" t="n">
        <v>1.129047619047619</v>
      </c>
      <c r="P8" s="11" t="n">
        <v>1230</v>
      </c>
      <c r="Q8" s="11" t="n">
        <v>0</v>
      </c>
      <c r="S8" s="10" t="n">
        <v>39900</v>
      </c>
    </row>
    <row r="9">
      <c r="D9" s="7" t="inlineStr">
        <is>
          <t>Station J Town</t>
        </is>
      </c>
      <c r="E9" s="7" t="inlineStr">
        <is>
          <t>3 BD / 1 BA - A</t>
        </is>
      </c>
      <c r="F9" s="8" t="n">
        <v>31</v>
      </c>
      <c r="G9" s="9" t="n">
        <v>31</v>
      </c>
      <c r="H9" s="10" t="n">
        <v>33325</v>
      </c>
      <c r="I9" s="10" t="n">
        <v>1075</v>
      </c>
      <c r="J9" s="11" t="n">
        <v>41265</v>
      </c>
      <c r="K9" s="11" t="n">
        <v>1331.129032258065</v>
      </c>
      <c r="L9" s="12" t="n">
        <v>1.238259564891223</v>
      </c>
      <c r="M9" s="11" t="n">
        <v>38791</v>
      </c>
      <c r="N9" s="11" t="n">
        <v>1251.322580645161</v>
      </c>
      <c r="O9" s="12" t="n">
        <v>1.164021005251313</v>
      </c>
      <c r="P9" s="11" t="n">
        <v>1425</v>
      </c>
      <c r="Q9" s="11" t="n">
        <v>0</v>
      </c>
      <c r="S9" s="10" t="n">
        <v>33325</v>
      </c>
    </row>
    <row r="10">
      <c r="D10" s="7" t="inlineStr">
        <is>
          <t>Station J Town</t>
        </is>
      </c>
      <c r="E10" s="7" t="inlineStr">
        <is>
          <t>3 BD / 1.5 BA</t>
        </is>
      </c>
      <c r="F10" s="8" t="n">
        <v>29</v>
      </c>
      <c r="G10" s="9" t="n">
        <v>29</v>
      </c>
      <c r="H10" s="10" t="n">
        <v>31175</v>
      </c>
      <c r="I10" s="10" t="n">
        <v>1075</v>
      </c>
      <c r="J10" s="11" t="n">
        <v>39280</v>
      </c>
      <c r="K10" s="11" t="n">
        <v>1354.48275862069</v>
      </c>
      <c r="L10" s="12" t="n">
        <v>1.259983961507618</v>
      </c>
      <c r="M10" s="11" t="n">
        <v>35601</v>
      </c>
      <c r="N10" s="11" t="n">
        <v>1227.620689655172</v>
      </c>
      <c r="O10" s="12" t="n">
        <v>1.141972734562951</v>
      </c>
      <c r="P10" s="11" t="n">
        <v>1454</v>
      </c>
      <c r="Q10" s="11" t="n">
        <v>0</v>
      </c>
      <c r="S10" s="10" t="n">
        <v>31175</v>
      </c>
    </row>
    <row r="11">
      <c r="C11" s="13" t="inlineStr">
        <is>
          <t>Total/Wtd Average</t>
        </is>
      </c>
      <c r="D11" s="13" t="n"/>
      <c r="E11" s="13" t="n"/>
      <c r="F11" s="14" t="n">
        <v>362</v>
      </c>
      <c r="G11" s="15" t="n">
        <v>384</v>
      </c>
      <c r="H11" s="16" t="n">
        <v>365100</v>
      </c>
      <c r="I11" s="16" t="n">
        <v>950.78125</v>
      </c>
      <c r="J11" s="17" t="n">
        <v>429482</v>
      </c>
      <c r="K11" s="17" t="n">
        <v>1118.442708333333</v>
      </c>
      <c r="L11" s="18" t="n">
        <v>1.176340728567516</v>
      </c>
      <c r="M11" s="17" t="n">
        <v>385359</v>
      </c>
      <c r="N11" s="17" t="n">
        <v>1064.527624309392</v>
      </c>
      <c r="O11" s="18" t="n">
        <v>1.116982608695652</v>
      </c>
      <c r="P11" s="17" t="n">
        <v>1212.658854166667</v>
      </c>
      <c r="Q11" s="17" t="n">
        <v>0</v>
      </c>
      <c r="S11" s="16" t="n">
        <v>345000</v>
      </c>
    </row>
    <row r="13">
      <c r="C13" s="19" t="inlineStr">
        <is>
          <t>Total Units</t>
        </is>
      </c>
      <c r="D13" s="20" t="n"/>
      <c r="E13" s="20" t="n"/>
      <c r="F13" s="20" t="n"/>
      <c r="G13" s="21" t="n">
        <v>384</v>
      </c>
    </row>
    <row r="14">
      <c r="C14" s="19" t="inlineStr">
        <is>
          <t>Occupied Units</t>
        </is>
      </c>
      <c r="D14" s="20" t="n"/>
      <c r="E14" s="20" t="n"/>
      <c r="F14" s="20" t="n"/>
      <c r="G14" s="21" t="n">
        <v>362</v>
      </c>
    </row>
    <row r="15">
      <c r="C15" s="19" t="inlineStr">
        <is>
          <t>Unit Occupancy</t>
        </is>
      </c>
      <c r="D15" s="20" t="n"/>
      <c r="E15" s="20" t="n"/>
      <c r="F15" s="20" t="n"/>
      <c r="G15" s="22" t="n">
        <v>0.9427083333333334</v>
      </c>
    </row>
    <row r="16">
      <c r="C16" s="19" t="inlineStr">
        <is>
          <t>Total Square Feet</t>
        </is>
      </c>
      <c r="D16" s="20" t="n"/>
      <c r="E16" s="20" t="n"/>
      <c r="F16" s="20" t="n"/>
      <c r="G16" s="23" t="n">
        <v>365100</v>
      </c>
    </row>
    <row r="17">
      <c r="C17" s="19" t="inlineStr">
        <is>
          <t>Occupied Square Feet</t>
        </is>
      </c>
      <c r="D17" s="20" t="n"/>
      <c r="E17" s="20" t="n"/>
      <c r="F17" s="20" t="n"/>
      <c r="G17" s="23" t="n">
        <v>345000</v>
      </c>
    </row>
    <row r="18">
      <c r="C18" s="19" t="inlineStr">
        <is>
          <t>Square Feet Occupancy</t>
        </is>
      </c>
      <c r="D18" s="20" t="n"/>
      <c r="E18" s="20" t="n"/>
      <c r="F18" s="20" t="n"/>
      <c r="G18" s="22" t="n">
        <v>0.9449465899753492</v>
      </c>
    </row>
    <row r="20">
      <c r="C20" s="19" t="inlineStr">
        <is>
          <t>Market Rent Annualized</t>
        </is>
      </c>
      <c r="D20" s="20" t="n"/>
      <c r="E20" s="20" t="n"/>
      <c r="F20" s="20" t="n"/>
      <c r="G20" s="24" t="n">
        <v>5153784</v>
      </c>
    </row>
    <row r="21">
      <c r="C21" s="19" t="inlineStr">
        <is>
          <t>In-Place Rent Annualized</t>
        </is>
      </c>
      <c r="D21" s="20" t="n"/>
      <c r="E21" s="20" t="n"/>
      <c r="F21" s="20" t="n"/>
      <c r="G21" s="24" t="n">
        <v>4624308</v>
      </c>
    </row>
    <row r="22">
      <c r="C22" s="19" t="inlineStr">
        <is>
          <t>Other Income Annualized</t>
        </is>
      </c>
      <c r="D22" s="20" t="n"/>
      <c r="E22" s="20" t="n"/>
      <c r="F22" s="20" t="n"/>
      <c r="G22" s="24" t="n">
        <v>0</v>
      </c>
    </row>
    <row r="41">
      <c r="U41" s="25" t="inlineStr">
        <is>
          <t>Links from source data:</t>
        </is>
      </c>
    </row>
    <row r="42">
      <c r="U42" s="26" t="inlineStr">
        <is>
          <t>Total # units</t>
        </is>
      </c>
      <c r="W42" s="27" t="n">
        <v>384</v>
      </c>
    </row>
    <row r="43">
      <c r="U43" s="26" t="inlineStr">
        <is>
          <t>Occ Units</t>
        </is>
      </c>
      <c r="W43" s="27" t="n">
        <v>362</v>
      </c>
    </row>
    <row r="44">
      <c r="U44" s="26" t="inlineStr">
        <is>
          <t>Unit %Occ</t>
        </is>
      </c>
      <c r="W44" s="28" t="n">
        <v>0.9427083333333334</v>
      </c>
    </row>
    <row r="45">
      <c r="U45" s="26" t="inlineStr">
        <is>
          <t>Net Sq Ft</t>
        </is>
      </c>
      <c r="W45" s="27" t="n">
        <v>365100</v>
      </c>
    </row>
    <row r="46">
      <c r="U46" s="26" t="inlineStr">
        <is>
          <t>SF Occ</t>
        </is>
      </c>
      <c r="W46" s="27" t="n">
        <v>345000</v>
      </c>
    </row>
    <row r="47">
      <c r="U47" s="26" t="inlineStr">
        <is>
          <t>% SF Occ</t>
        </is>
      </c>
      <c r="W47" s="28" t="n">
        <v>0.9449465899753492</v>
      </c>
    </row>
    <row r="48">
      <c r="U48" s="26" t="inlineStr">
        <is>
          <t>Mkt Rent</t>
        </is>
      </c>
      <c r="W48" s="27" t="n">
        <v>429482</v>
      </c>
    </row>
    <row r="49">
      <c r="U49" s="26" t="inlineStr">
        <is>
          <t>Cont Rent</t>
        </is>
      </c>
      <c r="W49" s="27" t="n">
        <v>385359</v>
      </c>
    </row>
    <row r="50">
      <c r="U50" s="26" t="inlineStr">
        <is>
          <t>Conc</t>
        </is>
      </c>
      <c r="W50" s="27" t="n">
        <v>-1135</v>
      </c>
    </row>
    <row r="51">
      <c r="U51" s="26" t="inlineStr">
        <is>
          <t>Other Inc</t>
        </is>
      </c>
      <c r="W51" s="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AB66"/>
  <sheetViews>
    <sheetView showGridLines="0" workbookViewId="0">
      <selection activeCell="A1" sqref="A1"/>
    </sheetView>
  </sheetViews>
  <sheetFormatPr baseColWidth="8" defaultRowHeight="15"/>
  <cols>
    <col width="0.6" customWidth="1" min="1" max="1"/>
    <col width="0.6" customWidth="1" min="3" max="3"/>
    <col width="28.4" customWidth="1" min="4" max="4"/>
    <col width="20.1" customWidth="1" min="5" max="5"/>
    <col width="13.6" customWidth="1" min="6" max="6"/>
    <col width="15.4" customWidth="1" min="7" max="7"/>
    <col width="13.6" customWidth="1" min="8" max="8"/>
    <col width="13.1" customWidth="1" min="9" max="9"/>
    <col width="15.4" customWidth="1" min="10" max="10"/>
    <col width="12.1" customWidth="1" min="11" max="11"/>
    <col width="14.4" customWidth="1" min="12" max="12"/>
    <col width="12.1" customWidth="1" min="14" max="14"/>
    <col width="9.6" customWidth="1" min="15" max="15"/>
    <col width="12.1" customWidth="1" min="16" max="16"/>
    <col width="9.6" customWidth="1" min="17" max="17"/>
    <col width="12.1" customWidth="1" min="18" max="18"/>
    <col width="9.6" customWidth="1" min="19" max="19"/>
    <col width="12.1" customWidth="1" min="20" max="20"/>
    <col width="9.6" customWidth="1" min="21" max="21"/>
    <col width="12.1" customWidth="1" min="22" max="22"/>
    <col width="9.6" customWidth="1" min="23" max="23"/>
    <col width="0.6" customWidth="1" min="24" max="24"/>
    <col width="16.4" customWidth="1" min="25" max="25"/>
    <col width="17.4" customWidth="1" min="26" max="26"/>
    <col width="9.4" customWidth="1" min="27" max="27"/>
  </cols>
  <sheetData>
    <row r="3">
      <c r="C3" s="1" t="inlineStr">
        <is>
          <t>RECENT LEASE SUMMARY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29" t="inlineStr">
        <is>
          <t>Station J Town</t>
        </is>
      </c>
      <c r="Y3" s="30" t="n">
        <v>46164</v>
      </c>
      <c r="Z3" s="26" t="inlineStr">
        <is>
          <t>&lt;---- RR Date</t>
        </is>
      </c>
    </row>
    <row r="5">
      <c r="C5" s="31" t="inlineStr">
        <is>
          <t>All Units</t>
        </is>
      </c>
      <c r="D5" s="31" t="n"/>
      <c r="E5" s="31" t="n"/>
      <c r="F5" s="31" t="n"/>
      <c r="G5" s="31" t="n"/>
      <c r="H5" s="31" t="n"/>
      <c r="I5" s="31" t="n"/>
      <c r="J5" s="31" t="n"/>
      <c r="K5" s="32" t="inlineStr">
        <is>
          <t>Occupied Units</t>
        </is>
      </c>
      <c r="L5" s="31" t="n"/>
      <c r="M5" s="31" t="n"/>
      <c r="N5" s="32" t="inlineStr">
        <is>
          <t>Recent Leases</t>
        </is>
      </c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</row>
    <row r="6">
      <c r="C6" s="3" t="n"/>
      <c r="D6" s="4" t="inlineStr">
        <is>
          <t>Property Name</t>
        </is>
      </c>
      <c r="E6" s="4" t="inlineStr">
        <is>
          <t>Floor Plan</t>
        </is>
      </c>
      <c r="F6" s="5" t="inlineStr">
        <is>
          <t>Occ Units</t>
        </is>
      </c>
      <c r="G6" s="5" t="inlineStr">
        <is>
          <t>Tot Units</t>
        </is>
      </c>
      <c r="H6" s="5" t="inlineStr">
        <is>
          <t>Sq. Ft</t>
        </is>
      </c>
      <c r="I6" s="5" t="inlineStr">
        <is>
          <t>Avg SF</t>
        </is>
      </c>
      <c r="J6" s="5" t="inlineStr">
        <is>
          <t>Market Rent</t>
        </is>
      </c>
      <c r="K6" s="33" t="inlineStr">
        <is>
          <t>Market Rent</t>
        </is>
      </c>
      <c r="L6" s="5" t="inlineStr">
        <is>
          <t>In-Place Rent</t>
        </is>
      </c>
      <c r="M6" s="5" t="inlineStr">
        <is>
          <t>% of Market</t>
        </is>
      </c>
      <c r="N6" s="34" t="inlineStr">
        <is>
          <t>180 Days</t>
        </is>
      </c>
      <c r="O6" s="5" t="inlineStr">
        <is>
          <t># Leases</t>
        </is>
      </c>
      <c r="P6" s="35" t="inlineStr">
        <is>
          <t>120 Days</t>
        </is>
      </c>
      <c r="Q6" s="5" t="inlineStr">
        <is>
          <t># Leases</t>
        </is>
      </c>
      <c r="R6" s="35" t="inlineStr">
        <is>
          <t>90 Days</t>
        </is>
      </c>
      <c r="S6" s="5" t="inlineStr">
        <is>
          <t># Leases</t>
        </is>
      </c>
      <c r="T6" s="35" t="inlineStr">
        <is>
          <t>60 Days</t>
        </is>
      </c>
      <c r="U6" s="5" t="inlineStr">
        <is>
          <t># Leases</t>
        </is>
      </c>
      <c r="V6" s="35" t="inlineStr">
        <is>
          <t>30 Days</t>
        </is>
      </c>
      <c r="W6" s="5" t="inlineStr">
        <is>
          <t># Leases</t>
        </is>
      </c>
    </row>
    <row r="7">
      <c r="D7" s="36" t="inlineStr">
        <is>
          <t>Station J Town</t>
        </is>
      </c>
      <c r="E7" s="36" t="inlineStr">
        <is>
          <t>1 BD / 1 BA</t>
        </is>
      </c>
      <c r="F7" s="37" t="n">
        <v>64</v>
      </c>
      <c r="G7" s="9" t="n">
        <v>72</v>
      </c>
      <c r="H7" s="10" t="n">
        <v>61200</v>
      </c>
      <c r="I7" s="10" t="n">
        <v>850</v>
      </c>
      <c r="J7" s="11" t="n">
        <v>1002.986111111111</v>
      </c>
      <c r="K7" s="38" t="n">
        <v>1004.609375</v>
      </c>
      <c r="L7" s="11" t="n">
        <v>929.578125</v>
      </c>
      <c r="M7" s="39" t="n">
        <v>0.9253130103429504</v>
      </c>
      <c r="N7" s="38" t="n">
        <v>882</v>
      </c>
      <c r="O7" s="40" t="n">
        <v>10</v>
      </c>
      <c r="P7" s="11" t="n">
        <v>863.75</v>
      </c>
      <c r="Q7" s="40" t="n">
        <v>8</v>
      </c>
      <c r="R7" s="11" t="n">
        <v>823.3333333333334</v>
      </c>
      <c r="S7" s="40" t="n">
        <v>6</v>
      </c>
      <c r="T7" s="11" t="n">
        <v>655</v>
      </c>
      <c r="U7" s="40" t="n">
        <v>3</v>
      </c>
      <c r="V7" s="11" t="n">
        <v>655</v>
      </c>
      <c r="W7" s="40" t="n">
        <v>3</v>
      </c>
    </row>
    <row r="8">
      <c r="D8" s="36" t="inlineStr">
        <is>
          <t>Station J Town</t>
        </is>
      </c>
      <c r="E8" s="36" t="inlineStr">
        <is>
          <t>2 BD / 1 BA</t>
        </is>
      </c>
      <c r="F8" s="37" t="n">
        <v>196</v>
      </c>
      <c r="G8" s="9" t="n">
        <v>208</v>
      </c>
      <c r="H8" s="10" t="n">
        <v>197600</v>
      </c>
      <c r="I8" s="10" t="n">
        <v>950</v>
      </c>
      <c r="J8" s="11" t="n">
        <v>1091.129807692308</v>
      </c>
      <c r="K8" s="38" t="n">
        <v>1094.821428571429</v>
      </c>
      <c r="L8" s="11" t="n">
        <v>1053.188775510204</v>
      </c>
      <c r="M8" s="39" t="n">
        <v>0.961973110888459</v>
      </c>
      <c r="N8" s="38" t="n">
        <v>1059.25</v>
      </c>
      <c r="O8" s="40" t="n">
        <v>36</v>
      </c>
      <c r="P8" s="11" t="n">
        <v>1067.454545454545</v>
      </c>
      <c r="Q8" s="40" t="n">
        <v>33</v>
      </c>
      <c r="R8" s="11" t="n">
        <v>1074</v>
      </c>
      <c r="S8" s="40" t="n">
        <v>25</v>
      </c>
      <c r="T8" s="11" t="n">
        <v>1079.666666666667</v>
      </c>
      <c r="U8" s="40" t="n">
        <v>15</v>
      </c>
      <c r="V8" s="11" t="n">
        <v>1080.714285714286</v>
      </c>
      <c r="W8" s="40" t="n">
        <v>7</v>
      </c>
    </row>
    <row r="9">
      <c r="D9" s="36" t="inlineStr">
        <is>
          <t>Station J Town</t>
        </is>
      </c>
      <c r="E9" s="36" t="inlineStr">
        <is>
          <t>2 BD / 1.5 BA</t>
        </is>
      </c>
      <c r="F9" s="37" t="n">
        <v>42</v>
      </c>
      <c r="G9" s="9" t="n">
        <v>44</v>
      </c>
      <c r="H9" s="10" t="n">
        <v>41800</v>
      </c>
      <c r="I9" s="10" t="n">
        <v>950</v>
      </c>
      <c r="J9" s="11" t="n">
        <v>1131.068181818182</v>
      </c>
      <c r="K9" s="38" t="n">
        <v>1131</v>
      </c>
      <c r="L9" s="11" t="n">
        <v>1072.595238095238</v>
      </c>
      <c r="M9" s="39" t="n">
        <v>0.9483600690497243</v>
      </c>
      <c r="N9" s="38" t="n">
        <v>1123.571428571429</v>
      </c>
      <c r="O9" s="40" t="n">
        <v>7</v>
      </c>
      <c r="P9" s="11" t="n">
        <v>1131.666666666667</v>
      </c>
      <c r="Q9" s="40" t="n">
        <v>6</v>
      </c>
      <c r="R9" s="11" t="n">
        <v>1158</v>
      </c>
      <c r="S9" s="40" t="n">
        <v>5</v>
      </c>
      <c r="T9" s="11" t="n">
        <v>1075</v>
      </c>
      <c r="U9" s="40" t="n">
        <v>1</v>
      </c>
      <c r="V9" s="11" t="inlineStr">
        <is>
          <t>n/a</t>
        </is>
      </c>
      <c r="W9" s="40" t="n">
        <v>0</v>
      </c>
    </row>
    <row r="10">
      <c r="D10" s="36" t="inlineStr">
        <is>
          <t>Station J Town</t>
        </is>
      </c>
      <c r="E10" s="36" t="inlineStr">
        <is>
          <t>3 BD / 1 BA - A</t>
        </is>
      </c>
      <c r="F10" s="37" t="n">
        <v>31</v>
      </c>
      <c r="G10" s="9" t="n">
        <v>31</v>
      </c>
      <c r="H10" s="10" t="n">
        <v>33325</v>
      </c>
      <c r="I10" s="10" t="n">
        <v>1075</v>
      </c>
      <c r="J10" s="11" t="n">
        <v>1331.129032258065</v>
      </c>
      <c r="K10" s="38" t="n">
        <v>1331.129032258065</v>
      </c>
      <c r="L10" s="11" t="n">
        <v>1251.322580645161</v>
      </c>
      <c r="M10" s="39" t="n">
        <v>0.9400460438628376</v>
      </c>
      <c r="N10" s="38" t="n">
        <v>1150.375</v>
      </c>
      <c r="O10" s="40" t="n">
        <v>8</v>
      </c>
      <c r="P10" s="11" t="n">
        <v>1380</v>
      </c>
      <c r="Q10" s="40" t="n">
        <v>2</v>
      </c>
      <c r="R10" s="11" t="n">
        <v>1380</v>
      </c>
      <c r="S10" s="40" t="n">
        <v>1</v>
      </c>
      <c r="T10" s="11" t="n">
        <v>1380</v>
      </c>
      <c r="U10" s="40" t="n">
        <v>1</v>
      </c>
      <c r="V10" s="11" t="inlineStr">
        <is>
          <t>n/a</t>
        </is>
      </c>
      <c r="W10" s="40" t="n">
        <v>0</v>
      </c>
    </row>
    <row r="11">
      <c r="D11" s="36" t="inlineStr">
        <is>
          <t>Station J Town</t>
        </is>
      </c>
      <c r="E11" s="36" t="inlineStr">
        <is>
          <t>3 BD / 1.5 BA</t>
        </is>
      </c>
      <c r="F11" s="37" t="n">
        <v>29</v>
      </c>
      <c r="G11" s="9" t="n">
        <v>29</v>
      </c>
      <c r="H11" s="10" t="n">
        <v>31175</v>
      </c>
      <c r="I11" s="10" t="n">
        <v>1075</v>
      </c>
      <c r="J11" s="11" t="n">
        <v>1354.48275862069</v>
      </c>
      <c r="K11" s="38" t="n">
        <v>1354.48275862069</v>
      </c>
      <c r="L11" s="11" t="n">
        <v>1227.620689655172</v>
      </c>
      <c r="M11" s="39" t="n">
        <v>0.9063391038696537</v>
      </c>
      <c r="N11" s="38" t="n">
        <v>1302.4</v>
      </c>
      <c r="O11" s="40" t="n">
        <v>5</v>
      </c>
      <c r="P11" s="11" t="n">
        <v>1378.25</v>
      </c>
      <c r="Q11" s="40" t="n">
        <v>4</v>
      </c>
      <c r="R11" s="11" t="n">
        <v>1421</v>
      </c>
      <c r="S11" s="40" t="n">
        <v>3</v>
      </c>
      <c r="T11" s="11" t="n">
        <v>1406.5</v>
      </c>
      <c r="U11" s="40" t="n">
        <v>2</v>
      </c>
      <c r="V11" s="11" t="n">
        <v>1399</v>
      </c>
      <c r="W11" s="40" t="n">
        <v>1</v>
      </c>
    </row>
    <row r="12">
      <c r="C12" s="13" t="inlineStr">
        <is>
          <t>Total/Wtd Average</t>
        </is>
      </c>
      <c r="D12" s="41" t="n"/>
      <c r="E12" s="41" t="n"/>
      <c r="F12" s="15" t="n">
        <v>362</v>
      </c>
      <c r="G12" s="15" t="n">
        <v>384</v>
      </c>
      <c r="H12" s="16" t="n">
        <v>365100</v>
      </c>
      <c r="I12" s="16" t="n">
        <v>950.78125</v>
      </c>
      <c r="J12" s="17" t="n">
        <v>1118.442708333333</v>
      </c>
      <c r="K12" s="42" t="n">
        <v>1124.10773480663</v>
      </c>
      <c r="L12" s="17" t="n">
        <v>1064.527624309392</v>
      </c>
      <c r="M12" s="43" t="n">
        <v>0.9469978644818358</v>
      </c>
      <c r="N12" s="42" t="inlineStr">
        <is>
          <t>n/a</t>
        </is>
      </c>
      <c r="O12" s="44" t="n">
        <v>66</v>
      </c>
      <c r="P12" s="17" t="inlineStr">
        <is>
          <t>n/a</t>
        </is>
      </c>
      <c r="Q12" s="44" t="n">
        <v>53</v>
      </c>
      <c r="R12" s="17" t="inlineStr">
        <is>
          <t>n/a</t>
        </is>
      </c>
      <c r="S12" s="44" t="n">
        <v>40</v>
      </c>
      <c r="T12" s="17" t="inlineStr">
        <is>
          <t>n/a</t>
        </is>
      </c>
      <c r="U12" s="44" t="n">
        <v>22</v>
      </c>
      <c r="V12" s="17" t="inlineStr">
        <is>
          <t>n/a</t>
        </is>
      </c>
      <c r="W12" s="45" t="n">
        <v>11</v>
      </c>
    </row>
    <row r="58">
      <c r="Z58" s="25" t="inlineStr">
        <is>
          <t>Links from source data:</t>
        </is>
      </c>
    </row>
    <row r="59">
      <c r="Z59" s="26" t="inlineStr">
        <is>
          <t>Total # units</t>
        </is>
      </c>
      <c r="AB59" s="27" t="n">
        <v>384</v>
      </c>
    </row>
    <row r="60">
      <c r="Z60" s="26" t="inlineStr">
        <is>
          <t>Occ Units</t>
        </is>
      </c>
      <c r="AB60" s="27" t="n">
        <v>362</v>
      </c>
    </row>
    <row r="61">
      <c r="Z61" s="26" t="inlineStr">
        <is>
          <t>Unit %Occ</t>
        </is>
      </c>
      <c r="AB61" s="28" t="n">
        <v>0.9427083333333334</v>
      </c>
    </row>
    <row r="62">
      <c r="Z62" s="26" t="inlineStr">
        <is>
          <t>Net Sq Ft</t>
        </is>
      </c>
      <c r="AB62" s="27" t="n">
        <v>365100</v>
      </c>
    </row>
    <row r="63">
      <c r="Z63" s="26" t="inlineStr">
        <is>
          <t>SF Occ</t>
        </is>
      </c>
      <c r="AB63" s="27" t="n">
        <v>345000</v>
      </c>
    </row>
    <row r="64">
      <c r="Z64" s="26" t="inlineStr">
        <is>
          <t>% SF Occ</t>
        </is>
      </c>
      <c r="AB64" s="28" t="n">
        <v>0.9449465899753492</v>
      </c>
    </row>
    <row r="65">
      <c r="Z65" s="26" t="inlineStr">
        <is>
          <t>Mkt Rent</t>
        </is>
      </c>
      <c r="AB65" s="27" t="n">
        <v>429482</v>
      </c>
    </row>
    <row r="66">
      <c r="Z66" s="26" t="inlineStr">
        <is>
          <t>Cont Rent</t>
        </is>
      </c>
      <c r="AB66" s="27" t="n">
        <v>385359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S20"/>
  <sheetViews>
    <sheetView showGridLines="0" workbookViewId="0">
      <selection activeCell="A1" sqref="A1"/>
    </sheetView>
  </sheetViews>
  <sheetFormatPr baseColWidth="8" defaultRowHeight="15"/>
  <cols>
    <col width="0.9" customWidth="1" min="1" max="1"/>
    <col width="0.9" customWidth="1" min="3" max="3"/>
    <col width="40" customWidth="1" min="4" max="4"/>
    <col width="18" customWidth="1" min="5" max="5"/>
    <col width="15.4" customWidth="1" min="6" max="6"/>
    <col width="14.1" customWidth="1" min="7" max="7"/>
    <col width="15.4" customWidth="1" min="8" max="8"/>
    <col width="13.9" customWidth="1" min="9" max="9"/>
    <col width="12.1" customWidth="1" min="10" max="10"/>
    <col width="12.4" customWidth="1" min="11" max="11"/>
    <col width="14.4" customWidth="1" min="12" max="12"/>
    <col width="12.4" customWidth="1" min="13" max="13"/>
    <col width="15" customWidth="1" min="14" max="14"/>
    <col width="13.1" customWidth="1" min="15" max="15"/>
    <col width="12.4" customWidth="1" min="17" max="17"/>
    <col width="0.9" customWidth="1" min="18" max="18"/>
    <col width="13.4" customWidth="1" min="19" max="19"/>
    <col width="9.4" customWidth="1" min="20" max="20"/>
    <col width="7.1" customWidth="1" min="21" max="21"/>
    <col width="9.4" customWidth="1" min="22" max="22"/>
    <col width="9.4" customWidth="1" min="23" max="23"/>
  </cols>
  <sheetData>
    <row r="3">
      <c r="C3" s="1" t="inlineStr">
        <is>
          <t>UNIT MIX &amp; RENT ROLL SUMMARY (Based on # of beds only)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inlineStr">
        <is>
          <t>Station J Town</t>
        </is>
      </c>
    </row>
    <row r="5">
      <c r="C5" s="3" t="n"/>
      <c r="D5" s="4" t="inlineStr">
        <is>
          <t>Property Name</t>
        </is>
      </c>
      <c r="E5" s="4" t="inlineStr">
        <is>
          <t>Bed</t>
        </is>
      </c>
      <c r="F5" s="5" t="inlineStr">
        <is>
          <t>Occ Units</t>
        </is>
      </c>
      <c r="G5" s="5" t="inlineStr">
        <is>
          <t>Tot Units</t>
        </is>
      </c>
      <c r="H5" s="5" t="inlineStr">
        <is>
          <t>Sq. Ft</t>
        </is>
      </c>
      <c r="I5" s="5" t="inlineStr">
        <is>
          <t>Avg SF</t>
        </is>
      </c>
      <c r="J5" s="5" t="inlineStr">
        <is>
          <t>Mkt Rent</t>
        </is>
      </c>
      <c r="K5" s="5" t="inlineStr">
        <is>
          <t>Avg Mkt/Unit</t>
        </is>
      </c>
      <c r="L5" s="5" t="inlineStr">
        <is>
          <t>AvgMkt/SF</t>
        </is>
      </c>
      <c r="M5" s="5" t="inlineStr">
        <is>
          <t>Cont Rent</t>
        </is>
      </c>
      <c r="N5" s="5" t="inlineStr">
        <is>
          <t>Avg Cont/Unit</t>
        </is>
      </c>
      <c r="O5" s="5" t="inlineStr">
        <is>
          <t>AvgCont/SF</t>
        </is>
      </c>
      <c r="P5" s="5" t="inlineStr">
        <is>
          <t>Max Rent</t>
        </is>
      </c>
      <c r="Q5" s="5" t="inlineStr">
        <is>
          <t>Other Inc.</t>
        </is>
      </c>
      <c r="S5" s="6" t="inlineStr">
        <is>
          <t>Sq. Ft. (Occ)</t>
        </is>
      </c>
    </row>
    <row r="6">
      <c r="D6" s="7" t="inlineStr">
        <is>
          <t>Station J Town</t>
        </is>
      </c>
      <c r="E6" s="46" t="n">
        <v>1</v>
      </c>
      <c r="F6" s="8" t="n">
        <v>64</v>
      </c>
      <c r="G6" s="9" t="n">
        <v>72</v>
      </c>
      <c r="H6" s="10" t="n">
        <v>61200</v>
      </c>
      <c r="I6" s="10" t="n">
        <v>850</v>
      </c>
      <c r="J6" s="11" t="n">
        <v>72215</v>
      </c>
      <c r="K6" s="11" t="n">
        <v>1002.986111111111</v>
      </c>
      <c r="L6" s="12" t="n">
        <v>1.179983660130719</v>
      </c>
      <c r="M6" s="11" t="n">
        <v>59493</v>
      </c>
      <c r="N6" s="11" t="n">
        <v>929.578125</v>
      </c>
      <c r="O6" s="12" t="n">
        <v>1.093621323529412</v>
      </c>
      <c r="P6" s="11" t="n">
        <v>1050</v>
      </c>
      <c r="Q6" s="11" t="n">
        <v>0</v>
      </c>
      <c r="S6" s="10" t="n">
        <v>54400</v>
      </c>
    </row>
    <row r="7">
      <c r="D7" s="7" t="inlineStr">
        <is>
          <t>Station J Town</t>
        </is>
      </c>
      <c r="E7" s="46" t="n">
        <v>2</v>
      </c>
      <c r="F7" s="8" t="n">
        <v>238</v>
      </c>
      <c r="G7" s="9" t="n">
        <v>252</v>
      </c>
      <c r="H7" s="10" t="n">
        <v>239400</v>
      </c>
      <c r="I7" s="10" t="n">
        <v>950</v>
      </c>
      <c r="J7" s="11" t="n">
        <v>276722</v>
      </c>
      <c r="K7" s="11" t="n">
        <v>1098.103174603175</v>
      </c>
      <c r="L7" s="12" t="n">
        <v>1.155898078529658</v>
      </c>
      <c r="M7" s="11" t="n">
        <v>251474</v>
      </c>
      <c r="N7" s="11" t="n">
        <v>1056.613445378151</v>
      </c>
      <c r="O7" s="12" t="n">
        <v>1.112224679345422</v>
      </c>
      <c r="P7" s="11" t="n">
        <v>1230</v>
      </c>
      <c r="Q7" s="11" t="n">
        <v>0</v>
      </c>
      <c r="S7" s="10" t="n">
        <v>226100</v>
      </c>
    </row>
    <row r="8">
      <c r="D8" s="7" t="inlineStr">
        <is>
          <t>Station J Town</t>
        </is>
      </c>
      <c r="E8" s="46" t="n">
        <v>3</v>
      </c>
      <c r="F8" s="8" t="n">
        <v>60</v>
      </c>
      <c r="G8" s="9" t="n">
        <v>60</v>
      </c>
      <c r="H8" s="10" t="n">
        <v>64500</v>
      </c>
      <c r="I8" s="10" t="n">
        <v>1075</v>
      </c>
      <c r="J8" s="11" t="n">
        <v>80545</v>
      </c>
      <c r="K8" s="11" t="n">
        <v>1342.416666666667</v>
      </c>
      <c r="L8" s="12" t="n">
        <v>1.248759689922481</v>
      </c>
      <c r="M8" s="11" t="n">
        <v>74392</v>
      </c>
      <c r="N8" s="11" t="n">
        <v>1239.866666666667</v>
      </c>
      <c r="O8" s="12" t="n">
        <v>1.153364341085271</v>
      </c>
      <c r="P8" s="11" t="n">
        <v>1454</v>
      </c>
      <c r="Q8" s="11" t="n">
        <v>0</v>
      </c>
      <c r="S8" s="10" t="n">
        <v>64500</v>
      </c>
    </row>
    <row r="9">
      <c r="C9" s="13" t="inlineStr">
        <is>
          <t>Total/Wtd Average</t>
        </is>
      </c>
      <c r="D9" s="13" t="n"/>
      <c r="E9" s="13" t="n"/>
      <c r="F9" s="14" t="n">
        <v>362</v>
      </c>
      <c r="G9" s="15" t="n">
        <v>384</v>
      </c>
      <c r="H9" s="16" t="n">
        <v>365100</v>
      </c>
      <c r="I9" s="16" t="n">
        <v>950.78125</v>
      </c>
      <c r="J9" s="17" t="n">
        <v>429482</v>
      </c>
      <c r="K9" s="17" t="n">
        <v>1118.442708333333</v>
      </c>
      <c r="L9" s="18" t="n">
        <v>1.176340728567516</v>
      </c>
      <c r="M9" s="17" t="n">
        <v>385359</v>
      </c>
      <c r="N9" s="17" t="n">
        <v>1064.527624309392</v>
      </c>
      <c r="O9" s="18" t="n">
        <v>1.116982608695652</v>
      </c>
      <c r="P9" s="17" t="inlineStr">
        <is>
          <t>N/A</t>
        </is>
      </c>
      <c r="Q9" s="17" t="n">
        <v>0</v>
      </c>
      <c r="S9" s="16" t="n">
        <v>345000</v>
      </c>
    </row>
    <row r="11">
      <c r="C11" s="19" t="inlineStr">
        <is>
          <t>Total Units</t>
        </is>
      </c>
      <c r="D11" s="20" t="n"/>
      <c r="E11" s="20" t="n"/>
      <c r="F11" s="20" t="n"/>
      <c r="G11" s="21" t="n">
        <v>384</v>
      </c>
    </row>
    <row r="12">
      <c r="C12" s="19" t="inlineStr">
        <is>
          <t>Occupied Units</t>
        </is>
      </c>
      <c r="D12" s="20" t="n"/>
      <c r="E12" s="20" t="n"/>
      <c r="F12" s="20" t="n"/>
      <c r="G12" s="21" t="n">
        <v>362</v>
      </c>
    </row>
    <row r="13">
      <c r="C13" s="19" t="inlineStr">
        <is>
          <t>Unit Occupancy</t>
        </is>
      </c>
      <c r="D13" s="20" t="n"/>
      <c r="E13" s="20" t="n"/>
      <c r="F13" s="20" t="n"/>
      <c r="G13" s="22" t="n">
        <v>0.9427083333333334</v>
      </c>
    </row>
    <row r="14">
      <c r="C14" s="19" t="inlineStr">
        <is>
          <t>Total Square Feet</t>
        </is>
      </c>
      <c r="D14" s="20" t="n"/>
      <c r="E14" s="20" t="n"/>
      <c r="F14" s="20" t="n"/>
      <c r="G14" s="23" t="n">
        <v>365100</v>
      </c>
    </row>
    <row r="15">
      <c r="C15" s="19" t="inlineStr">
        <is>
          <t>Occupied Square Feet</t>
        </is>
      </c>
      <c r="D15" s="20" t="n"/>
      <c r="E15" s="20" t="n"/>
      <c r="F15" s="20" t="n"/>
      <c r="G15" s="23" t="n">
        <v>345000</v>
      </c>
    </row>
    <row r="16">
      <c r="C16" s="19" t="inlineStr">
        <is>
          <t>Square Feet Occupancy</t>
        </is>
      </c>
      <c r="D16" s="20" t="n"/>
      <c r="E16" s="20" t="n"/>
      <c r="F16" s="20" t="n"/>
      <c r="G16" s="22" t="n">
        <v>0.9449465899753492</v>
      </c>
    </row>
    <row r="18">
      <c r="C18" s="19" t="inlineStr">
        <is>
          <t>Market Rent Annualized</t>
        </is>
      </c>
      <c r="D18" s="20" t="n"/>
      <c r="E18" s="20" t="n"/>
      <c r="F18" s="20" t="n"/>
      <c r="G18" s="24" t="n">
        <v>5153784</v>
      </c>
    </row>
    <row r="19">
      <c r="C19" s="19" t="inlineStr">
        <is>
          <t>In-Place Rent Annualized</t>
        </is>
      </c>
      <c r="D19" s="20" t="n"/>
      <c r="E19" s="20" t="n"/>
      <c r="F19" s="20" t="n"/>
      <c r="G19" s="24" t="n">
        <v>4624308</v>
      </c>
    </row>
    <row r="20">
      <c r="C20" s="19" t="inlineStr">
        <is>
          <t>Other Income Annualized</t>
        </is>
      </c>
      <c r="D20" s="20" t="n"/>
      <c r="E20" s="20" t="n"/>
      <c r="F20" s="20" t="n"/>
      <c r="G20" s="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AG39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0.9" customWidth="1" min="1" max="1"/>
    <col width="23.4" customWidth="1" min="4" max="4"/>
    <col width="13" customWidth="1" min="5" max="5"/>
    <col width="15.9" customWidth="1" min="6" max="6"/>
    <col width="18" customWidth="1" min="7" max="7"/>
    <col width="9.1" customWidth="1" min="8" max="8"/>
    <col width="9.1" customWidth="1" min="9" max="9"/>
    <col width="12.1" customWidth="1" min="10" max="10"/>
    <col width="17.9" customWidth="1" min="11" max="11"/>
    <col width="12.1" customWidth="1" min="12" max="12"/>
    <col width="6.4" customWidth="1" min="13" max="13"/>
    <col width="6.9" customWidth="1" min="15" max="15"/>
    <col width="6.9" customWidth="1" min="16" max="16"/>
    <col width="6.4" customWidth="1" min="17" max="17"/>
    <col width="5.9" customWidth="1" min="18" max="18"/>
    <col width="11" customWidth="1" min="19" max="19"/>
    <col width="11.4" customWidth="1" min="21" max="21"/>
    <col width="11.4" customWidth="1" min="22" max="22"/>
    <col width="11.4" customWidth="1" min="23" max="23"/>
    <col width="10.9" customWidth="1" min="24" max="24"/>
    <col width="10.4" customWidth="1" min="25" max="25"/>
    <col width="12.9" customWidth="1" min="26" max="26"/>
    <col width="14.4" customWidth="1" min="27" max="27"/>
    <col width="15.4" customWidth="1" min="28" max="28"/>
    <col width="0.9" customWidth="1" min="29" max="29"/>
    <col width="0.9" customWidth="1" min="30" max="30"/>
    <col width="15.4" customWidth="1" min="31" max="31"/>
    <col width="10.4" customWidth="1" min="32" max="32"/>
    <col width="9.4" customWidth="1" min="33" max="33"/>
  </cols>
  <sheetData>
    <row r="3">
      <c r="C3" s="47" t="inlineStr">
        <is>
          <t>PRESENTATION RENT ROLL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48" t="n"/>
      <c r="AD3" s="2" t="inlineStr">
        <is>
          <t>Station J Town</t>
        </is>
      </c>
    </row>
    <row r="5">
      <c r="C5" s="49" t="inlineStr">
        <is>
          <t>UNIT INFORMATION</t>
        </is>
      </c>
      <c r="D5" s="49" t="n"/>
      <c r="E5" s="49" t="n"/>
      <c r="F5" s="49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inlineStr">
        <is>
          <t>UNIT STATUS</t>
        </is>
      </c>
      <c r="P5" s="49" t="n"/>
      <c r="Q5" s="49" t="n"/>
      <c r="R5" s="49" t="n"/>
      <c r="S5" s="49" t="n"/>
      <c r="T5" s="49" t="n"/>
      <c r="U5" s="49" t="n"/>
      <c r="V5" s="49" t="inlineStr">
        <is>
          <t>CURRENT LEASE</t>
        </is>
      </c>
      <c r="W5" s="49" t="n"/>
      <c r="X5" s="49" t="n"/>
      <c r="Y5" s="49" t="n"/>
      <c r="Z5" s="49" t="n"/>
      <c r="AA5" s="49" t="n"/>
      <c r="AB5" s="49" t="n"/>
      <c r="AC5" s="49" t="n"/>
    </row>
    <row r="6">
      <c r="C6" s="3" t="n"/>
      <c r="D6" s="50" t="inlineStr">
        <is>
          <t>Property</t>
        </is>
      </c>
      <c r="E6" s="51" t="inlineStr">
        <is>
          <t>Unit</t>
        </is>
      </c>
      <c r="F6" s="51" t="inlineStr">
        <is>
          <t>Unit</t>
        </is>
      </c>
      <c r="G6" s="51" t="inlineStr">
        <is>
          <t>Floor</t>
        </is>
      </c>
      <c r="H6" s="51" t="inlineStr">
        <is>
          <t>Unit</t>
        </is>
      </c>
      <c r="I6" s="3" t="n"/>
      <c r="J6" s="51" t="inlineStr">
        <is>
          <t>Reno</t>
        </is>
      </c>
      <c r="K6" s="50" t="inlineStr">
        <is>
          <t>Tenant</t>
        </is>
      </c>
      <c r="L6" s="51" t="inlineStr">
        <is>
          <t>Net</t>
        </is>
      </c>
      <c r="M6" s="51" t="inlineStr">
        <is>
          <t>#</t>
        </is>
      </c>
      <c r="N6" s="51" t="inlineStr">
        <is>
          <t>#</t>
        </is>
      </c>
      <c r="O6" s="51" t="inlineStr">
        <is>
          <t>Lease</t>
        </is>
      </c>
      <c r="P6" s="51" t="inlineStr">
        <is>
          <t>Reno</t>
        </is>
      </c>
      <c r="Q6" s="51" t="inlineStr">
        <is>
          <t>Occ</t>
        </is>
      </c>
      <c r="R6" s="3" t="n"/>
      <c r="S6" s="51" t="inlineStr">
        <is>
          <t>Renew</t>
        </is>
      </c>
      <c r="T6" s="51" t="inlineStr">
        <is>
          <t>Asking</t>
        </is>
      </c>
      <c r="U6" s="51" t="inlineStr">
        <is>
          <t>Market</t>
        </is>
      </c>
      <c r="V6" s="51" t="inlineStr">
        <is>
          <t>Contract</t>
        </is>
      </c>
      <c r="W6" s="51" t="inlineStr">
        <is>
          <t>Conc/</t>
        </is>
      </c>
      <c r="X6" s="51" t="inlineStr">
        <is>
          <t>Emp</t>
        </is>
      </c>
      <c r="Y6" s="51" t="inlineStr">
        <is>
          <t>Other</t>
        </is>
      </c>
      <c r="Z6" s="51" t="inlineStr">
        <is>
          <t>Move In</t>
        </is>
      </c>
      <c r="AA6" s="51" t="inlineStr">
        <is>
          <t>Lease</t>
        </is>
      </c>
      <c r="AB6" s="51" t="inlineStr">
        <is>
          <t>Lease</t>
        </is>
      </c>
      <c r="AC6" s="3" t="n"/>
    </row>
    <row r="7">
      <c r="C7" s="3" t="n"/>
      <c r="D7" s="50" t="inlineStr">
        <is>
          <t>Name</t>
        </is>
      </c>
      <c r="E7" s="51" t="inlineStr">
        <is>
          <t>Number</t>
        </is>
      </c>
      <c r="F7" s="51" t="inlineStr">
        <is>
          <t>Type</t>
        </is>
      </c>
      <c r="G7" s="51" t="inlineStr">
        <is>
          <t>Plan</t>
        </is>
      </c>
      <c r="H7" s="52" t="inlineStr">
        <is>
          <t>Designation</t>
        </is>
      </c>
      <c r="I7" s="52" t="inlineStr">
        <is>
          <t>Reno'd?</t>
        </is>
      </c>
      <c r="J7" s="52" t="inlineStr">
        <is>
          <t>Type</t>
        </is>
      </c>
      <c r="K7" s="50" t="inlineStr">
        <is>
          <t>Name</t>
        </is>
      </c>
      <c r="L7" s="51" t="inlineStr">
        <is>
          <t>Sq. Ft.</t>
        </is>
      </c>
      <c r="M7" s="51" t="inlineStr">
        <is>
          <t>Bed</t>
        </is>
      </c>
      <c r="N7" s="51" t="inlineStr">
        <is>
          <t>Bath</t>
        </is>
      </c>
      <c r="O7" s="51" t="inlineStr">
        <is>
          <t>Type</t>
        </is>
      </c>
      <c r="P7" s="51" t="inlineStr">
        <is>
          <t>Stat</t>
        </is>
      </c>
      <c r="Q7" s="51" t="inlineStr">
        <is>
          <t>Stat*</t>
        </is>
      </c>
      <c r="R7" s="51" t="inlineStr">
        <is>
          <t>MTM</t>
        </is>
      </c>
      <c r="S7" s="51" t="inlineStr">
        <is>
          <t>Status</t>
        </is>
      </c>
      <c r="T7" s="51" t="inlineStr">
        <is>
          <t>Rent</t>
        </is>
      </c>
      <c r="U7" s="51" t="inlineStr">
        <is>
          <t>Rent</t>
        </is>
      </c>
      <c r="V7" s="51" t="inlineStr">
        <is>
          <t>Rent</t>
        </is>
      </c>
      <c r="W7" s="51" t="inlineStr">
        <is>
          <t>Specl</t>
        </is>
      </c>
      <c r="X7" s="51" t="inlineStr">
        <is>
          <t>Disc</t>
        </is>
      </c>
      <c r="Y7" s="51" t="inlineStr">
        <is>
          <t>Income</t>
        </is>
      </c>
      <c r="Z7" s="51" t="inlineStr">
        <is>
          <t>Date</t>
        </is>
      </c>
      <c r="AA7" s="51" t="inlineStr">
        <is>
          <t>Start Date</t>
        </is>
      </c>
      <c r="AB7" s="51" t="inlineStr">
        <is>
          <t>End Date</t>
        </is>
      </c>
      <c r="AC7" s="3" t="n"/>
      <c r="AE7" s="53" t="inlineStr">
        <is>
          <t>Market Rent</t>
        </is>
      </c>
      <c r="AF7" s="53" t="inlineStr">
        <is>
          <t>LTL</t>
        </is>
      </c>
      <c r="AG7" s="53" t="inlineStr">
        <is>
          <t>LTL %</t>
        </is>
      </c>
    </row>
    <row r="8">
      <c r="D8" s="36" t="inlineStr">
        <is>
          <t>Station J Town</t>
        </is>
      </c>
      <c r="E8" s="54" t="inlineStr">
        <is>
          <t>A01</t>
        </is>
      </c>
      <c r="F8" s="54" t="inlineStr">
        <is>
          <t>stjt2B1</t>
        </is>
      </c>
      <c r="G8" s="54" t="inlineStr">
        <is>
          <t>2 BD / 1 BA</t>
        </is>
      </c>
      <c r="K8" s="36" t="inlineStr">
        <is>
          <t>Amanda Sandusky</t>
        </is>
      </c>
      <c r="L8" s="55" t="n">
        <v>950</v>
      </c>
      <c r="M8" s="56" t="n">
        <v>2</v>
      </c>
      <c r="N8" s="56" t="n">
        <v>1</v>
      </c>
      <c r="Q8" s="57" t="inlineStr">
        <is>
          <t>Occ</t>
        </is>
      </c>
      <c r="U8" s="58" t="n">
        <v>1075</v>
      </c>
      <c r="V8" s="58" t="n">
        <v>1065</v>
      </c>
      <c r="W8" s="58" t="n">
        <v>0</v>
      </c>
      <c r="X8" s="58" t="n">
        <v>0</v>
      </c>
      <c r="Y8" s="58" t="n">
        <v>0</v>
      </c>
      <c r="Z8" s="59" t="n">
        <v>46097</v>
      </c>
      <c r="AA8" s="59" t="n">
        <v>46097</v>
      </c>
      <c r="AB8" s="59" t="n">
        <v>46461</v>
      </c>
    </row>
    <row r="9">
      <c r="D9" s="36" t="inlineStr">
        <is>
          <t>Station J Town</t>
        </is>
      </c>
      <c r="E9" s="54" t="inlineStr">
        <is>
          <t>A02</t>
        </is>
      </c>
      <c r="F9" s="54" t="inlineStr">
        <is>
          <t>stjt2B1</t>
        </is>
      </c>
      <c r="G9" s="54" t="inlineStr">
        <is>
          <t>2 BD / 1 BA</t>
        </is>
      </c>
      <c r="K9" s="36" t="inlineStr">
        <is>
          <t>Erik Brown</t>
        </is>
      </c>
      <c r="L9" s="55" t="n">
        <v>950</v>
      </c>
      <c r="M9" s="56" t="n">
        <v>2</v>
      </c>
      <c r="N9" s="56" t="n">
        <v>1</v>
      </c>
      <c r="Q9" s="57" t="inlineStr">
        <is>
          <t>Occ</t>
        </is>
      </c>
      <c r="U9" s="58" t="n">
        <v>1075</v>
      </c>
      <c r="V9" s="58" t="n">
        <v>975</v>
      </c>
      <c r="W9" s="58" t="n">
        <v>0</v>
      </c>
      <c r="X9" s="58" t="n">
        <v>0</v>
      </c>
      <c r="Y9" s="58" t="n">
        <v>0</v>
      </c>
      <c r="Z9" s="59" t="n">
        <v>43402</v>
      </c>
      <c r="AA9" s="59" t="n">
        <v>43402</v>
      </c>
      <c r="AB9" s="59" t="n">
        <v>46193</v>
      </c>
    </row>
    <row r="10">
      <c r="D10" s="36" t="inlineStr">
        <is>
          <t>Station J Town</t>
        </is>
      </c>
      <c r="E10" s="54" t="inlineStr">
        <is>
          <t>A03</t>
        </is>
      </c>
      <c r="F10" s="54" t="inlineStr">
        <is>
          <t>stjt2B1R</t>
        </is>
      </c>
      <c r="G10" s="54" t="inlineStr">
        <is>
          <t>2 BD / 1 BA</t>
        </is>
      </c>
      <c r="I10" s="54" t="inlineStr">
        <is>
          <t>Yes</t>
        </is>
      </c>
      <c r="J10" s="54" t="inlineStr">
        <is>
          <t>Full</t>
        </is>
      </c>
      <c r="K10" s="36" t="inlineStr">
        <is>
          <t>Kimberly Carter</t>
        </is>
      </c>
      <c r="L10" s="55" t="n">
        <v>950</v>
      </c>
      <c r="M10" s="56" t="n">
        <v>2</v>
      </c>
      <c r="N10" s="56" t="n">
        <v>1</v>
      </c>
      <c r="Q10" s="57" t="inlineStr">
        <is>
          <t>Occ</t>
        </is>
      </c>
      <c r="U10" s="58" t="n">
        <v>1175</v>
      </c>
      <c r="V10" s="58" t="n">
        <v>1200</v>
      </c>
      <c r="W10" s="58" t="n">
        <v>0</v>
      </c>
      <c r="X10" s="58" t="n">
        <v>0</v>
      </c>
      <c r="Y10" s="58" t="n">
        <v>0</v>
      </c>
      <c r="Z10" s="59" t="n">
        <v>44699</v>
      </c>
      <c r="AA10" s="59" t="n">
        <v>44699</v>
      </c>
      <c r="AB10" s="59" t="n">
        <v>46190</v>
      </c>
    </row>
    <row r="11">
      <c r="D11" s="36" t="inlineStr">
        <is>
          <t>Station J Town</t>
        </is>
      </c>
      <c r="E11" s="54" t="inlineStr">
        <is>
          <t>A04</t>
        </is>
      </c>
      <c r="F11" s="54" t="inlineStr">
        <is>
          <t>stjt2B1</t>
        </is>
      </c>
      <c r="G11" s="54" t="inlineStr">
        <is>
          <t>2 BD / 1 BA</t>
        </is>
      </c>
      <c r="K11" s="36" t="inlineStr">
        <is>
          <t>Susie Perez Quiroa</t>
        </is>
      </c>
      <c r="L11" s="55" t="n">
        <v>950</v>
      </c>
      <c r="M11" s="56" t="n">
        <v>2</v>
      </c>
      <c r="N11" s="56" t="n">
        <v>1</v>
      </c>
      <c r="Q11" s="57" t="inlineStr">
        <is>
          <t>Occ</t>
        </is>
      </c>
      <c r="U11" s="58" t="n">
        <v>1140</v>
      </c>
      <c r="V11" s="58" t="n">
        <v>1130</v>
      </c>
      <c r="W11" s="58" t="n">
        <v>0</v>
      </c>
      <c r="X11" s="58" t="n">
        <v>0</v>
      </c>
      <c r="Y11" s="58" t="n">
        <v>0</v>
      </c>
      <c r="Z11" s="59" t="n">
        <v>45958</v>
      </c>
      <c r="AA11" s="59" t="n">
        <v>45958</v>
      </c>
      <c r="AB11" s="59" t="n">
        <v>46504</v>
      </c>
    </row>
    <row r="12">
      <c r="D12" s="36" t="inlineStr">
        <is>
          <t>Station J Town</t>
        </is>
      </c>
      <c r="E12" s="54" t="inlineStr">
        <is>
          <t>A05</t>
        </is>
      </c>
      <c r="F12" s="54" t="inlineStr">
        <is>
          <t>stjt2B1</t>
        </is>
      </c>
      <c r="G12" s="54" t="inlineStr">
        <is>
          <t>2 BD / 1 BA</t>
        </is>
      </c>
      <c r="K12" s="36" t="inlineStr">
        <is>
          <t>Linda Stamper</t>
        </is>
      </c>
      <c r="L12" s="55" t="n">
        <v>950</v>
      </c>
      <c r="M12" s="56" t="n">
        <v>2</v>
      </c>
      <c r="N12" s="56" t="n">
        <v>1</v>
      </c>
      <c r="Q12" s="57" t="inlineStr">
        <is>
          <t>Occ</t>
        </is>
      </c>
      <c r="U12" s="58" t="n">
        <v>1090</v>
      </c>
      <c r="V12" s="58" t="n">
        <v>1022</v>
      </c>
      <c r="W12" s="58" t="n">
        <v>0</v>
      </c>
      <c r="X12" s="58" t="n">
        <v>0</v>
      </c>
      <c r="Y12" s="58" t="n">
        <v>0</v>
      </c>
      <c r="Z12" s="59" t="n">
        <v>29460</v>
      </c>
      <c r="AA12" s="59" t="n">
        <v>29460</v>
      </c>
      <c r="AB12" s="59" t="n">
        <v>46203</v>
      </c>
    </row>
    <row r="13">
      <c r="D13" s="36" t="inlineStr">
        <is>
          <t>Station J Town</t>
        </is>
      </c>
      <c r="E13" s="54" t="inlineStr">
        <is>
          <t>A06</t>
        </is>
      </c>
      <c r="F13" s="54" t="inlineStr">
        <is>
          <t>stjt2B1</t>
        </is>
      </c>
      <c r="G13" s="54" t="inlineStr">
        <is>
          <t>2 BD / 1 BA</t>
        </is>
      </c>
      <c r="K13" s="36" t="inlineStr">
        <is>
          <t>Joanna White</t>
        </is>
      </c>
      <c r="L13" s="55" t="n">
        <v>950</v>
      </c>
      <c r="M13" s="56" t="n">
        <v>2</v>
      </c>
      <c r="N13" s="56" t="n">
        <v>1</v>
      </c>
      <c r="Q13" s="57" t="inlineStr">
        <is>
          <t>Occ</t>
        </is>
      </c>
      <c r="U13" s="58" t="n">
        <v>1090</v>
      </c>
      <c r="V13" s="58" t="n">
        <v>1020</v>
      </c>
      <c r="W13" s="58" t="n">
        <v>0</v>
      </c>
      <c r="X13" s="58" t="n">
        <v>0</v>
      </c>
      <c r="Y13" s="58" t="n">
        <v>0</v>
      </c>
      <c r="Z13" s="59" t="n">
        <v>45381</v>
      </c>
      <c r="AA13" s="59" t="n">
        <v>45381</v>
      </c>
      <c r="AB13" s="59" t="n">
        <v>46487</v>
      </c>
    </row>
    <row r="14">
      <c r="D14" s="36" t="inlineStr">
        <is>
          <t>Station J Town</t>
        </is>
      </c>
      <c r="E14" s="54" t="inlineStr">
        <is>
          <t>A07</t>
        </is>
      </c>
      <c r="F14" s="54" t="inlineStr">
        <is>
          <t>stjt2B1R</t>
        </is>
      </c>
      <c r="G14" s="54" t="inlineStr">
        <is>
          <t>2 BD / 1 BA</t>
        </is>
      </c>
      <c r="I14" s="54" t="inlineStr">
        <is>
          <t>Yes</t>
        </is>
      </c>
      <c r="J14" s="54" t="inlineStr">
        <is>
          <t>Full</t>
        </is>
      </c>
      <c r="K14" s="36" t="inlineStr">
        <is>
          <t>Alex Saunders</t>
        </is>
      </c>
      <c r="L14" s="55" t="n">
        <v>950</v>
      </c>
      <c r="M14" s="56" t="n">
        <v>2</v>
      </c>
      <c r="N14" s="56" t="n">
        <v>1</v>
      </c>
      <c r="Q14" s="57" t="inlineStr">
        <is>
          <t>Occ</t>
        </is>
      </c>
      <c r="U14" s="58" t="n">
        <v>1190</v>
      </c>
      <c r="V14" s="58" t="n">
        <v>1180</v>
      </c>
      <c r="W14" s="58" t="n">
        <v>0</v>
      </c>
      <c r="X14" s="58" t="n">
        <v>0</v>
      </c>
      <c r="Y14" s="58" t="n">
        <v>0</v>
      </c>
      <c r="Z14" s="59" t="n">
        <v>45849</v>
      </c>
      <c r="AA14" s="59" t="n">
        <v>45849</v>
      </c>
      <c r="AB14" s="59" t="n">
        <v>46213</v>
      </c>
    </row>
    <row r="15">
      <c r="D15" s="36" t="inlineStr">
        <is>
          <t>Station J Town</t>
        </is>
      </c>
      <c r="E15" s="54" t="inlineStr">
        <is>
          <t>A08</t>
        </is>
      </c>
      <c r="F15" s="54" t="inlineStr">
        <is>
          <t>stjt2B1R</t>
        </is>
      </c>
      <c r="G15" s="54" t="inlineStr">
        <is>
          <t>2 BD / 1 BA</t>
        </is>
      </c>
      <c r="I15" s="54" t="inlineStr">
        <is>
          <t>Yes</t>
        </is>
      </c>
      <c r="J15" s="54" t="inlineStr">
        <is>
          <t>Full</t>
        </is>
      </c>
      <c r="K15" s="36" t="inlineStr">
        <is>
          <t>Christian Castro</t>
        </is>
      </c>
      <c r="L15" s="55" t="n">
        <v>950</v>
      </c>
      <c r="M15" s="56" t="n">
        <v>2</v>
      </c>
      <c r="N15" s="56" t="n">
        <v>1</v>
      </c>
      <c r="Q15" s="57" t="inlineStr">
        <is>
          <t>Occ</t>
        </is>
      </c>
      <c r="U15" s="58" t="n">
        <v>1190</v>
      </c>
      <c r="V15" s="58" t="n">
        <v>1115</v>
      </c>
      <c r="W15" s="58" t="n">
        <v>0</v>
      </c>
      <c r="X15" s="58" t="n">
        <v>0</v>
      </c>
      <c r="Y15" s="58" t="n">
        <v>0</v>
      </c>
      <c r="Z15" s="59" t="n">
        <v>45856</v>
      </c>
      <c r="AA15" s="59" t="n">
        <v>45856</v>
      </c>
      <c r="AB15" s="59" t="n">
        <v>46220</v>
      </c>
    </row>
    <row r="16">
      <c r="D16" s="36" t="inlineStr">
        <is>
          <t>Station J Town</t>
        </is>
      </c>
      <c r="E16" s="54" t="inlineStr">
        <is>
          <t>A09</t>
        </is>
      </c>
      <c r="F16" s="54" t="inlineStr">
        <is>
          <t>stjt2B1R</t>
        </is>
      </c>
      <c r="G16" s="54" t="inlineStr">
        <is>
          <t>2 BD / 1 BA</t>
        </is>
      </c>
      <c r="I16" s="54" t="inlineStr">
        <is>
          <t>Yes</t>
        </is>
      </c>
      <c r="J16" s="54" t="inlineStr">
        <is>
          <t>Full</t>
        </is>
      </c>
      <c r="K16" s="36" t="inlineStr">
        <is>
          <t>Morgan Ernspiker</t>
        </is>
      </c>
      <c r="L16" s="55" t="n">
        <v>950</v>
      </c>
      <c r="M16" s="56" t="n">
        <v>2</v>
      </c>
      <c r="N16" s="56" t="n">
        <v>1</v>
      </c>
      <c r="Q16" s="57" t="inlineStr">
        <is>
          <t>Occ</t>
        </is>
      </c>
      <c r="U16" s="58" t="n">
        <v>1190</v>
      </c>
      <c r="V16" s="58" t="n">
        <v>1140</v>
      </c>
      <c r="W16" s="58" t="n">
        <v>0</v>
      </c>
      <c r="X16" s="58" t="n">
        <v>0</v>
      </c>
      <c r="Y16" s="58" t="n">
        <v>0</v>
      </c>
      <c r="Z16" s="59" t="n">
        <v>45243</v>
      </c>
      <c r="AA16" s="59" t="n">
        <v>45243</v>
      </c>
      <c r="AB16" s="59" t="n">
        <v>46885</v>
      </c>
    </row>
    <row r="17">
      <c r="D17" s="36" t="inlineStr">
        <is>
          <t>Station J Town</t>
        </is>
      </c>
      <c r="E17" s="54" t="inlineStr">
        <is>
          <t>A10</t>
        </is>
      </c>
      <c r="F17" s="54" t="inlineStr">
        <is>
          <t>stjt2B1R</t>
        </is>
      </c>
      <c r="G17" s="54" t="inlineStr">
        <is>
          <t>2 BD / 1 BA</t>
        </is>
      </c>
      <c r="I17" s="54" t="inlineStr">
        <is>
          <t>Yes</t>
        </is>
      </c>
      <c r="J17" s="54" t="inlineStr">
        <is>
          <t>Full</t>
        </is>
      </c>
      <c r="K17" s="36" t="inlineStr">
        <is>
          <t>Gianna Presta</t>
        </is>
      </c>
      <c r="L17" s="55" t="n">
        <v>950</v>
      </c>
      <c r="M17" s="56" t="n">
        <v>2</v>
      </c>
      <c r="N17" s="56" t="n">
        <v>1</v>
      </c>
      <c r="Q17" s="57" t="inlineStr">
        <is>
          <t>Occ</t>
        </is>
      </c>
      <c r="U17" s="58" t="n">
        <v>1190</v>
      </c>
      <c r="V17" s="58" t="n">
        <v>1115</v>
      </c>
      <c r="W17" s="58" t="n">
        <v>0</v>
      </c>
      <c r="X17" s="58" t="n">
        <v>0</v>
      </c>
      <c r="Y17" s="58" t="n">
        <v>0</v>
      </c>
      <c r="Z17" s="59" t="n">
        <v>45688</v>
      </c>
      <c r="AA17" s="59" t="n">
        <v>45688</v>
      </c>
      <c r="AB17" s="59" t="n">
        <v>46507</v>
      </c>
    </row>
    <row r="18">
      <c r="D18" s="36" t="inlineStr">
        <is>
          <t>Station J Town</t>
        </is>
      </c>
      <c r="E18" s="54" t="inlineStr">
        <is>
          <t>A11</t>
        </is>
      </c>
      <c r="F18" s="54" t="inlineStr">
        <is>
          <t>stjt2B1R</t>
        </is>
      </c>
      <c r="G18" s="54" t="inlineStr">
        <is>
          <t>2 BD / 1 BA</t>
        </is>
      </c>
      <c r="I18" s="54" t="inlineStr">
        <is>
          <t>Yes</t>
        </is>
      </c>
      <c r="J18" s="54" t="inlineStr">
        <is>
          <t>Full</t>
        </is>
      </c>
      <c r="K18" s="36" t="inlineStr">
        <is>
          <t>Dena Chadwick</t>
        </is>
      </c>
      <c r="L18" s="55" t="n">
        <v>950</v>
      </c>
      <c r="M18" s="56" t="n">
        <v>2</v>
      </c>
      <c r="N18" s="56" t="n">
        <v>1</v>
      </c>
      <c r="Q18" s="57" t="inlineStr">
        <is>
          <t>Occ</t>
        </is>
      </c>
      <c r="U18" s="58" t="n">
        <v>1190</v>
      </c>
      <c r="V18" s="58" t="n">
        <v>1140</v>
      </c>
      <c r="W18" s="58" t="n">
        <v>0</v>
      </c>
      <c r="X18" s="58" t="n">
        <v>0</v>
      </c>
      <c r="Y18" s="58" t="n">
        <v>0</v>
      </c>
      <c r="Z18" s="59" t="n">
        <v>45393</v>
      </c>
      <c r="AA18" s="59" t="n">
        <v>45393</v>
      </c>
      <c r="AB18" s="59" t="n">
        <v>46853</v>
      </c>
    </row>
    <row r="19">
      <c r="D19" s="36" t="inlineStr">
        <is>
          <t>Station J Town</t>
        </is>
      </c>
      <c r="E19" s="54" t="inlineStr">
        <is>
          <t>A12</t>
        </is>
      </c>
      <c r="F19" s="54" t="inlineStr">
        <is>
          <t>stjt2B1</t>
        </is>
      </c>
      <c r="G19" s="54" t="inlineStr">
        <is>
          <t>2 BD / 1 BA</t>
        </is>
      </c>
      <c r="K19" s="36" t="inlineStr">
        <is>
          <t>Karianne Mayle</t>
        </is>
      </c>
      <c r="L19" s="55" t="n">
        <v>950</v>
      </c>
      <c r="M19" s="56" t="n">
        <v>2</v>
      </c>
      <c r="N19" s="56" t="n">
        <v>1</v>
      </c>
      <c r="Q19" s="57" t="inlineStr">
        <is>
          <t>Occ</t>
        </is>
      </c>
      <c r="U19" s="58" t="n">
        <v>1155</v>
      </c>
      <c r="V19" s="58" t="n">
        <v>1085</v>
      </c>
      <c r="W19" s="58" t="n">
        <v>0</v>
      </c>
      <c r="X19" s="58" t="n">
        <v>0</v>
      </c>
      <c r="Y19" s="58" t="n">
        <v>0</v>
      </c>
      <c r="Z19" s="59" t="n">
        <v>46134</v>
      </c>
      <c r="AA19" s="59" t="n">
        <v>46134</v>
      </c>
      <c r="AB19" s="59" t="n">
        <v>46498</v>
      </c>
    </row>
    <row r="20">
      <c r="D20" s="36" t="inlineStr">
        <is>
          <t>Station J Town</t>
        </is>
      </c>
      <c r="E20" s="54" t="inlineStr">
        <is>
          <t>A13</t>
        </is>
      </c>
      <c r="F20" s="54" t="inlineStr">
        <is>
          <t>stjt2B1R</t>
        </is>
      </c>
      <c r="G20" s="54" t="inlineStr">
        <is>
          <t>2 BD / 1 BA</t>
        </is>
      </c>
      <c r="I20" s="54" t="inlineStr">
        <is>
          <t>Yes</t>
        </is>
      </c>
      <c r="J20" s="54" t="inlineStr">
        <is>
          <t>Full</t>
        </is>
      </c>
      <c r="K20" s="36" t="inlineStr">
        <is>
          <t>Benjamin Garcia Ortiz</t>
        </is>
      </c>
      <c r="L20" s="55" t="n">
        <v>950</v>
      </c>
      <c r="M20" s="56" t="n">
        <v>2</v>
      </c>
      <c r="N20" s="56" t="n">
        <v>1</v>
      </c>
      <c r="Q20" s="57" t="inlineStr">
        <is>
          <t>Occ</t>
        </is>
      </c>
      <c r="U20" s="58" t="n">
        <v>1175</v>
      </c>
      <c r="V20" s="58" t="n">
        <v>1165</v>
      </c>
      <c r="W20" s="58" t="n">
        <v>0</v>
      </c>
      <c r="X20" s="58" t="n">
        <v>0</v>
      </c>
      <c r="Y20" s="58" t="n">
        <v>0</v>
      </c>
      <c r="Z20" s="59" t="n">
        <v>45868</v>
      </c>
      <c r="AA20" s="59" t="n">
        <v>45868</v>
      </c>
      <c r="AB20" s="59" t="n">
        <v>46263</v>
      </c>
    </row>
    <row r="21">
      <c r="D21" s="36" t="inlineStr">
        <is>
          <t>Station J Town</t>
        </is>
      </c>
      <c r="E21" s="54" t="inlineStr">
        <is>
          <t>A14</t>
        </is>
      </c>
      <c r="F21" s="54" t="inlineStr">
        <is>
          <t>stjt2B1R</t>
        </is>
      </c>
      <c r="G21" s="54" t="inlineStr">
        <is>
          <t>2 BD / 1 BA</t>
        </is>
      </c>
      <c r="I21" s="54" t="inlineStr">
        <is>
          <t>Yes</t>
        </is>
      </c>
      <c r="J21" s="54" t="inlineStr">
        <is>
          <t>Full</t>
        </is>
      </c>
      <c r="K21" s="36" t="inlineStr">
        <is>
          <t>Julio Nunez Mendoza</t>
        </is>
      </c>
      <c r="L21" s="55" t="n">
        <v>950</v>
      </c>
      <c r="M21" s="56" t="n">
        <v>2</v>
      </c>
      <c r="N21" s="56" t="n">
        <v>1</v>
      </c>
      <c r="Q21" s="57" t="inlineStr">
        <is>
          <t>Occ</t>
        </is>
      </c>
      <c r="U21" s="58" t="n">
        <v>1175</v>
      </c>
      <c r="V21" s="58" t="n">
        <v>1125</v>
      </c>
      <c r="W21" s="58" t="n">
        <v>0</v>
      </c>
      <c r="X21" s="58" t="n">
        <v>0</v>
      </c>
      <c r="Y21" s="58" t="n">
        <v>0</v>
      </c>
      <c r="Z21" s="59" t="n">
        <v>45068</v>
      </c>
      <c r="AA21" s="59" t="n">
        <v>45068</v>
      </c>
      <c r="AB21" s="59" t="n">
        <v>46194</v>
      </c>
    </row>
    <row r="22">
      <c r="D22" s="36" t="inlineStr">
        <is>
          <t>Station J Town</t>
        </is>
      </c>
      <c r="E22" s="54" t="inlineStr">
        <is>
          <t>A15</t>
        </is>
      </c>
      <c r="F22" s="54" t="inlineStr">
        <is>
          <t>stjt2B1</t>
        </is>
      </c>
      <c r="G22" s="54" t="inlineStr">
        <is>
          <t>2 BD / 1 BA</t>
        </is>
      </c>
      <c r="K22" s="36" t="inlineStr">
        <is>
          <t>Ariel Santos</t>
        </is>
      </c>
      <c r="L22" s="55" t="n">
        <v>950</v>
      </c>
      <c r="M22" s="56" t="n">
        <v>2</v>
      </c>
      <c r="N22" s="56" t="n">
        <v>1</v>
      </c>
      <c r="Q22" s="57" t="inlineStr">
        <is>
          <t>Occ</t>
        </is>
      </c>
      <c r="U22" s="58" t="n">
        <v>1075</v>
      </c>
      <c r="V22" s="58" t="n">
        <v>1007</v>
      </c>
      <c r="W22" s="58" t="n">
        <v>0</v>
      </c>
      <c r="X22" s="58" t="n">
        <v>0</v>
      </c>
      <c r="Y22" s="58" t="n">
        <v>0</v>
      </c>
      <c r="Z22" s="59" t="n">
        <v>44491</v>
      </c>
      <c r="AA22" s="59" t="n">
        <v>44491</v>
      </c>
      <c r="AB22" s="59" t="n">
        <v>46255</v>
      </c>
    </row>
    <row r="23">
      <c r="D23" s="36" t="inlineStr">
        <is>
          <t>Station J Town</t>
        </is>
      </c>
      <c r="E23" s="54" t="inlineStr">
        <is>
          <t>A16</t>
        </is>
      </c>
      <c r="F23" s="54" t="inlineStr">
        <is>
          <t>stjt2B1R</t>
        </is>
      </c>
      <c r="G23" s="54" t="inlineStr">
        <is>
          <t>2 BD / 1 BA</t>
        </is>
      </c>
      <c r="I23" s="54" t="inlineStr">
        <is>
          <t>Yes</t>
        </is>
      </c>
      <c r="J23" s="54" t="inlineStr">
        <is>
          <t>Full</t>
        </is>
      </c>
      <c r="K23" s="36" t="inlineStr">
        <is>
          <t>Sarah Buchanan</t>
        </is>
      </c>
      <c r="L23" s="55" t="n">
        <v>950</v>
      </c>
      <c r="M23" s="56" t="n">
        <v>2</v>
      </c>
      <c r="N23" s="56" t="n">
        <v>1</v>
      </c>
      <c r="Q23" s="57" t="inlineStr">
        <is>
          <t>Occ</t>
        </is>
      </c>
      <c r="U23" s="58" t="n">
        <v>1175</v>
      </c>
      <c r="V23" s="58" t="n">
        <v>1090</v>
      </c>
      <c r="W23" s="58" t="n">
        <v>0</v>
      </c>
      <c r="X23" s="58" t="n">
        <v>0</v>
      </c>
      <c r="Y23" s="58" t="n">
        <v>0</v>
      </c>
      <c r="Z23" s="59" t="n">
        <v>44873</v>
      </c>
      <c r="AA23" s="59" t="n">
        <v>44873</v>
      </c>
      <c r="AB23" s="59" t="n">
        <v>46880</v>
      </c>
    </row>
    <row r="24">
      <c r="D24" s="36" t="inlineStr">
        <is>
          <t>Station J Town</t>
        </is>
      </c>
      <c r="E24" s="54" t="inlineStr">
        <is>
          <t>A17</t>
        </is>
      </c>
      <c r="F24" s="54" t="inlineStr">
        <is>
          <t>stjt2B1R</t>
        </is>
      </c>
      <c r="G24" s="54" t="inlineStr">
        <is>
          <t>2 BD / 1 BA</t>
        </is>
      </c>
      <c r="I24" s="54" t="inlineStr">
        <is>
          <t>Yes</t>
        </is>
      </c>
      <c r="J24" s="54" t="inlineStr">
        <is>
          <t>Full</t>
        </is>
      </c>
      <c r="K24" s="36" t="inlineStr">
        <is>
          <t>Jaden Horn</t>
        </is>
      </c>
      <c r="L24" s="55" t="n">
        <v>950</v>
      </c>
      <c r="M24" s="56" t="n">
        <v>2</v>
      </c>
      <c r="N24" s="56" t="n">
        <v>1</v>
      </c>
      <c r="Q24" s="57" t="inlineStr">
        <is>
          <t>Occ</t>
        </is>
      </c>
      <c r="U24" s="58" t="n">
        <v>1190</v>
      </c>
      <c r="V24" s="58" t="n">
        <v>1180</v>
      </c>
      <c r="W24" s="58" t="n">
        <v>0</v>
      </c>
      <c r="X24" s="58" t="n">
        <v>0</v>
      </c>
      <c r="Y24" s="58" t="n">
        <v>0</v>
      </c>
      <c r="Z24" s="59" t="n">
        <v>45940</v>
      </c>
      <c r="AA24" s="59" t="n">
        <v>45940</v>
      </c>
      <c r="AB24" s="59" t="n">
        <v>46304</v>
      </c>
    </row>
    <row r="25">
      <c r="D25" s="36" t="inlineStr">
        <is>
          <t>Station J Town</t>
        </is>
      </c>
      <c r="E25" s="54" t="inlineStr">
        <is>
          <t>A18</t>
        </is>
      </c>
      <c r="F25" s="54" t="inlineStr">
        <is>
          <t>stjt2B1R</t>
        </is>
      </c>
      <c r="G25" s="54" t="inlineStr">
        <is>
          <t>2 BD / 1 BA</t>
        </is>
      </c>
      <c r="I25" s="54" t="inlineStr">
        <is>
          <t>Yes</t>
        </is>
      </c>
      <c r="J25" s="54" t="inlineStr">
        <is>
          <t>Full</t>
        </is>
      </c>
      <c r="K25" s="36" t="inlineStr">
        <is>
          <t>Diego Rojas</t>
        </is>
      </c>
      <c r="L25" s="55" t="n">
        <v>950</v>
      </c>
      <c r="M25" s="56" t="n">
        <v>2</v>
      </c>
      <c r="N25" s="56" t="n">
        <v>1</v>
      </c>
      <c r="Q25" s="57" t="inlineStr">
        <is>
          <t>Occ</t>
        </is>
      </c>
      <c r="U25" s="58" t="n">
        <v>1190</v>
      </c>
      <c r="V25" s="58" t="n">
        <v>1165</v>
      </c>
      <c r="W25" s="58" t="n">
        <v>0</v>
      </c>
      <c r="X25" s="58" t="n">
        <v>0</v>
      </c>
      <c r="Y25" s="58" t="n">
        <v>0</v>
      </c>
      <c r="Z25" s="59" t="n">
        <v>45958</v>
      </c>
      <c r="AA25" s="59" t="n">
        <v>45958</v>
      </c>
      <c r="AB25" s="59" t="n">
        <v>46504</v>
      </c>
    </row>
    <row r="26">
      <c r="D26" s="36" t="inlineStr">
        <is>
          <t>Station J Town</t>
        </is>
      </c>
      <c r="E26" s="54" t="inlineStr">
        <is>
          <t>A19</t>
        </is>
      </c>
      <c r="F26" s="54" t="inlineStr">
        <is>
          <t>stjt2B1</t>
        </is>
      </c>
      <c r="G26" s="54" t="inlineStr">
        <is>
          <t>2 BD / 1 BA</t>
        </is>
      </c>
      <c r="K26" s="36" t="inlineStr">
        <is>
          <t>Baylee Modaff</t>
        </is>
      </c>
      <c r="L26" s="55" t="n">
        <v>950</v>
      </c>
      <c r="M26" s="56" t="n">
        <v>2</v>
      </c>
      <c r="N26" s="56" t="n">
        <v>1</v>
      </c>
      <c r="Q26" s="57" t="inlineStr">
        <is>
          <t>Occ</t>
        </is>
      </c>
      <c r="U26" s="58" t="n">
        <v>1090</v>
      </c>
      <c r="V26" s="58" t="n">
        <v>950</v>
      </c>
      <c r="W26" s="58" t="n">
        <v>0</v>
      </c>
      <c r="X26" s="58" t="n">
        <v>0</v>
      </c>
      <c r="Y26" s="58" t="n">
        <v>0</v>
      </c>
      <c r="Z26" s="59" t="n">
        <v>45717</v>
      </c>
      <c r="AA26" s="59" t="n">
        <v>45717</v>
      </c>
      <c r="AB26" s="59" t="n">
        <v>46173</v>
      </c>
    </row>
    <row r="27">
      <c r="D27" s="36" t="inlineStr">
        <is>
          <t>Station J Town</t>
        </is>
      </c>
      <c r="E27" s="54" t="inlineStr">
        <is>
          <t>A20</t>
        </is>
      </c>
      <c r="F27" s="54" t="inlineStr">
        <is>
          <t>stjt2B1R</t>
        </is>
      </c>
      <c r="G27" s="54" t="inlineStr">
        <is>
          <t>2 BD / 1 BA</t>
        </is>
      </c>
      <c r="I27" s="54" t="inlineStr">
        <is>
          <t>Yes</t>
        </is>
      </c>
      <c r="J27" s="54" t="inlineStr">
        <is>
          <t>Full</t>
        </is>
      </c>
      <c r="K27" s="36" t="inlineStr">
        <is>
          <t>Dominic Scurci</t>
        </is>
      </c>
      <c r="L27" s="55" t="n">
        <v>950</v>
      </c>
      <c r="M27" s="56" t="n">
        <v>2</v>
      </c>
      <c r="N27" s="56" t="n">
        <v>1</v>
      </c>
      <c r="Q27" s="57" t="inlineStr">
        <is>
          <t>Occ</t>
        </is>
      </c>
      <c r="U27" s="58" t="n">
        <v>1190</v>
      </c>
      <c r="V27" s="58" t="n">
        <v>1180</v>
      </c>
      <c r="W27" s="58" t="n">
        <v>0</v>
      </c>
      <c r="X27" s="58" t="n">
        <v>0</v>
      </c>
      <c r="Y27" s="58" t="n">
        <v>0</v>
      </c>
      <c r="Z27" s="59" t="n">
        <v>45924</v>
      </c>
      <c r="AA27" s="59" t="n">
        <v>45924</v>
      </c>
      <c r="AB27" s="59" t="n">
        <v>46288</v>
      </c>
    </row>
    <row r="28">
      <c r="D28" s="36" t="inlineStr">
        <is>
          <t>Station J Town</t>
        </is>
      </c>
      <c r="E28" s="54" t="inlineStr">
        <is>
          <t>A21</t>
        </is>
      </c>
      <c r="F28" s="54" t="inlineStr">
        <is>
          <t>stjt2B1</t>
        </is>
      </c>
      <c r="G28" s="54" t="inlineStr">
        <is>
          <t>2 BD / 1 BA</t>
        </is>
      </c>
      <c r="K28" s="36" t="inlineStr">
        <is>
          <t>Linda Banks</t>
        </is>
      </c>
      <c r="L28" s="55" t="n">
        <v>950</v>
      </c>
      <c r="M28" s="56" t="n">
        <v>2</v>
      </c>
      <c r="N28" s="56" t="n">
        <v>1</v>
      </c>
      <c r="Q28" s="57" t="inlineStr">
        <is>
          <t>Occ</t>
        </is>
      </c>
      <c r="U28" s="58" t="n">
        <v>1110</v>
      </c>
      <c r="V28" s="58" t="n">
        <v>1040</v>
      </c>
      <c r="W28" s="58" t="n">
        <v>0</v>
      </c>
      <c r="X28" s="58" t="n">
        <v>0</v>
      </c>
      <c r="Y28" s="58" t="n">
        <v>0</v>
      </c>
      <c r="Z28" s="59" t="n">
        <v>45233</v>
      </c>
      <c r="AA28" s="59" t="n">
        <v>45233</v>
      </c>
      <c r="AB28" s="59" t="n">
        <v>46326</v>
      </c>
    </row>
    <row r="29">
      <c r="D29" s="36" t="inlineStr">
        <is>
          <t>Station J Town</t>
        </is>
      </c>
      <c r="E29" s="54" t="inlineStr">
        <is>
          <t>A22</t>
        </is>
      </c>
      <c r="F29" s="54" t="inlineStr">
        <is>
          <t>stjt2B1</t>
        </is>
      </c>
      <c r="G29" s="54" t="inlineStr">
        <is>
          <t>2 BD / 1 BA</t>
        </is>
      </c>
      <c r="K29" s="36" t="inlineStr">
        <is>
          <t>Andy Davis</t>
        </is>
      </c>
      <c r="L29" s="55" t="n">
        <v>950</v>
      </c>
      <c r="M29" s="56" t="n">
        <v>2</v>
      </c>
      <c r="N29" s="56" t="n">
        <v>1</v>
      </c>
      <c r="Q29" s="57" t="inlineStr">
        <is>
          <t>Occ</t>
        </is>
      </c>
      <c r="U29" s="58" t="n">
        <v>1090</v>
      </c>
      <c r="V29" s="58" t="n">
        <v>1090</v>
      </c>
      <c r="W29" s="58" t="n">
        <v>0</v>
      </c>
      <c r="X29" s="58" t="n">
        <v>0</v>
      </c>
      <c r="Y29" s="58" t="n">
        <v>0</v>
      </c>
      <c r="Z29" s="59" t="n">
        <v>45366</v>
      </c>
      <c r="AA29" s="59" t="n">
        <v>45366</v>
      </c>
      <c r="AB29" s="59" t="n">
        <v>46460</v>
      </c>
    </row>
    <row r="30">
      <c r="D30" s="36" t="inlineStr">
        <is>
          <t>Station J Town</t>
        </is>
      </c>
      <c r="E30" s="54" t="inlineStr">
        <is>
          <t>A23</t>
        </is>
      </c>
      <c r="F30" s="54" t="inlineStr">
        <is>
          <t>stjt2B1</t>
        </is>
      </c>
      <c r="G30" s="54" t="inlineStr">
        <is>
          <t>2 BD / 1 BA</t>
        </is>
      </c>
      <c r="K30" s="36" t="inlineStr">
        <is>
          <t>Victoria Castillo Quinteros</t>
        </is>
      </c>
      <c r="L30" s="55" t="n">
        <v>950</v>
      </c>
      <c r="M30" s="56" t="n">
        <v>2</v>
      </c>
      <c r="N30" s="56" t="n">
        <v>1</v>
      </c>
      <c r="Q30" s="57" t="inlineStr">
        <is>
          <t>Occ</t>
        </is>
      </c>
      <c r="U30" s="58" t="n">
        <v>1090</v>
      </c>
      <c r="V30" s="58" t="n">
        <v>1080</v>
      </c>
      <c r="W30" s="58" t="n">
        <v>0</v>
      </c>
      <c r="X30" s="58" t="n">
        <v>0</v>
      </c>
      <c r="Y30" s="58" t="n">
        <v>0</v>
      </c>
      <c r="Z30" s="59" t="n">
        <v>45982</v>
      </c>
      <c r="AA30" s="59" t="n">
        <v>45982</v>
      </c>
      <c r="AB30" s="59" t="n">
        <v>46346</v>
      </c>
    </row>
    <row r="31">
      <c r="D31" s="36" t="inlineStr">
        <is>
          <t>Station J Town</t>
        </is>
      </c>
      <c r="E31" s="54" t="inlineStr">
        <is>
          <t>A24</t>
        </is>
      </c>
      <c r="F31" s="54" t="inlineStr">
        <is>
          <t>stjt2B1</t>
        </is>
      </c>
      <c r="G31" s="54" t="inlineStr">
        <is>
          <t>2 BD / 1 BA</t>
        </is>
      </c>
      <c r="K31" s="36" t="inlineStr">
        <is>
          <t>Jennifer Lyons</t>
        </is>
      </c>
      <c r="L31" s="55" t="n">
        <v>950</v>
      </c>
      <c r="M31" s="56" t="n">
        <v>2</v>
      </c>
      <c r="N31" s="56" t="n">
        <v>1</v>
      </c>
      <c r="Q31" s="57" t="inlineStr">
        <is>
          <t>Occ</t>
        </is>
      </c>
      <c r="U31" s="58" t="n">
        <v>1090</v>
      </c>
      <c r="V31" s="58" t="n">
        <v>1080</v>
      </c>
      <c r="W31" s="58" t="n">
        <v>0</v>
      </c>
      <c r="X31" s="58" t="n">
        <v>0</v>
      </c>
      <c r="Y31" s="58" t="n">
        <v>0</v>
      </c>
      <c r="Z31" s="59" t="n">
        <v>45960</v>
      </c>
      <c r="AA31" s="59" t="n">
        <v>45960</v>
      </c>
      <c r="AB31" s="59" t="n">
        <v>46324</v>
      </c>
    </row>
    <row r="32">
      <c r="D32" s="36" t="inlineStr">
        <is>
          <t>Station J Town</t>
        </is>
      </c>
      <c r="E32" s="54" t="inlineStr">
        <is>
          <t>A25</t>
        </is>
      </c>
      <c r="F32" s="54" t="inlineStr">
        <is>
          <t>stjt2B1R</t>
        </is>
      </c>
      <c r="G32" s="54" t="inlineStr">
        <is>
          <t>2 BD / 1 BA</t>
        </is>
      </c>
      <c r="I32" s="54" t="inlineStr">
        <is>
          <t>Yes</t>
        </is>
      </c>
      <c r="J32" s="54" t="inlineStr">
        <is>
          <t>Full</t>
        </is>
      </c>
      <c r="K32" s="36" t="inlineStr">
        <is>
          <t>Daniel Ruark</t>
        </is>
      </c>
      <c r="L32" s="55" t="n">
        <v>950</v>
      </c>
      <c r="M32" s="56" t="n">
        <v>2</v>
      </c>
      <c r="N32" s="56" t="n">
        <v>1</v>
      </c>
      <c r="Q32" s="57" t="inlineStr">
        <is>
          <t>Occ</t>
        </is>
      </c>
      <c r="U32" s="58" t="n">
        <v>1175</v>
      </c>
      <c r="V32" s="58" t="n">
        <v>1140</v>
      </c>
      <c r="W32" s="58" t="n">
        <v>0</v>
      </c>
      <c r="X32" s="58" t="n">
        <v>0</v>
      </c>
      <c r="Y32" s="58" t="n">
        <v>0</v>
      </c>
      <c r="Z32" s="59" t="n">
        <v>45544</v>
      </c>
      <c r="AA32" s="59" t="n">
        <v>45544</v>
      </c>
      <c r="AB32" s="59" t="n">
        <v>46273</v>
      </c>
    </row>
    <row r="33">
      <c r="D33" s="36" t="inlineStr">
        <is>
          <t>Station J Town</t>
        </is>
      </c>
      <c r="E33" s="54" t="inlineStr">
        <is>
          <t>A26</t>
        </is>
      </c>
      <c r="F33" s="54" t="inlineStr">
        <is>
          <t>stjt2B1R</t>
        </is>
      </c>
      <c r="G33" s="54" t="inlineStr">
        <is>
          <t>2 BD / 1 BA</t>
        </is>
      </c>
      <c r="I33" s="54" t="inlineStr">
        <is>
          <t>Yes</t>
        </is>
      </c>
      <c r="J33" s="54" t="inlineStr">
        <is>
          <t>Full</t>
        </is>
      </c>
      <c r="K33" s="36" t="inlineStr">
        <is>
          <t>Alexis Pfeiffer</t>
        </is>
      </c>
      <c r="L33" s="55" t="n">
        <v>950</v>
      </c>
      <c r="M33" s="56" t="n">
        <v>2</v>
      </c>
      <c r="N33" s="56" t="n">
        <v>1</v>
      </c>
      <c r="Q33" s="57" t="inlineStr">
        <is>
          <t>Occ</t>
        </is>
      </c>
      <c r="U33" s="58" t="n">
        <v>1175</v>
      </c>
      <c r="V33" s="58" t="n">
        <v>1100</v>
      </c>
      <c r="W33" s="58" t="n">
        <v>0</v>
      </c>
      <c r="X33" s="58" t="n">
        <v>0</v>
      </c>
      <c r="Y33" s="58" t="n">
        <v>0</v>
      </c>
      <c r="Z33" s="59" t="n">
        <v>45822</v>
      </c>
      <c r="AA33" s="59" t="n">
        <v>45822</v>
      </c>
      <c r="AB33" s="59" t="n">
        <v>46369</v>
      </c>
    </row>
    <row r="34">
      <c r="D34" s="36" t="inlineStr">
        <is>
          <t>Station J Town</t>
        </is>
      </c>
      <c r="E34" s="54" t="inlineStr">
        <is>
          <t>A27</t>
        </is>
      </c>
      <c r="F34" s="54" t="inlineStr">
        <is>
          <t>stjt2B1</t>
        </is>
      </c>
      <c r="G34" s="54" t="inlineStr">
        <is>
          <t>2 BD / 1 BA</t>
        </is>
      </c>
      <c r="K34" s="36" t="inlineStr">
        <is>
          <t>Derrick Ogden</t>
        </is>
      </c>
      <c r="L34" s="55" t="n">
        <v>950</v>
      </c>
      <c r="M34" s="56" t="n">
        <v>2</v>
      </c>
      <c r="N34" s="56" t="n">
        <v>1</v>
      </c>
      <c r="Q34" s="57" t="inlineStr">
        <is>
          <t>Occ</t>
        </is>
      </c>
      <c r="U34" s="58" t="n">
        <v>1140</v>
      </c>
      <c r="V34" s="58" t="n">
        <v>1140</v>
      </c>
      <c r="W34" s="58" t="n">
        <v>0</v>
      </c>
      <c r="X34" s="58" t="n">
        <v>0</v>
      </c>
      <c r="Y34" s="58" t="n">
        <v>0</v>
      </c>
      <c r="Z34" s="59" t="n">
        <v>46119</v>
      </c>
      <c r="AA34" s="59" t="n">
        <v>46119</v>
      </c>
      <c r="AB34" s="59" t="n">
        <v>46483</v>
      </c>
    </row>
    <row r="35">
      <c r="D35" s="36" t="inlineStr">
        <is>
          <t>Station J Town</t>
        </is>
      </c>
      <c r="E35" s="54" t="inlineStr">
        <is>
          <t>A28</t>
        </is>
      </c>
      <c r="F35" s="54" t="inlineStr">
        <is>
          <t>stjt2B1</t>
        </is>
      </c>
      <c r="G35" s="54" t="inlineStr">
        <is>
          <t>2 BD / 1 BA</t>
        </is>
      </c>
      <c r="K35" s="36" t="inlineStr">
        <is>
          <t>D Mccombs</t>
        </is>
      </c>
      <c r="L35" s="55" t="n">
        <v>950</v>
      </c>
      <c r="M35" s="56" t="n">
        <v>2</v>
      </c>
      <c r="N35" s="56" t="n">
        <v>1</v>
      </c>
      <c r="Q35" s="57" t="inlineStr">
        <is>
          <t>Occ</t>
        </is>
      </c>
      <c r="U35" s="58" t="n">
        <v>1075</v>
      </c>
      <c r="V35" s="58" t="n">
        <v>1065</v>
      </c>
      <c r="W35" s="58" t="n">
        <v>0</v>
      </c>
      <c r="X35" s="58" t="n">
        <v>0</v>
      </c>
      <c r="Y35" s="58" t="n">
        <v>0</v>
      </c>
      <c r="Z35" s="59" t="n">
        <v>45899</v>
      </c>
      <c r="AA35" s="59" t="n">
        <v>45899</v>
      </c>
      <c r="AB35" s="59" t="n">
        <v>46446</v>
      </c>
    </row>
    <row r="36">
      <c r="D36" s="36" t="inlineStr">
        <is>
          <t>Station J Town</t>
        </is>
      </c>
      <c r="E36" s="54" t="inlineStr">
        <is>
          <t>A29</t>
        </is>
      </c>
      <c r="F36" s="54" t="inlineStr">
        <is>
          <t>stjt2B1</t>
        </is>
      </c>
      <c r="G36" s="54" t="inlineStr">
        <is>
          <t>2 BD / 1 BA</t>
        </is>
      </c>
      <c r="K36" s="36" t="inlineStr">
        <is>
          <t>Franklin Gulledge</t>
        </is>
      </c>
      <c r="L36" s="55" t="n">
        <v>950</v>
      </c>
      <c r="M36" s="56" t="n">
        <v>2</v>
      </c>
      <c r="N36" s="56" t="n">
        <v>1</v>
      </c>
      <c r="Q36" s="57" t="inlineStr">
        <is>
          <t>Occ</t>
        </is>
      </c>
      <c r="U36" s="58" t="n">
        <v>1090</v>
      </c>
      <c r="V36" s="58" t="n">
        <v>1020</v>
      </c>
      <c r="W36" s="58" t="n">
        <v>0</v>
      </c>
      <c r="X36" s="58" t="n">
        <v>0</v>
      </c>
      <c r="Y36" s="58" t="n">
        <v>0</v>
      </c>
      <c r="Z36" s="59" t="n">
        <v>46128</v>
      </c>
      <c r="AA36" s="59" t="n">
        <v>46128</v>
      </c>
      <c r="AB36" s="59" t="n">
        <v>46492</v>
      </c>
    </row>
    <row r="37">
      <c r="D37" s="36" t="inlineStr">
        <is>
          <t>Station J Town</t>
        </is>
      </c>
      <c r="E37" s="54" t="inlineStr">
        <is>
          <t>A30</t>
        </is>
      </c>
      <c r="F37" s="54" t="inlineStr">
        <is>
          <t>stjt2B1</t>
        </is>
      </c>
      <c r="G37" s="54" t="inlineStr">
        <is>
          <t>2 BD / 1 BA</t>
        </is>
      </c>
      <c r="K37" s="36" t="inlineStr">
        <is>
          <t>Ronald Baril</t>
        </is>
      </c>
      <c r="L37" s="55" t="n">
        <v>950</v>
      </c>
      <c r="M37" s="56" t="n">
        <v>2</v>
      </c>
      <c r="N37" s="56" t="n">
        <v>1</v>
      </c>
      <c r="Q37" s="57" t="inlineStr">
        <is>
          <t>Occ</t>
        </is>
      </c>
      <c r="U37" s="58" t="n">
        <v>1090</v>
      </c>
      <c r="V37" s="58" t="n">
        <v>1020</v>
      </c>
      <c r="W37" s="58" t="n">
        <v>0</v>
      </c>
      <c r="X37" s="58" t="n">
        <v>0</v>
      </c>
      <c r="Y37" s="58" t="n">
        <v>0</v>
      </c>
      <c r="Z37" s="59" t="n">
        <v>45238</v>
      </c>
      <c r="AA37" s="59" t="n">
        <v>45238</v>
      </c>
      <c r="AB37" s="59" t="n">
        <v>46356</v>
      </c>
    </row>
    <row r="38">
      <c r="D38" s="36" t="inlineStr">
        <is>
          <t>Station J Town</t>
        </is>
      </c>
      <c r="E38" s="54" t="inlineStr">
        <is>
          <t>A31</t>
        </is>
      </c>
      <c r="F38" s="54" t="inlineStr">
        <is>
          <t>stjt2B1R</t>
        </is>
      </c>
      <c r="G38" s="54" t="inlineStr">
        <is>
          <t>2 BD / 1 BA</t>
        </is>
      </c>
      <c r="I38" s="54" t="inlineStr">
        <is>
          <t>Yes</t>
        </is>
      </c>
      <c r="J38" s="54" t="inlineStr">
        <is>
          <t>Full</t>
        </is>
      </c>
      <c r="K38" s="36" t="inlineStr">
        <is>
          <t>Christian Hartigan</t>
        </is>
      </c>
      <c r="L38" s="55" t="n">
        <v>950</v>
      </c>
      <c r="M38" s="56" t="n">
        <v>2</v>
      </c>
      <c r="N38" s="56" t="n">
        <v>1</v>
      </c>
      <c r="Q38" s="57" t="inlineStr">
        <is>
          <t>Occ</t>
        </is>
      </c>
      <c r="U38" s="58" t="n">
        <v>1190</v>
      </c>
      <c r="V38" s="58" t="n">
        <v>1140</v>
      </c>
      <c r="W38" s="58" t="n">
        <v>0</v>
      </c>
      <c r="X38" s="58" t="n">
        <v>0</v>
      </c>
      <c r="Y38" s="58" t="n">
        <v>0</v>
      </c>
      <c r="Z38" s="59" t="n">
        <v>45429</v>
      </c>
      <c r="AA38" s="59" t="n">
        <v>45429</v>
      </c>
      <c r="AB38" s="59" t="n">
        <v>46158</v>
      </c>
    </row>
    <row r="39">
      <c r="D39" s="36" t="inlineStr">
        <is>
          <t>Station J Town</t>
        </is>
      </c>
      <c r="E39" s="54" t="inlineStr">
        <is>
          <t>A32</t>
        </is>
      </c>
      <c r="F39" s="54" t="inlineStr">
        <is>
          <t>stjt2B1</t>
        </is>
      </c>
      <c r="G39" s="54" t="inlineStr">
        <is>
          <t>2 BD / 1 BA</t>
        </is>
      </c>
      <c r="K39" s="36" t="inlineStr">
        <is>
          <t>Jarrod Davis</t>
        </is>
      </c>
      <c r="L39" s="55" t="n">
        <v>950</v>
      </c>
      <c r="M39" s="56" t="n">
        <v>2</v>
      </c>
      <c r="N39" s="56" t="n">
        <v>1</v>
      </c>
      <c r="Q39" s="57" t="inlineStr">
        <is>
          <t>Occ</t>
        </is>
      </c>
      <c r="U39" s="58" t="n">
        <v>1090</v>
      </c>
      <c r="V39" s="58" t="n">
        <v>1029</v>
      </c>
      <c r="W39" s="58" t="n">
        <v>0</v>
      </c>
      <c r="X39" s="58" t="n">
        <v>0</v>
      </c>
      <c r="Y39" s="58" t="n">
        <v>0</v>
      </c>
      <c r="Z39" s="59" t="n">
        <v>46052</v>
      </c>
      <c r="AA39" s="59" t="n">
        <v>46052</v>
      </c>
      <c r="AB39" s="59" t="n">
        <v>46416</v>
      </c>
    </row>
    <row r="40">
      <c r="D40" s="36" t="inlineStr">
        <is>
          <t>Station J Town</t>
        </is>
      </c>
      <c r="E40" s="54" t="inlineStr">
        <is>
          <t>A33</t>
        </is>
      </c>
      <c r="F40" s="54" t="inlineStr">
        <is>
          <t>stjt2B1</t>
        </is>
      </c>
      <c r="G40" s="54" t="inlineStr">
        <is>
          <t>2 BD / 1 BA</t>
        </is>
      </c>
      <c r="K40" s="36" t="inlineStr">
        <is>
          <t>Samuel Grimes</t>
        </is>
      </c>
      <c r="L40" s="55" t="n">
        <v>950</v>
      </c>
      <c r="M40" s="56" t="n">
        <v>2</v>
      </c>
      <c r="N40" s="56" t="n">
        <v>1</v>
      </c>
      <c r="Q40" s="57" t="inlineStr">
        <is>
          <t>Occ</t>
        </is>
      </c>
      <c r="U40" s="58" t="n">
        <v>1110</v>
      </c>
      <c r="V40" s="58" t="n">
        <v>1057</v>
      </c>
      <c r="W40" s="58" t="n">
        <v>0</v>
      </c>
      <c r="X40" s="58" t="n">
        <v>0</v>
      </c>
      <c r="Y40" s="58" t="n">
        <v>0</v>
      </c>
      <c r="Z40" s="59" t="n">
        <v>46038</v>
      </c>
      <c r="AA40" s="59" t="n">
        <v>46038</v>
      </c>
      <c r="AB40" s="59" t="n">
        <v>46402</v>
      </c>
    </row>
    <row r="41">
      <c r="D41" s="36" t="inlineStr">
        <is>
          <t>Station J Town</t>
        </is>
      </c>
      <c r="E41" s="54" t="inlineStr">
        <is>
          <t>A34</t>
        </is>
      </c>
      <c r="F41" s="54" t="inlineStr">
        <is>
          <t>stjt2B1</t>
        </is>
      </c>
      <c r="G41" s="54" t="inlineStr">
        <is>
          <t>2 BD / 1 BA</t>
        </is>
      </c>
      <c r="K41" s="36" t="inlineStr">
        <is>
          <t>Azia Peacock</t>
        </is>
      </c>
      <c r="L41" s="55" t="n">
        <v>950</v>
      </c>
      <c r="M41" s="56" t="n">
        <v>2</v>
      </c>
      <c r="N41" s="56" t="n">
        <v>1</v>
      </c>
      <c r="Q41" s="57" t="inlineStr">
        <is>
          <t>Occ</t>
        </is>
      </c>
      <c r="U41" s="58" t="n">
        <v>1110</v>
      </c>
      <c r="V41" s="58" t="n">
        <v>1089</v>
      </c>
      <c r="W41" s="58" t="n">
        <v>0</v>
      </c>
      <c r="X41" s="58" t="n">
        <v>0</v>
      </c>
      <c r="Y41" s="58" t="n">
        <v>0</v>
      </c>
      <c r="Z41" s="59" t="n">
        <v>45489</v>
      </c>
      <c r="AA41" s="59" t="n">
        <v>45489</v>
      </c>
      <c r="AB41" s="59" t="n">
        <v>46218</v>
      </c>
    </row>
    <row r="42">
      <c r="D42" s="36" t="inlineStr">
        <is>
          <t>Station J Town</t>
        </is>
      </c>
      <c r="E42" s="54" t="inlineStr">
        <is>
          <t>A35</t>
        </is>
      </c>
      <c r="F42" s="54" t="inlineStr">
        <is>
          <t>stjt2B1</t>
        </is>
      </c>
      <c r="G42" s="54" t="inlineStr">
        <is>
          <t>2 BD / 1 BA</t>
        </is>
      </c>
      <c r="K42" s="36" t="inlineStr">
        <is>
          <t>Tommy Phan</t>
        </is>
      </c>
      <c r="L42" s="55" t="n">
        <v>950</v>
      </c>
      <c r="M42" s="56" t="n">
        <v>2</v>
      </c>
      <c r="N42" s="56" t="n">
        <v>1</v>
      </c>
      <c r="Q42" s="57" t="inlineStr">
        <is>
          <t>Occ</t>
        </is>
      </c>
      <c r="U42" s="58" t="n">
        <v>1155</v>
      </c>
      <c r="V42" s="58" t="n">
        <v>1145</v>
      </c>
      <c r="W42" s="58" t="n">
        <v>0</v>
      </c>
      <c r="X42" s="58" t="n">
        <v>0</v>
      </c>
      <c r="Y42" s="58" t="n">
        <v>0</v>
      </c>
      <c r="Z42" s="59" t="n">
        <v>46085</v>
      </c>
      <c r="AA42" s="59" t="n">
        <v>46085</v>
      </c>
      <c r="AB42" s="59" t="n">
        <v>46449</v>
      </c>
    </row>
    <row r="43">
      <c r="D43" s="36" t="inlineStr">
        <is>
          <t>Station J Town</t>
        </is>
      </c>
      <c r="E43" s="54" t="inlineStr">
        <is>
          <t>A36</t>
        </is>
      </c>
      <c r="F43" s="54" t="inlineStr">
        <is>
          <t>stjt2B1R</t>
        </is>
      </c>
      <c r="G43" s="54" t="inlineStr">
        <is>
          <t>2 BD / 1 BA</t>
        </is>
      </c>
      <c r="I43" s="54" t="inlineStr">
        <is>
          <t>Yes</t>
        </is>
      </c>
      <c r="J43" s="54" t="inlineStr">
        <is>
          <t>Full</t>
        </is>
      </c>
      <c r="K43" s="36" t="inlineStr">
        <is>
          <t>Dakota Autrey</t>
        </is>
      </c>
      <c r="L43" s="55" t="n">
        <v>950</v>
      </c>
      <c r="M43" s="56" t="n">
        <v>2</v>
      </c>
      <c r="N43" s="56" t="n">
        <v>1</v>
      </c>
      <c r="Q43" s="57" t="inlineStr">
        <is>
          <t>Occ</t>
        </is>
      </c>
      <c r="U43" s="58" t="n">
        <v>1210</v>
      </c>
      <c r="V43" s="58" t="n">
        <v>1185</v>
      </c>
      <c r="W43" s="58" t="n">
        <v>0</v>
      </c>
      <c r="X43" s="58" t="n">
        <v>0</v>
      </c>
      <c r="Y43" s="58" t="n">
        <v>0</v>
      </c>
      <c r="Z43" s="59" t="n">
        <v>45860</v>
      </c>
      <c r="AA43" s="59" t="n">
        <v>45860</v>
      </c>
      <c r="AB43" s="59" t="n">
        <v>46224</v>
      </c>
    </row>
    <row r="44">
      <c r="D44" s="36" t="inlineStr">
        <is>
          <t>Station J Town</t>
        </is>
      </c>
      <c r="E44" s="54" t="inlineStr">
        <is>
          <t>A37</t>
        </is>
      </c>
      <c r="F44" s="54" t="inlineStr">
        <is>
          <t>stjt2C1</t>
        </is>
      </c>
      <c r="G44" s="54" t="inlineStr">
        <is>
          <t>3 BD / 1 BA - A</t>
        </is>
      </c>
      <c r="K44" s="36" t="inlineStr">
        <is>
          <t>Shelby Cosper</t>
        </is>
      </c>
      <c r="L44" s="55" t="n">
        <v>1075</v>
      </c>
      <c r="M44" s="56" t="n">
        <v>3</v>
      </c>
      <c r="N44" s="56" t="n">
        <v>1</v>
      </c>
      <c r="Q44" s="57" t="inlineStr">
        <is>
          <t>Occ</t>
        </is>
      </c>
      <c r="U44" s="58" t="n">
        <v>1310</v>
      </c>
      <c r="V44" s="58" t="n">
        <v>1285</v>
      </c>
      <c r="W44" s="58" t="n">
        <v>0</v>
      </c>
      <c r="X44" s="58" t="n">
        <v>0</v>
      </c>
      <c r="Y44" s="58" t="n">
        <v>0</v>
      </c>
      <c r="Z44" s="59" t="n">
        <v>45887</v>
      </c>
      <c r="AA44" s="59" t="n">
        <v>45887</v>
      </c>
      <c r="AB44" s="59" t="n">
        <v>46251</v>
      </c>
    </row>
    <row r="45">
      <c r="D45" s="36" t="inlineStr">
        <is>
          <t>Station J Town</t>
        </is>
      </c>
      <c r="E45" s="54" t="inlineStr">
        <is>
          <t>A38</t>
        </is>
      </c>
      <c r="F45" s="54" t="inlineStr">
        <is>
          <t>stjt2C1R</t>
        </is>
      </c>
      <c r="G45" s="54" t="inlineStr">
        <is>
          <t>3 BD / 1 BA - A</t>
        </is>
      </c>
      <c r="I45" s="54" t="inlineStr">
        <is>
          <t>Yes</t>
        </is>
      </c>
      <c r="J45" s="54" t="inlineStr">
        <is>
          <t>Full</t>
        </is>
      </c>
      <c r="K45" s="36" t="inlineStr">
        <is>
          <t>Tierra Nunley</t>
        </is>
      </c>
      <c r="L45" s="55" t="n">
        <v>1075</v>
      </c>
      <c r="M45" s="56" t="n">
        <v>3</v>
      </c>
      <c r="N45" s="56" t="n">
        <v>1</v>
      </c>
      <c r="Q45" s="57" t="inlineStr">
        <is>
          <t>Occ</t>
        </is>
      </c>
      <c r="U45" s="58" t="n">
        <v>1405</v>
      </c>
      <c r="V45" s="58" t="n">
        <v>1100</v>
      </c>
      <c r="W45" s="58" t="n">
        <v>0</v>
      </c>
      <c r="X45" s="58" t="n">
        <v>0</v>
      </c>
      <c r="Y45" s="58" t="n">
        <v>0</v>
      </c>
      <c r="Z45" s="59" t="n">
        <v>45979</v>
      </c>
      <c r="AA45" s="59" t="n">
        <v>45979</v>
      </c>
      <c r="AB45" s="59" t="n">
        <v>46343</v>
      </c>
    </row>
    <row r="46">
      <c r="D46" s="36" t="inlineStr">
        <is>
          <t>Station J Town</t>
        </is>
      </c>
      <c r="E46" s="54" t="inlineStr">
        <is>
          <t>A39</t>
        </is>
      </c>
      <c r="F46" s="54" t="inlineStr">
        <is>
          <t>stjt2C1</t>
        </is>
      </c>
      <c r="G46" s="54" t="inlineStr">
        <is>
          <t>3 BD / 1 BA - A</t>
        </is>
      </c>
      <c r="K46" s="36" t="inlineStr">
        <is>
          <t>Miranda Roach</t>
        </is>
      </c>
      <c r="L46" s="55" t="n">
        <v>1075</v>
      </c>
      <c r="M46" s="56" t="n">
        <v>3</v>
      </c>
      <c r="N46" s="56" t="n">
        <v>1</v>
      </c>
      <c r="Q46" s="57" t="inlineStr">
        <is>
          <t>Occ</t>
        </is>
      </c>
      <c r="U46" s="58" t="n">
        <v>1265</v>
      </c>
      <c r="V46" s="58" t="n">
        <v>1240</v>
      </c>
      <c r="W46" s="58" t="n">
        <v>0</v>
      </c>
      <c r="X46" s="58" t="n">
        <v>0</v>
      </c>
      <c r="Y46" s="58" t="n">
        <v>0</v>
      </c>
      <c r="Z46" s="59" t="n">
        <v>45765</v>
      </c>
      <c r="AA46" s="59" t="n">
        <v>45765</v>
      </c>
      <c r="AB46" s="59" t="n">
        <v>46129</v>
      </c>
    </row>
    <row r="47">
      <c r="D47" s="36" t="inlineStr">
        <is>
          <t>Station J Town</t>
        </is>
      </c>
      <c r="E47" s="54" t="inlineStr">
        <is>
          <t>A40</t>
        </is>
      </c>
      <c r="F47" s="54" t="inlineStr">
        <is>
          <t>stjt2C1R</t>
        </is>
      </c>
      <c r="G47" s="54" t="inlineStr">
        <is>
          <t>3 BD / 1 BA - A</t>
        </is>
      </c>
      <c r="I47" s="54" t="inlineStr">
        <is>
          <t>Yes</t>
        </is>
      </c>
      <c r="J47" s="54" t="inlineStr">
        <is>
          <t>Full</t>
        </is>
      </c>
      <c r="K47" s="36" t="inlineStr">
        <is>
          <t>Chris King</t>
        </is>
      </c>
      <c r="L47" s="55" t="n">
        <v>1075</v>
      </c>
      <c r="M47" s="56" t="n">
        <v>3</v>
      </c>
      <c r="N47" s="56" t="n">
        <v>1</v>
      </c>
      <c r="Q47" s="57" t="inlineStr">
        <is>
          <t>Occ</t>
        </is>
      </c>
      <c r="U47" s="58" t="n">
        <v>1405</v>
      </c>
      <c r="V47" s="58" t="n">
        <v>1380</v>
      </c>
      <c r="W47" s="58" t="n">
        <v>0</v>
      </c>
      <c r="X47" s="58" t="n">
        <v>0</v>
      </c>
      <c r="Y47" s="58" t="n">
        <v>0</v>
      </c>
      <c r="Z47" s="59" t="n">
        <v>45772</v>
      </c>
      <c r="AA47" s="59" t="n">
        <v>45772</v>
      </c>
      <c r="AB47" s="59" t="n">
        <v>46319</v>
      </c>
    </row>
    <row r="48">
      <c r="D48" s="36" t="inlineStr">
        <is>
          <t>Station J Town</t>
        </is>
      </c>
      <c r="E48" s="54" t="inlineStr">
        <is>
          <t>A41</t>
        </is>
      </c>
      <c r="F48" s="54" t="inlineStr">
        <is>
          <t>stjt2C1R</t>
        </is>
      </c>
      <c r="G48" s="54" t="inlineStr">
        <is>
          <t>3 BD / 1 BA - A</t>
        </is>
      </c>
      <c r="I48" s="54" t="inlineStr">
        <is>
          <t>Yes</t>
        </is>
      </c>
      <c r="J48" s="54" t="inlineStr">
        <is>
          <t>Full</t>
        </is>
      </c>
      <c r="K48" s="36" t="inlineStr">
        <is>
          <t>Alvin Holloway</t>
        </is>
      </c>
      <c r="L48" s="55" t="n">
        <v>1075</v>
      </c>
      <c r="M48" s="56" t="n">
        <v>3</v>
      </c>
      <c r="N48" s="56" t="n">
        <v>1</v>
      </c>
      <c r="Q48" s="57" t="inlineStr">
        <is>
          <t>Occ</t>
        </is>
      </c>
      <c r="U48" s="58" t="n">
        <v>1420</v>
      </c>
      <c r="V48" s="58" t="n">
        <v>1425</v>
      </c>
      <c r="W48" s="58" t="n">
        <v>0</v>
      </c>
      <c r="X48" s="58" t="n">
        <v>0</v>
      </c>
      <c r="Y48" s="58" t="n">
        <v>0</v>
      </c>
      <c r="Z48" s="59" t="n">
        <v>45597</v>
      </c>
      <c r="AA48" s="59" t="n">
        <v>45597</v>
      </c>
      <c r="AB48" s="59" t="n">
        <v>46326</v>
      </c>
    </row>
    <row r="49">
      <c r="D49" s="36" t="inlineStr">
        <is>
          <t>Station J Town</t>
        </is>
      </c>
      <c r="E49" s="54" t="inlineStr">
        <is>
          <t>A42</t>
        </is>
      </c>
      <c r="F49" s="54" t="inlineStr">
        <is>
          <t>stjt2C1</t>
        </is>
      </c>
      <c r="G49" s="54" t="inlineStr">
        <is>
          <t>3 BD / 1 BA - A</t>
        </is>
      </c>
      <c r="K49" s="36" t="inlineStr">
        <is>
          <t>Sara Hernandez Cordovi</t>
        </is>
      </c>
      <c r="L49" s="55" t="n">
        <v>1075</v>
      </c>
      <c r="M49" s="56" t="n">
        <v>3</v>
      </c>
      <c r="N49" s="56" t="n">
        <v>1</v>
      </c>
      <c r="Q49" s="57" t="inlineStr">
        <is>
          <t>Occ</t>
        </is>
      </c>
      <c r="U49" s="58" t="n">
        <v>1260</v>
      </c>
      <c r="V49" s="58" t="n">
        <v>999</v>
      </c>
      <c r="W49" s="58" t="n">
        <v>0</v>
      </c>
      <c r="X49" s="58" t="n">
        <v>0</v>
      </c>
      <c r="Y49" s="58" t="n">
        <v>0</v>
      </c>
      <c r="Z49" s="59" t="n">
        <v>46038</v>
      </c>
      <c r="AA49" s="59" t="n">
        <v>46038</v>
      </c>
      <c r="AB49" s="59" t="n">
        <v>46402</v>
      </c>
    </row>
    <row r="50">
      <c r="D50" s="36" t="inlineStr">
        <is>
          <t>Station J Town</t>
        </is>
      </c>
      <c r="E50" s="54" t="inlineStr">
        <is>
          <t>A43</t>
        </is>
      </c>
      <c r="F50" s="54" t="inlineStr">
        <is>
          <t>stjt2C1</t>
        </is>
      </c>
      <c r="G50" s="54" t="inlineStr">
        <is>
          <t>3 BD / 1 BA - A</t>
        </is>
      </c>
      <c r="K50" s="36" t="inlineStr">
        <is>
          <t>Khadija Harrison</t>
        </is>
      </c>
      <c r="L50" s="55" t="n">
        <v>1075</v>
      </c>
      <c r="M50" s="56" t="n">
        <v>3</v>
      </c>
      <c r="N50" s="56" t="n">
        <v>1</v>
      </c>
      <c r="Q50" s="57" t="inlineStr">
        <is>
          <t>Occ</t>
        </is>
      </c>
      <c r="U50" s="58" t="n">
        <v>1260</v>
      </c>
      <c r="V50" s="58" t="n">
        <v>1255</v>
      </c>
      <c r="W50" s="58" t="n">
        <v>0</v>
      </c>
      <c r="X50" s="58" t="n">
        <v>0</v>
      </c>
      <c r="Y50" s="58" t="n">
        <v>0</v>
      </c>
      <c r="Z50" s="59" t="n">
        <v>45125</v>
      </c>
      <c r="AA50" s="59" t="n">
        <v>45125</v>
      </c>
      <c r="AB50" s="59" t="n">
        <v>46220</v>
      </c>
    </row>
    <row r="51">
      <c r="D51" s="36" t="inlineStr">
        <is>
          <t>Station J Town</t>
        </is>
      </c>
      <c r="E51" s="54" t="inlineStr">
        <is>
          <t>A44</t>
        </is>
      </c>
      <c r="F51" s="54" t="inlineStr">
        <is>
          <t>stjt2C1R</t>
        </is>
      </c>
      <c r="G51" s="54" t="inlineStr">
        <is>
          <t>3 BD / 1 BA - A</t>
        </is>
      </c>
      <c r="I51" s="54" t="inlineStr">
        <is>
          <t>Yes</t>
        </is>
      </c>
      <c r="J51" s="54" t="inlineStr">
        <is>
          <t>Full</t>
        </is>
      </c>
      <c r="K51" s="36" t="inlineStr">
        <is>
          <t>Karen Crecelius</t>
        </is>
      </c>
      <c r="L51" s="55" t="n">
        <v>1075</v>
      </c>
      <c r="M51" s="56" t="n">
        <v>3</v>
      </c>
      <c r="N51" s="56" t="n">
        <v>1</v>
      </c>
      <c r="Q51" s="57" t="inlineStr">
        <is>
          <t>Occ</t>
        </is>
      </c>
      <c r="U51" s="58" t="n">
        <v>1420</v>
      </c>
      <c r="V51" s="58" t="n">
        <v>1395</v>
      </c>
      <c r="W51" s="58" t="n">
        <v>0</v>
      </c>
      <c r="X51" s="58" t="n">
        <v>0</v>
      </c>
      <c r="Y51" s="58" t="n">
        <v>0</v>
      </c>
      <c r="Z51" s="59" t="n">
        <v>45792</v>
      </c>
      <c r="AA51" s="59" t="n">
        <v>45792</v>
      </c>
      <c r="AB51" s="59" t="n">
        <v>46156</v>
      </c>
    </row>
    <row r="52">
      <c r="D52" s="36" t="inlineStr">
        <is>
          <t>Station J Town</t>
        </is>
      </c>
      <c r="E52" s="54" t="inlineStr">
        <is>
          <t>A45</t>
        </is>
      </c>
      <c r="F52" s="54" t="inlineStr">
        <is>
          <t>stjt2C1</t>
        </is>
      </c>
      <c r="G52" s="54" t="inlineStr">
        <is>
          <t>3 BD / 1 BA - A</t>
        </is>
      </c>
      <c r="K52" s="36" t="inlineStr">
        <is>
          <t>Baba Tomy</t>
        </is>
      </c>
      <c r="L52" s="55" t="n">
        <v>1075</v>
      </c>
      <c r="M52" s="56" t="n">
        <v>3</v>
      </c>
      <c r="N52" s="56" t="n">
        <v>1</v>
      </c>
      <c r="Q52" s="57" t="inlineStr">
        <is>
          <t>Occ</t>
        </is>
      </c>
      <c r="U52" s="58" t="n">
        <v>1260</v>
      </c>
      <c r="V52" s="58" t="n">
        <v>1235</v>
      </c>
      <c r="W52" s="58" t="n">
        <v>0</v>
      </c>
      <c r="X52" s="58" t="n">
        <v>0</v>
      </c>
      <c r="Y52" s="58" t="n">
        <v>0</v>
      </c>
      <c r="Z52" s="59" t="n">
        <v>45908</v>
      </c>
      <c r="AA52" s="59" t="n">
        <v>45908</v>
      </c>
      <c r="AB52" s="59" t="n">
        <v>46272</v>
      </c>
    </row>
    <row r="53">
      <c r="D53" s="36" t="inlineStr">
        <is>
          <t>Station J Town</t>
        </is>
      </c>
      <c r="E53" s="54" t="inlineStr">
        <is>
          <t>A46</t>
        </is>
      </c>
      <c r="F53" s="54" t="inlineStr">
        <is>
          <t>stjt2C1</t>
        </is>
      </c>
      <c r="G53" s="54" t="inlineStr">
        <is>
          <t>3 BD / 1 BA - A</t>
        </is>
      </c>
      <c r="K53" s="36" t="inlineStr">
        <is>
          <t>Marysol Keller</t>
        </is>
      </c>
      <c r="L53" s="55" t="n">
        <v>1075</v>
      </c>
      <c r="M53" s="56" t="n">
        <v>3</v>
      </c>
      <c r="N53" s="56" t="n">
        <v>1</v>
      </c>
      <c r="Q53" s="57" t="inlineStr">
        <is>
          <t>Occ</t>
        </is>
      </c>
      <c r="U53" s="58" t="n">
        <v>1260</v>
      </c>
      <c r="V53" s="58" t="n">
        <v>1181</v>
      </c>
      <c r="W53" s="58" t="n">
        <v>0</v>
      </c>
      <c r="X53" s="58" t="n">
        <v>0</v>
      </c>
      <c r="Y53" s="58" t="n">
        <v>0</v>
      </c>
      <c r="Z53" s="59" t="n">
        <v>46017</v>
      </c>
      <c r="AA53" s="59" t="n">
        <v>46017</v>
      </c>
      <c r="AB53" s="59" t="n">
        <v>46381</v>
      </c>
    </row>
    <row r="54">
      <c r="D54" s="36" t="inlineStr">
        <is>
          <t>Station J Town</t>
        </is>
      </c>
      <c r="E54" s="54" t="inlineStr">
        <is>
          <t>A47</t>
        </is>
      </c>
      <c r="F54" s="54" t="inlineStr">
        <is>
          <t>stjt2C2R</t>
        </is>
      </c>
      <c r="G54" s="54" t="inlineStr">
        <is>
          <t>3 BD / 1.5 BA</t>
        </is>
      </c>
      <c r="I54" s="54" t="inlineStr">
        <is>
          <t>Yes</t>
        </is>
      </c>
      <c r="J54" s="54" t="inlineStr">
        <is>
          <t>Full</t>
        </is>
      </c>
      <c r="K54" s="36" t="inlineStr">
        <is>
          <t>Christopher Webb</t>
        </is>
      </c>
      <c r="L54" s="55" t="n">
        <v>1075</v>
      </c>
      <c r="M54" s="56" t="n">
        <v>3</v>
      </c>
      <c r="N54" s="56" t="n">
        <v>1.5</v>
      </c>
      <c r="Q54" s="57" t="inlineStr">
        <is>
          <t>Occ</t>
        </is>
      </c>
      <c r="U54" s="58" t="n">
        <v>1469</v>
      </c>
      <c r="V54" s="58" t="n">
        <v>1450</v>
      </c>
      <c r="W54" s="58" t="n">
        <v>0</v>
      </c>
      <c r="X54" s="58" t="n">
        <v>0</v>
      </c>
      <c r="Y54" s="58" t="n">
        <v>0</v>
      </c>
      <c r="Z54" s="59" t="n">
        <v>46094</v>
      </c>
      <c r="AA54" s="59" t="n">
        <v>46094</v>
      </c>
      <c r="AB54" s="59" t="n">
        <v>46461</v>
      </c>
    </row>
    <row r="55">
      <c r="D55" s="36" t="inlineStr">
        <is>
          <t>Station J Town</t>
        </is>
      </c>
      <c r="E55" s="54" t="inlineStr">
        <is>
          <t>A48</t>
        </is>
      </c>
      <c r="F55" s="54" t="inlineStr">
        <is>
          <t>stjt2C1</t>
        </is>
      </c>
      <c r="G55" s="54" t="inlineStr">
        <is>
          <t>3 BD / 1 BA - A</t>
        </is>
      </c>
      <c r="K55" s="36" t="inlineStr">
        <is>
          <t>Tyler Goodin</t>
        </is>
      </c>
      <c r="L55" s="55" t="n">
        <v>1075</v>
      </c>
      <c r="M55" s="56" t="n">
        <v>3</v>
      </c>
      <c r="N55" s="56" t="n">
        <v>1</v>
      </c>
      <c r="Q55" s="57" t="inlineStr">
        <is>
          <t>Occ</t>
        </is>
      </c>
      <c r="U55" s="58" t="n">
        <v>1260</v>
      </c>
      <c r="V55" s="58" t="n">
        <v>1080</v>
      </c>
      <c r="W55" s="58" t="n">
        <v>0</v>
      </c>
      <c r="X55" s="58" t="n">
        <v>0</v>
      </c>
      <c r="Y55" s="58" t="n">
        <v>0</v>
      </c>
      <c r="Z55" s="59" t="n">
        <v>45975</v>
      </c>
      <c r="AA55" s="59" t="n">
        <v>45975</v>
      </c>
      <c r="AB55" s="59" t="n">
        <v>46339</v>
      </c>
    </row>
    <row r="56">
      <c r="D56" s="36" t="inlineStr">
        <is>
          <t>Station J Town</t>
        </is>
      </c>
      <c r="E56" s="54" t="inlineStr">
        <is>
          <t>B01</t>
        </is>
      </c>
      <c r="F56" s="54" t="inlineStr">
        <is>
          <t>stjt2B1R</t>
        </is>
      </c>
      <c r="G56" s="54" t="inlineStr">
        <is>
          <t>2 BD / 1 BA</t>
        </is>
      </c>
      <c r="I56" s="54" t="inlineStr">
        <is>
          <t>Yes</t>
        </is>
      </c>
      <c r="J56" s="54" t="inlineStr">
        <is>
          <t>Full</t>
        </is>
      </c>
      <c r="K56" s="36" t="inlineStr">
        <is>
          <t>Leia Lyons</t>
        </is>
      </c>
      <c r="L56" s="55" t="n">
        <v>950</v>
      </c>
      <c r="M56" s="56" t="n">
        <v>2</v>
      </c>
      <c r="N56" s="56" t="n">
        <v>1</v>
      </c>
      <c r="Q56" s="57" t="inlineStr">
        <is>
          <t>Occ</t>
        </is>
      </c>
      <c r="U56" s="58" t="n">
        <v>1120</v>
      </c>
      <c r="V56" s="58" t="n">
        <v>1095</v>
      </c>
      <c r="W56" s="58" t="n">
        <v>0</v>
      </c>
      <c r="X56" s="58" t="n">
        <v>0</v>
      </c>
      <c r="Y56" s="58" t="n">
        <v>0</v>
      </c>
      <c r="Z56" s="59" t="n">
        <v>45849</v>
      </c>
      <c r="AA56" s="59" t="n">
        <v>45849</v>
      </c>
      <c r="AB56" s="59" t="n">
        <v>46213</v>
      </c>
    </row>
    <row r="57">
      <c r="D57" s="36" t="inlineStr">
        <is>
          <t>Station J Town</t>
        </is>
      </c>
      <c r="E57" s="54" t="inlineStr">
        <is>
          <t>B02</t>
        </is>
      </c>
      <c r="F57" s="54" t="inlineStr">
        <is>
          <t>stjt2A1R</t>
        </is>
      </c>
      <c r="G57" s="54" t="inlineStr">
        <is>
          <t>1 BD / 1 BA</t>
        </is>
      </c>
      <c r="I57" s="54" t="inlineStr">
        <is>
          <t>Yes</t>
        </is>
      </c>
      <c r="J57" s="54" t="inlineStr">
        <is>
          <t>Full</t>
        </is>
      </c>
      <c r="K57" s="36" t="inlineStr">
        <is>
          <t>Zalayah Skinner</t>
        </is>
      </c>
      <c r="L57" s="55" t="n">
        <v>850</v>
      </c>
      <c r="M57" s="56" t="n">
        <v>1</v>
      </c>
      <c r="N57" s="56" t="n">
        <v>1</v>
      </c>
      <c r="Q57" s="57" t="inlineStr">
        <is>
          <t>Occ</t>
        </is>
      </c>
      <c r="U57" s="58" t="n">
        <v>1040</v>
      </c>
      <c r="V57" s="58" t="n">
        <v>1025</v>
      </c>
      <c r="W57" s="58" t="n">
        <v>0</v>
      </c>
      <c r="X57" s="58" t="n">
        <v>0</v>
      </c>
      <c r="Y57" s="58" t="n">
        <v>0</v>
      </c>
      <c r="Z57" s="59" t="n">
        <v>45786</v>
      </c>
      <c r="AA57" s="59" t="n">
        <v>45786</v>
      </c>
      <c r="AB57" s="59" t="n">
        <v>46150</v>
      </c>
    </row>
    <row r="58">
      <c r="D58" s="36" t="inlineStr">
        <is>
          <t>Station J Town</t>
        </is>
      </c>
      <c r="E58" s="54" t="inlineStr">
        <is>
          <t>B03</t>
        </is>
      </c>
      <c r="F58" s="54" t="inlineStr">
        <is>
          <t>stjt2B1</t>
        </is>
      </c>
      <c r="G58" s="54" t="inlineStr">
        <is>
          <t>2 BD / 1 BA</t>
        </is>
      </c>
      <c r="K58" s="36" t="inlineStr">
        <is>
          <t>VACANT</t>
        </is>
      </c>
      <c r="L58" s="55" t="n">
        <v>950</v>
      </c>
      <c r="M58" s="56" t="n">
        <v>2</v>
      </c>
      <c r="N58" s="56" t="n">
        <v>1</v>
      </c>
      <c r="Q58" s="57" t="inlineStr">
        <is>
          <t>Vac</t>
        </is>
      </c>
      <c r="U58" s="58" t="n">
        <v>965</v>
      </c>
      <c r="V58" s="58" t="n">
        <v>0</v>
      </c>
      <c r="W58" s="58" t="n">
        <v>0</v>
      </c>
      <c r="X58" s="58" t="n">
        <v>0</v>
      </c>
      <c r="Y58" s="58" t="n">
        <v>0</v>
      </c>
    </row>
    <row r="59">
      <c r="D59" s="36" t="inlineStr">
        <is>
          <t>Station J Town</t>
        </is>
      </c>
      <c r="E59" s="54" t="inlineStr">
        <is>
          <t>B04</t>
        </is>
      </c>
      <c r="F59" s="54" t="inlineStr">
        <is>
          <t>stjt2A1</t>
        </is>
      </c>
      <c r="G59" s="54" t="inlineStr">
        <is>
          <t>1 BD / 1 BA</t>
        </is>
      </c>
      <c r="K59" s="36" t="inlineStr">
        <is>
          <t>Parker Robinson~</t>
        </is>
      </c>
      <c r="L59" s="55" t="n">
        <v>850</v>
      </c>
      <c r="M59" s="56" t="n">
        <v>1</v>
      </c>
      <c r="N59" s="56" t="n">
        <v>1</v>
      </c>
      <c r="Q59" s="57" t="inlineStr">
        <is>
          <t>Occ</t>
        </is>
      </c>
      <c r="U59" s="58" t="n">
        <v>995</v>
      </c>
      <c r="V59" s="58" t="n">
        <v>835</v>
      </c>
      <c r="W59" s="58" t="n">
        <v>0</v>
      </c>
      <c r="X59" s="58" t="n">
        <v>0</v>
      </c>
      <c r="Y59" s="58" t="n">
        <v>0</v>
      </c>
      <c r="Z59" s="59" t="n">
        <v>45233</v>
      </c>
      <c r="AA59" s="59" t="n">
        <v>45233</v>
      </c>
      <c r="AB59" s="59" t="n">
        <v>46509</v>
      </c>
    </row>
    <row r="60">
      <c r="D60" s="36" t="inlineStr">
        <is>
          <t>Station J Town</t>
        </is>
      </c>
      <c r="E60" s="54" t="inlineStr">
        <is>
          <t>B05</t>
        </is>
      </c>
      <c r="F60" s="54" t="inlineStr">
        <is>
          <t>stjt2B1R</t>
        </is>
      </c>
      <c r="G60" s="54" t="inlineStr">
        <is>
          <t>2 BD / 1 BA</t>
        </is>
      </c>
      <c r="I60" s="54" t="inlineStr">
        <is>
          <t>Yes</t>
        </is>
      </c>
      <c r="J60" s="54" t="inlineStr">
        <is>
          <t>Full</t>
        </is>
      </c>
      <c r="K60" s="36" t="inlineStr">
        <is>
          <t>Joshua Norrington</t>
        </is>
      </c>
      <c r="L60" s="55" t="n">
        <v>950</v>
      </c>
      <c r="M60" s="56" t="n">
        <v>2</v>
      </c>
      <c r="N60" s="56" t="n">
        <v>1</v>
      </c>
      <c r="Q60" s="57" t="inlineStr">
        <is>
          <t>Occ</t>
        </is>
      </c>
      <c r="U60" s="58" t="n">
        <v>1135</v>
      </c>
      <c r="V60" s="58" t="n">
        <v>1135</v>
      </c>
      <c r="W60" s="58" t="n">
        <v>0</v>
      </c>
      <c r="X60" s="58" t="n">
        <v>0</v>
      </c>
      <c r="Y60" s="58" t="n">
        <v>0</v>
      </c>
      <c r="Z60" s="59" t="n">
        <v>46150</v>
      </c>
      <c r="AA60" s="59" t="n">
        <v>46150</v>
      </c>
      <c r="AB60" s="59" t="n">
        <v>46575</v>
      </c>
    </row>
    <row r="61">
      <c r="D61" s="36" t="inlineStr">
        <is>
          <t>Station J Town</t>
        </is>
      </c>
      <c r="E61" s="54" t="inlineStr">
        <is>
          <t>B06</t>
        </is>
      </c>
      <c r="F61" s="54" t="inlineStr">
        <is>
          <t>stjt2A1</t>
        </is>
      </c>
      <c r="G61" s="54" t="inlineStr">
        <is>
          <t>1 BD / 1 BA</t>
        </is>
      </c>
      <c r="K61" s="36" t="inlineStr">
        <is>
          <t>Greg Thorpe</t>
        </is>
      </c>
      <c r="L61" s="55" t="n">
        <v>850</v>
      </c>
      <c r="M61" s="56" t="n">
        <v>1</v>
      </c>
      <c r="N61" s="56" t="n">
        <v>1</v>
      </c>
      <c r="Q61" s="57" t="inlineStr">
        <is>
          <t>Occ</t>
        </is>
      </c>
      <c r="U61" s="58" t="n">
        <v>990</v>
      </c>
      <c r="V61" s="58" t="n">
        <v>897</v>
      </c>
      <c r="W61" s="58" t="n">
        <v>0</v>
      </c>
      <c r="X61" s="58" t="n">
        <v>0</v>
      </c>
      <c r="Y61" s="58" t="n">
        <v>0</v>
      </c>
      <c r="Z61" s="59" t="n">
        <v>44310</v>
      </c>
      <c r="AA61" s="59" t="n">
        <v>44310</v>
      </c>
      <c r="AB61" s="59" t="n">
        <v>46196</v>
      </c>
    </row>
    <row r="62">
      <c r="D62" s="36" t="inlineStr">
        <is>
          <t>Station J Town</t>
        </is>
      </c>
      <c r="E62" s="54" t="inlineStr">
        <is>
          <t>B07</t>
        </is>
      </c>
      <c r="F62" s="54" t="inlineStr">
        <is>
          <t>stjt2B1R</t>
        </is>
      </c>
      <c r="G62" s="54" t="inlineStr">
        <is>
          <t>2 BD / 1 BA</t>
        </is>
      </c>
      <c r="I62" s="54" t="inlineStr">
        <is>
          <t>Yes</t>
        </is>
      </c>
      <c r="J62" s="54" t="inlineStr">
        <is>
          <t>Full</t>
        </is>
      </c>
      <c r="K62" s="36" t="inlineStr">
        <is>
          <t>Acacia Acantha</t>
        </is>
      </c>
      <c r="L62" s="55" t="n">
        <v>950</v>
      </c>
      <c r="M62" s="56" t="n">
        <v>2</v>
      </c>
      <c r="N62" s="56" t="n">
        <v>1</v>
      </c>
      <c r="Q62" s="57" t="inlineStr">
        <is>
          <t>Occ</t>
        </is>
      </c>
      <c r="U62" s="58" t="n">
        <v>1135</v>
      </c>
      <c r="V62" s="58" t="n">
        <v>1050</v>
      </c>
      <c r="W62" s="58" t="n">
        <v>0</v>
      </c>
      <c r="X62" s="58" t="n">
        <v>0</v>
      </c>
      <c r="Y62" s="58" t="n">
        <v>0</v>
      </c>
      <c r="Z62" s="59" t="n">
        <v>45106</v>
      </c>
      <c r="AA62" s="59" t="n">
        <v>45106</v>
      </c>
      <c r="AB62" s="59" t="n">
        <v>46201</v>
      </c>
    </row>
    <row r="63">
      <c r="D63" s="36" t="inlineStr">
        <is>
          <t>Station J Town</t>
        </is>
      </c>
      <c r="E63" s="54" t="inlineStr">
        <is>
          <t>B08</t>
        </is>
      </c>
      <c r="F63" s="54" t="inlineStr">
        <is>
          <t>stjt2A1</t>
        </is>
      </c>
      <c r="G63" s="54" t="inlineStr">
        <is>
          <t>1 BD / 1 BA</t>
        </is>
      </c>
      <c r="K63" s="36" t="inlineStr">
        <is>
          <t>Carlos Ntchou</t>
        </is>
      </c>
      <c r="L63" s="55" t="n">
        <v>850</v>
      </c>
      <c r="M63" s="56" t="n">
        <v>1</v>
      </c>
      <c r="N63" s="56" t="n">
        <v>1</v>
      </c>
      <c r="Q63" s="57" t="inlineStr">
        <is>
          <t>Occ</t>
        </is>
      </c>
      <c r="U63" s="58" t="n">
        <v>990</v>
      </c>
      <c r="V63" s="58" t="n">
        <v>898</v>
      </c>
      <c r="W63" s="58" t="n">
        <v>0</v>
      </c>
      <c r="X63" s="58" t="n">
        <v>0</v>
      </c>
      <c r="Y63" s="58" t="n">
        <v>0</v>
      </c>
      <c r="Z63" s="59" t="n">
        <v>44322</v>
      </c>
      <c r="AA63" s="59" t="n">
        <v>44322</v>
      </c>
      <c r="AB63" s="59" t="n">
        <v>46178</v>
      </c>
    </row>
    <row r="64">
      <c r="D64" s="36" t="inlineStr">
        <is>
          <t>Station J Town</t>
        </is>
      </c>
      <c r="E64" s="54" t="inlineStr">
        <is>
          <t>B09</t>
        </is>
      </c>
      <c r="F64" s="54" t="inlineStr">
        <is>
          <t>stjt2B1</t>
        </is>
      </c>
      <c r="G64" s="54" t="inlineStr">
        <is>
          <t>2 BD / 1 BA</t>
        </is>
      </c>
      <c r="K64" s="36" t="inlineStr">
        <is>
          <t>Aminata Bassirou</t>
        </is>
      </c>
      <c r="L64" s="55" t="n">
        <v>950</v>
      </c>
      <c r="M64" s="56" t="n">
        <v>2</v>
      </c>
      <c r="N64" s="56" t="n">
        <v>1</v>
      </c>
      <c r="Q64" s="57" t="inlineStr">
        <is>
          <t>Occ</t>
        </is>
      </c>
      <c r="U64" s="58" t="n">
        <v>1035</v>
      </c>
      <c r="V64" s="58" t="n">
        <v>1025</v>
      </c>
      <c r="W64" s="58" t="n">
        <v>0</v>
      </c>
      <c r="X64" s="58" t="n">
        <v>0</v>
      </c>
      <c r="Y64" s="58" t="n">
        <v>0</v>
      </c>
      <c r="Z64" s="59" t="n">
        <v>45860</v>
      </c>
      <c r="AA64" s="59" t="n">
        <v>45860</v>
      </c>
      <c r="AB64" s="59" t="n">
        <v>46255</v>
      </c>
    </row>
    <row r="65">
      <c r="D65" s="36" t="inlineStr">
        <is>
          <t>Station J Town</t>
        </is>
      </c>
      <c r="E65" s="54" t="inlineStr">
        <is>
          <t>B10</t>
        </is>
      </c>
      <c r="F65" s="54" t="inlineStr">
        <is>
          <t>stjt2A1</t>
        </is>
      </c>
      <c r="G65" s="54" t="inlineStr">
        <is>
          <t>1 BD / 1 BA</t>
        </is>
      </c>
      <c r="K65" s="36" t="inlineStr">
        <is>
          <t>Jaden Thompson</t>
        </is>
      </c>
      <c r="L65" s="55" t="n">
        <v>850</v>
      </c>
      <c r="M65" s="56" t="n">
        <v>1</v>
      </c>
      <c r="N65" s="56" t="n">
        <v>1</v>
      </c>
      <c r="Q65" s="57" t="inlineStr">
        <is>
          <t>Occ</t>
        </is>
      </c>
      <c r="U65" s="58" t="n">
        <v>990</v>
      </c>
      <c r="V65" s="58" t="n">
        <v>925</v>
      </c>
      <c r="W65" s="58" t="n">
        <v>0</v>
      </c>
      <c r="X65" s="58" t="n">
        <v>0</v>
      </c>
      <c r="Y65" s="58" t="n">
        <v>0</v>
      </c>
      <c r="Z65" s="59" t="n">
        <v>45831</v>
      </c>
      <c r="AA65" s="59" t="n">
        <v>45831</v>
      </c>
      <c r="AB65" s="59" t="n">
        <v>46195</v>
      </c>
    </row>
    <row r="66">
      <c r="D66" s="36" t="inlineStr">
        <is>
          <t>Station J Town</t>
        </is>
      </c>
      <c r="E66" s="54" t="inlineStr">
        <is>
          <t>B11</t>
        </is>
      </c>
      <c r="F66" s="54" t="inlineStr">
        <is>
          <t>stjt2B2R</t>
        </is>
      </c>
      <c r="G66" s="54" t="inlineStr">
        <is>
          <t>2 BD / 1.5 BA</t>
        </is>
      </c>
      <c r="I66" s="54" t="inlineStr">
        <is>
          <t>Yes</t>
        </is>
      </c>
      <c r="J66" s="54" t="inlineStr">
        <is>
          <t>Full</t>
        </is>
      </c>
      <c r="K66" s="36" t="inlineStr">
        <is>
          <t>Tim Miller</t>
        </is>
      </c>
      <c r="L66" s="55" t="n">
        <v>950</v>
      </c>
      <c r="M66" s="56" t="n">
        <v>2</v>
      </c>
      <c r="N66" s="56" t="n">
        <v>1.5</v>
      </c>
      <c r="Q66" s="57" t="inlineStr">
        <is>
          <t>Occ</t>
        </is>
      </c>
      <c r="U66" s="58" t="n">
        <v>1214</v>
      </c>
      <c r="V66" s="58" t="n">
        <v>1075</v>
      </c>
      <c r="W66" s="58" t="n">
        <v>0</v>
      </c>
      <c r="X66" s="58" t="n">
        <v>0</v>
      </c>
      <c r="Y66" s="58" t="n">
        <v>0</v>
      </c>
      <c r="Z66" s="59" t="n">
        <v>45985</v>
      </c>
      <c r="AA66" s="59" t="n">
        <v>45985</v>
      </c>
      <c r="AB66" s="59" t="n">
        <v>46349</v>
      </c>
    </row>
    <row r="67">
      <c r="D67" s="36" t="inlineStr">
        <is>
          <t>Station J Town</t>
        </is>
      </c>
      <c r="E67" s="54" t="inlineStr">
        <is>
          <t>B12</t>
        </is>
      </c>
      <c r="F67" s="54" t="inlineStr">
        <is>
          <t>stjt2A1</t>
        </is>
      </c>
      <c r="G67" s="54" t="inlineStr">
        <is>
          <t>1 BD / 1 BA</t>
        </is>
      </c>
      <c r="K67" s="36" t="inlineStr">
        <is>
          <t>Austin Avery</t>
        </is>
      </c>
      <c r="L67" s="55" t="n">
        <v>850</v>
      </c>
      <c r="M67" s="56" t="n">
        <v>1</v>
      </c>
      <c r="N67" s="56" t="n">
        <v>1</v>
      </c>
      <c r="Q67" s="57" t="inlineStr">
        <is>
          <t>Occ</t>
        </is>
      </c>
      <c r="U67" s="58" t="n">
        <v>990</v>
      </c>
      <c r="V67" s="58" t="n">
        <v>925</v>
      </c>
      <c r="W67" s="58" t="n">
        <v>0</v>
      </c>
      <c r="X67" s="58" t="n">
        <v>0</v>
      </c>
      <c r="Y67" s="58" t="n">
        <v>0</v>
      </c>
      <c r="Z67" s="59" t="n">
        <v>45836</v>
      </c>
      <c r="AA67" s="59" t="n">
        <v>45836</v>
      </c>
      <c r="AB67" s="59" t="n">
        <v>46383</v>
      </c>
    </row>
    <row r="68">
      <c r="D68" s="36" t="inlineStr">
        <is>
          <t>Station J Town</t>
        </is>
      </c>
      <c r="E68" s="54" t="inlineStr">
        <is>
          <t>B13</t>
        </is>
      </c>
      <c r="F68" s="54" t="inlineStr">
        <is>
          <t>stjt2A1</t>
        </is>
      </c>
      <c r="G68" s="54" t="inlineStr">
        <is>
          <t>1 BD / 1 BA</t>
        </is>
      </c>
      <c r="K68" s="36" t="inlineStr">
        <is>
          <t>Daniel Zegelin</t>
        </is>
      </c>
      <c r="L68" s="55" t="n">
        <v>850</v>
      </c>
      <c r="M68" s="56" t="n">
        <v>1</v>
      </c>
      <c r="N68" s="56" t="n">
        <v>1</v>
      </c>
      <c r="Q68" s="57" t="inlineStr">
        <is>
          <t>Occ</t>
        </is>
      </c>
      <c r="U68" s="58" t="n">
        <v>975</v>
      </c>
      <c r="V68" s="58" t="n">
        <v>960</v>
      </c>
      <c r="W68" s="58" t="n">
        <v>0</v>
      </c>
      <c r="X68" s="58" t="n">
        <v>0</v>
      </c>
      <c r="Y68" s="58" t="n">
        <v>0</v>
      </c>
      <c r="Z68" s="59" t="n">
        <v>45964</v>
      </c>
      <c r="AA68" s="59" t="n">
        <v>45964</v>
      </c>
      <c r="AB68" s="59" t="n">
        <v>46328</v>
      </c>
    </row>
    <row r="69">
      <c r="D69" s="36" t="inlineStr">
        <is>
          <t>Station J Town</t>
        </is>
      </c>
      <c r="E69" s="54" t="inlineStr">
        <is>
          <t>B14</t>
        </is>
      </c>
      <c r="F69" s="54" t="inlineStr">
        <is>
          <t>stjt2B1</t>
        </is>
      </c>
      <c r="G69" s="54" t="inlineStr">
        <is>
          <t>2 BD / 1 BA</t>
        </is>
      </c>
      <c r="K69" s="36" t="inlineStr">
        <is>
          <t>Zadin Moore</t>
        </is>
      </c>
      <c r="L69" s="55" t="n">
        <v>950</v>
      </c>
      <c r="M69" s="56" t="n">
        <v>2</v>
      </c>
      <c r="N69" s="56" t="n">
        <v>1</v>
      </c>
      <c r="Q69" s="57" t="inlineStr">
        <is>
          <t>Occ</t>
        </is>
      </c>
      <c r="U69" s="58" t="n">
        <v>1020</v>
      </c>
      <c r="V69" s="58" t="n">
        <v>1010</v>
      </c>
      <c r="W69" s="58" t="n">
        <v>0</v>
      </c>
      <c r="X69" s="58" t="n">
        <v>0</v>
      </c>
      <c r="Y69" s="58" t="n">
        <v>0</v>
      </c>
      <c r="Z69" s="59" t="n">
        <v>46112</v>
      </c>
      <c r="AA69" s="59" t="n">
        <v>46112</v>
      </c>
      <c r="AB69" s="59" t="n">
        <v>46476</v>
      </c>
    </row>
    <row r="70">
      <c r="D70" s="36" t="inlineStr">
        <is>
          <t>Station J Town</t>
        </is>
      </c>
      <c r="E70" s="54" t="inlineStr">
        <is>
          <t>B15</t>
        </is>
      </c>
      <c r="F70" s="54" t="inlineStr">
        <is>
          <t>stjt2A1</t>
        </is>
      </c>
      <c r="G70" s="54" t="inlineStr">
        <is>
          <t>1 BD / 1 BA</t>
        </is>
      </c>
      <c r="K70" s="36" t="inlineStr">
        <is>
          <t>William Poirier</t>
        </is>
      </c>
      <c r="L70" s="55" t="n">
        <v>850</v>
      </c>
      <c r="M70" s="56" t="n">
        <v>1</v>
      </c>
      <c r="N70" s="56" t="n">
        <v>1</v>
      </c>
      <c r="Q70" s="57" t="inlineStr">
        <is>
          <t>Occ</t>
        </is>
      </c>
      <c r="U70" s="58" t="n">
        <v>975</v>
      </c>
      <c r="V70" s="58" t="n">
        <v>910</v>
      </c>
      <c r="W70" s="58" t="n">
        <v>0</v>
      </c>
      <c r="X70" s="58" t="n">
        <v>0</v>
      </c>
      <c r="Y70" s="58" t="n">
        <v>0</v>
      </c>
      <c r="Z70" s="59" t="n">
        <v>45813</v>
      </c>
      <c r="AA70" s="59" t="n">
        <v>45813</v>
      </c>
      <c r="AB70" s="59" t="n">
        <v>46177</v>
      </c>
    </row>
    <row r="71">
      <c r="D71" s="36" t="inlineStr">
        <is>
          <t>Station J Town</t>
        </is>
      </c>
      <c r="E71" s="54" t="inlineStr">
        <is>
          <t>B16</t>
        </is>
      </c>
      <c r="F71" s="54" t="inlineStr">
        <is>
          <t>stjt2B1R</t>
        </is>
      </c>
      <c r="G71" s="54" t="inlineStr">
        <is>
          <t>2 BD / 1 BA</t>
        </is>
      </c>
      <c r="I71" s="54" t="inlineStr">
        <is>
          <t>Yes</t>
        </is>
      </c>
      <c r="J71" s="54" t="inlineStr">
        <is>
          <t>Full</t>
        </is>
      </c>
      <c r="K71" s="36" t="inlineStr">
        <is>
          <t>Noah Koerper</t>
        </is>
      </c>
      <c r="L71" s="55" t="n">
        <v>950</v>
      </c>
      <c r="M71" s="56" t="n">
        <v>2</v>
      </c>
      <c r="N71" s="56" t="n">
        <v>1</v>
      </c>
      <c r="Q71" s="57" t="inlineStr">
        <is>
          <t>Occ</t>
        </is>
      </c>
      <c r="U71" s="58" t="n">
        <v>1120</v>
      </c>
      <c r="V71" s="58" t="n">
        <v>1045</v>
      </c>
      <c r="W71" s="58" t="n">
        <v>0</v>
      </c>
      <c r="X71" s="58" t="n">
        <v>0</v>
      </c>
      <c r="Y71" s="58" t="n">
        <v>0</v>
      </c>
      <c r="Z71" s="59" t="n">
        <v>45766</v>
      </c>
      <c r="AA71" s="59" t="n">
        <v>45766</v>
      </c>
      <c r="AB71" s="59" t="n">
        <v>46130</v>
      </c>
    </row>
    <row r="72">
      <c r="D72" s="36" t="inlineStr">
        <is>
          <t>Station J Town</t>
        </is>
      </c>
      <c r="E72" s="54" t="inlineStr">
        <is>
          <t>B17</t>
        </is>
      </c>
      <c r="F72" s="54" t="inlineStr">
        <is>
          <t>stjt2A1</t>
        </is>
      </c>
      <c r="G72" s="54" t="inlineStr">
        <is>
          <t>1 BD / 1 BA</t>
        </is>
      </c>
      <c r="K72" s="36" t="inlineStr">
        <is>
          <t>Jonathan Rahoman</t>
        </is>
      </c>
      <c r="L72" s="55" t="n">
        <v>850</v>
      </c>
      <c r="M72" s="56" t="n">
        <v>1</v>
      </c>
      <c r="N72" s="56" t="n">
        <v>1</v>
      </c>
      <c r="Q72" s="57" t="inlineStr">
        <is>
          <t>Occ</t>
        </is>
      </c>
      <c r="U72" s="58" t="n">
        <v>990</v>
      </c>
      <c r="V72" s="58" t="n">
        <v>910</v>
      </c>
      <c r="W72" s="58" t="n">
        <v>0</v>
      </c>
      <c r="X72" s="58" t="n">
        <v>0</v>
      </c>
      <c r="Y72" s="58" t="n">
        <v>0</v>
      </c>
      <c r="Z72" s="59" t="n">
        <v>45615</v>
      </c>
      <c r="AA72" s="59" t="n">
        <v>45615</v>
      </c>
      <c r="AB72" s="59" t="n">
        <v>46160</v>
      </c>
    </row>
    <row r="73">
      <c r="D73" s="36" t="inlineStr">
        <is>
          <t>Station J Town</t>
        </is>
      </c>
      <c r="E73" s="54" t="inlineStr">
        <is>
          <t>B18</t>
        </is>
      </c>
      <c r="F73" s="54" t="inlineStr">
        <is>
          <t>stjt2B1</t>
        </is>
      </c>
      <c r="G73" s="54" t="inlineStr">
        <is>
          <t>2 BD / 1 BA</t>
        </is>
      </c>
      <c r="K73" s="36" t="inlineStr">
        <is>
          <t>Sisalle Evans</t>
        </is>
      </c>
      <c r="L73" s="55" t="n">
        <v>950</v>
      </c>
      <c r="M73" s="56" t="n">
        <v>2</v>
      </c>
      <c r="N73" s="56" t="n">
        <v>1</v>
      </c>
      <c r="Q73" s="57" t="inlineStr">
        <is>
          <t>Occ</t>
        </is>
      </c>
      <c r="U73" s="58" t="n">
        <v>1035</v>
      </c>
      <c r="V73" s="58" t="n">
        <v>925</v>
      </c>
      <c r="W73" s="58" t="n">
        <v>0</v>
      </c>
      <c r="X73" s="58" t="n">
        <v>0</v>
      </c>
      <c r="Y73" s="58" t="n">
        <v>0</v>
      </c>
      <c r="Z73" s="59" t="n">
        <v>45958</v>
      </c>
      <c r="AA73" s="59" t="n">
        <v>45958</v>
      </c>
      <c r="AB73" s="59" t="n">
        <v>46322</v>
      </c>
    </row>
    <row r="74">
      <c r="D74" s="36" t="inlineStr">
        <is>
          <t>Station J Town</t>
        </is>
      </c>
      <c r="E74" s="54" t="inlineStr">
        <is>
          <t>B19</t>
        </is>
      </c>
      <c r="F74" s="54" t="inlineStr">
        <is>
          <t>stjt2A1</t>
        </is>
      </c>
      <c r="G74" s="54" t="inlineStr">
        <is>
          <t>1 BD / 1 BA</t>
        </is>
      </c>
      <c r="K74" s="36" t="inlineStr">
        <is>
          <t>Patti Shomo~</t>
        </is>
      </c>
      <c r="L74" s="55" t="n">
        <v>850</v>
      </c>
      <c r="M74" s="56" t="n">
        <v>1</v>
      </c>
      <c r="N74" s="56" t="n">
        <v>1</v>
      </c>
      <c r="Q74" s="57" t="inlineStr">
        <is>
          <t>Occ</t>
        </is>
      </c>
      <c r="U74" s="58" t="n">
        <v>990</v>
      </c>
      <c r="V74" s="58" t="n">
        <v>950</v>
      </c>
      <c r="W74" s="58" t="n">
        <v>0</v>
      </c>
      <c r="X74" s="58" t="n">
        <v>0</v>
      </c>
      <c r="Y74" s="58" t="n">
        <v>0</v>
      </c>
      <c r="Z74" s="59" t="n">
        <v>45583</v>
      </c>
      <c r="AA74" s="59" t="n">
        <v>45583</v>
      </c>
      <c r="AB74" s="59" t="n">
        <v>46463</v>
      </c>
    </row>
    <row r="75">
      <c r="D75" s="36" t="inlineStr">
        <is>
          <t>Station J Town</t>
        </is>
      </c>
      <c r="E75" s="54" t="inlineStr">
        <is>
          <t>B20</t>
        </is>
      </c>
      <c r="F75" s="54" t="inlineStr">
        <is>
          <t>stjt2B1R</t>
        </is>
      </c>
      <c r="G75" s="54" t="inlineStr">
        <is>
          <t>2 BD / 1 BA</t>
        </is>
      </c>
      <c r="I75" s="54" t="inlineStr">
        <is>
          <t>Yes</t>
        </is>
      </c>
      <c r="J75" s="54" t="inlineStr">
        <is>
          <t>Full</t>
        </is>
      </c>
      <c r="K75" s="36" t="inlineStr">
        <is>
          <t>Jaden Foster</t>
        </is>
      </c>
      <c r="L75" s="55" t="n">
        <v>950</v>
      </c>
      <c r="M75" s="56" t="n">
        <v>2</v>
      </c>
      <c r="N75" s="56" t="n">
        <v>1</v>
      </c>
      <c r="Q75" s="57" t="inlineStr">
        <is>
          <t>Occ</t>
        </is>
      </c>
      <c r="U75" s="58" t="n">
        <v>1135</v>
      </c>
      <c r="V75" s="58" t="n">
        <v>1125</v>
      </c>
      <c r="W75" s="58" t="n">
        <v>0</v>
      </c>
      <c r="X75" s="58" t="n">
        <v>0</v>
      </c>
      <c r="Y75" s="58" t="n">
        <v>0</v>
      </c>
      <c r="Z75" s="59" t="n">
        <v>45976</v>
      </c>
      <c r="AA75" s="59" t="n">
        <v>45976</v>
      </c>
      <c r="AB75" s="59" t="n">
        <v>46340</v>
      </c>
    </row>
    <row r="76">
      <c r="D76" s="36" t="inlineStr">
        <is>
          <t>Station J Town</t>
        </is>
      </c>
      <c r="E76" s="54" t="inlineStr">
        <is>
          <t>B21</t>
        </is>
      </c>
      <c r="F76" s="54" t="inlineStr">
        <is>
          <t>stjt2A1</t>
        </is>
      </c>
      <c r="G76" s="54" t="inlineStr">
        <is>
          <t>1 BD / 1 BA</t>
        </is>
      </c>
      <c r="K76" s="36" t="inlineStr">
        <is>
          <t>Michael Broderick~</t>
        </is>
      </c>
      <c r="L76" s="55" t="n">
        <v>850</v>
      </c>
      <c r="M76" s="56" t="n">
        <v>1</v>
      </c>
      <c r="N76" s="56" t="n">
        <v>1</v>
      </c>
      <c r="Q76" s="57" t="inlineStr">
        <is>
          <t>Occ</t>
        </is>
      </c>
      <c r="U76" s="58" t="n">
        <v>990</v>
      </c>
      <c r="V76" s="58" t="n">
        <v>925</v>
      </c>
      <c r="W76" s="58" t="n">
        <v>0</v>
      </c>
      <c r="X76" s="58" t="n">
        <v>0</v>
      </c>
      <c r="Y76" s="58" t="n">
        <v>0</v>
      </c>
      <c r="Z76" s="59" t="n">
        <v>45779</v>
      </c>
      <c r="AA76" s="59" t="n">
        <v>45779</v>
      </c>
      <c r="AB76" s="59" t="n">
        <v>46874</v>
      </c>
    </row>
    <row r="77">
      <c r="D77" s="36" t="inlineStr">
        <is>
          <t>Station J Town</t>
        </is>
      </c>
      <c r="E77" s="54" t="inlineStr">
        <is>
          <t>B22</t>
        </is>
      </c>
      <c r="F77" s="54" t="inlineStr">
        <is>
          <t>stjt2B1</t>
        </is>
      </c>
      <c r="G77" s="54" t="inlineStr">
        <is>
          <t>2 BD / 1 BA</t>
        </is>
      </c>
      <c r="K77" s="36" t="inlineStr">
        <is>
          <t>Ian Salazar Gutierrez</t>
        </is>
      </c>
      <c r="L77" s="55" t="n">
        <v>950</v>
      </c>
      <c r="M77" s="56" t="n">
        <v>2</v>
      </c>
      <c r="N77" s="56" t="n">
        <v>1</v>
      </c>
      <c r="Q77" s="57" t="inlineStr">
        <is>
          <t>Occ</t>
        </is>
      </c>
      <c r="U77" s="58" t="n">
        <v>1035</v>
      </c>
      <c r="V77" s="58" t="n">
        <v>1035</v>
      </c>
      <c r="W77" s="58" t="n">
        <v>0</v>
      </c>
      <c r="X77" s="58" t="n">
        <v>0</v>
      </c>
      <c r="Y77" s="58" t="n">
        <v>0</v>
      </c>
      <c r="Z77" s="59" t="n">
        <v>46137</v>
      </c>
      <c r="AA77" s="59" t="n">
        <v>46137</v>
      </c>
      <c r="AB77" s="59" t="n">
        <v>46562</v>
      </c>
    </row>
    <row r="78">
      <c r="D78" s="36" t="inlineStr">
        <is>
          <t>Station J Town</t>
        </is>
      </c>
      <c r="E78" s="54" t="inlineStr">
        <is>
          <t>B23</t>
        </is>
      </c>
      <c r="F78" s="54" t="inlineStr">
        <is>
          <t>stjt2A1</t>
        </is>
      </c>
      <c r="G78" s="54" t="inlineStr">
        <is>
          <t>1 BD / 1 BA</t>
        </is>
      </c>
      <c r="K78" s="36" t="inlineStr">
        <is>
          <t>Jerrett Berry</t>
        </is>
      </c>
      <c r="L78" s="55" t="n">
        <v>850</v>
      </c>
      <c r="M78" s="56" t="n">
        <v>1</v>
      </c>
      <c r="N78" s="56" t="n">
        <v>1</v>
      </c>
      <c r="Q78" s="57" t="inlineStr">
        <is>
          <t>Occ</t>
        </is>
      </c>
      <c r="U78" s="58" t="n">
        <v>990</v>
      </c>
      <c r="V78" s="58" t="n">
        <v>830</v>
      </c>
      <c r="W78" s="58" t="n">
        <v>0</v>
      </c>
      <c r="X78" s="58" t="n">
        <v>0</v>
      </c>
      <c r="Y78" s="58" t="n">
        <v>0</v>
      </c>
      <c r="Z78" s="59" t="n">
        <v>40056</v>
      </c>
      <c r="AA78" s="59" t="n">
        <v>40056</v>
      </c>
      <c r="AB78" s="59" t="n">
        <v>46502</v>
      </c>
    </row>
    <row r="79">
      <c r="D79" s="36" t="inlineStr">
        <is>
          <t>Station J Town</t>
        </is>
      </c>
      <c r="E79" s="54" t="inlineStr">
        <is>
          <t>B24</t>
        </is>
      </c>
      <c r="F79" s="54" t="inlineStr">
        <is>
          <t>stjt2B2</t>
        </is>
      </c>
      <c r="G79" s="54" t="inlineStr">
        <is>
          <t>2 BD / 1.5 BA</t>
        </is>
      </c>
      <c r="K79" s="36" t="inlineStr">
        <is>
          <t>Juan Santos</t>
        </is>
      </c>
      <c r="L79" s="55" t="n">
        <v>950</v>
      </c>
      <c r="M79" s="56" t="n">
        <v>2</v>
      </c>
      <c r="N79" s="56" t="n">
        <v>1.5</v>
      </c>
      <c r="Q79" s="57" t="inlineStr">
        <is>
          <t>Occ</t>
        </is>
      </c>
      <c r="U79" s="58" t="n">
        <v>1095</v>
      </c>
      <c r="V79" s="58" t="n">
        <v>1050</v>
      </c>
      <c r="W79" s="58" t="n">
        <v>0</v>
      </c>
      <c r="X79" s="58" t="n">
        <v>0</v>
      </c>
      <c r="Y79" s="58" t="n">
        <v>0</v>
      </c>
      <c r="Z79" s="59" t="n">
        <v>45601</v>
      </c>
      <c r="AA79" s="59" t="n">
        <v>45601</v>
      </c>
      <c r="AB79" s="59" t="n">
        <v>46511</v>
      </c>
    </row>
    <row r="80">
      <c r="D80" s="36" t="inlineStr">
        <is>
          <t>Station J Town</t>
        </is>
      </c>
      <c r="E80" s="54" t="inlineStr">
        <is>
          <t>C01</t>
        </is>
      </c>
      <c r="F80" s="54" t="inlineStr">
        <is>
          <t>stjt2B1R</t>
        </is>
      </c>
      <c r="G80" s="54" t="inlineStr">
        <is>
          <t>2 BD / 1 BA</t>
        </is>
      </c>
      <c r="I80" s="54" t="inlineStr">
        <is>
          <t>Yes</t>
        </is>
      </c>
      <c r="J80" s="54" t="inlineStr">
        <is>
          <t>Full</t>
        </is>
      </c>
      <c r="K80" s="36" t="inlineStr">
        <is>
          <t>Trentin Sronce</t>
        </is>
      </c>
      <c r="L80" s="55" t="n">
        <v>950</v>
      </c>
      <c r="M80" s="56" t="n">
        <v>2</v>
      </c>
      <c r="N80" s="56" t="n">
        <v>1</v>
      </c>
      <c r="Q80" s="57" t="inlineStr">
        <is>
          <t>Occ</t>
        </is>
      </c>
      <c r="U80" s="58" t="n">
        <v>1175</v>
      </c>
      <c r="V80" s="58" t="n">
        <v>1100</v>
      </c>
      <c r="W80" s="58" t="n">
        <v>0</v>
      </c>
      <c r="X80" s="58" t="n">
        <v>0</v>
      </c>
      <c r="Y80" s="58" t="n">
        <v>0</v>
      </c>
      <c r="Z80" s="59" t="n">
        <v>45887</v>
      </c>
      <c r="AA80" s="59" t="n">
        <v>45887</v>
      </c>
      <c r="AB80" s="59" t="n">
        <v>46251</v>
      </c>
    </row>
    <row r="81">
      <c r="D81" s="36" t="inlineStr">
        <is>
          <t>Station J Town</t>
        </is>
      </c>
      <c r="E81" s="54" t="inlineStr">
        <is>
          <t>C02</t>
        </is>
      </c>
      <c r="F81" s="54" t="inlineStr">
        <is>
          <t>stjt2C1R</t>
        </is>
      </c>
      <c r="G81" s="54" t="inlineStr">
        <is>
          <t>3 BD / 1 BA - A</t>
        </is>
      </c>
      <c r="I81" s="54" t="inlineStr">
        <is>
          <t>Yes</t>
        </is>
      </c>
      <c r="J81" s="54" t="inlineStr">
        <is>
          <t>Full</t>
        </is>
      </c>
      <c r="K81" s="36" t="inlineStr">
        <is>
          <t>Lakeisha Helton</t>
        </is>
      </c>
      <c r="L81" s="55" t="n">
        <v>1075</v>
      </c>
      <c r="M81" s="56" t="n">
        <v>3</v>
      </c>
      <c r="N81" s="56" t="n">
        <v>1</v>
      </c>
      <c r="Q81" s="57" t="inlineStr">
        <is>
          <t>Occ</t>
        </is>
      </c>
      <c r="U81" s="58" t="n">
        <v>1405</v>
      </c>
      <c r="V81" s="58" t="n">
        <v>1425</v>
      </c>
      <c r="W81" s="58" t="n">
        <v>0</v>
      </c>
      <c r="X81" s="58" t="n">
        <v>0</v>
      </c>
      <c r="Y81" s="58" t="n">
        <v>0</v>
      </c>
      <c r="Z81" s="59" t="n">
        <v>44699</v>
      </c>
      <c r="AA81" s="59" t="n">
        <v>44699</v>
      </c>
      <c r="AB81" s="59" t="n">
        <v>46190</v>
      </c>
    </row>
    <row r="82">
      <c r="D82" s="36" t="inlineStr">
        <is>
          <t>Station J Town</t>
        </is>
      </c>
      <c r="E82" s="54" t="inlineStr">
        <is>
          <t>C03</t>
        </is>
      </c>
      <c r="F82" s="54" t="inlineStr">
        <is>
          <t>stjt2B1R</t>
        </is>
      </c>
      <c r="G82" s="54" t="inlineStr">
        <is>
          <t>2 BD / 1 BA</t>
        </is>
      </c>
      <c r="I82" s="54" t="inlineStr">
        <is>
          <t>Yes</t>
        </is>
      </c>
      <c r="J82" s="54" t="inlineStr">
        <is>
          <t>Full</t>
        </is>
      </c>
      <c r="K82" s="36" t="inlineStr">
        <is>
          <t>VACANT</t>
        </is>
      </c>
      <c r="L82" s="55" t="n">
        <v>950</v>
      </c>
      <c r="M82" s="56" t="n">
        <v>2</v>
      </c>
      <c r="N82" s="56" t="n">
        <v>1</v>
      </c>
      <c r="Q82" s="57" t="inlineStr">
        <is>
          <t>Vac</t>
        </is>
      </c>
      <c r="U82" s="58" t="n">
        <v>1120</v>
      </c>
      <c r="V82" s="58" t="n">
        <v>0</v>
      </c>
      <c r="W82" s="58" t="n">
        <v>0</v>
      </c>
      <c r="X82" s="58" t="n">
        <v>0</v>
      </c>
      <c r="Y82" s="58" t="n">
        <v>0</v>
      </c>
    </row>
    <row r="83">
      <c r="D83" s="36" t="inlineStr">
        <is>
          <t>Station J Town</t>
        </is>
      </c>
      <c r="E83" s="54" t="inlineStr">
        <is>
          <t>C04</t>
        </is>
      </c>
      <c r="F83" s="54" t="inlineStr">
        <is>
          <t>stjt2C1</t>
        </is>
      </c>
      <c r="G83" s="54" t="inlineStr">
        <is>
          <t>3 BD / 1 BA - A</t>
        </is>
      </c>
      <c r="K83" s="36" t="inlineStr">
        <is>
          <t>Velencia Kidd</t>
        </is>
      </c>
      <c r="L83" s="55" t="n">
        <v>1075</v>
      </c>
      <c r="M83" s="56" t="n">
        <v>3</v>
      </c>
      <c r="N83" s="56" t="n">
        <v>1</v>
      </c>
      <c r="Q83" s="57" t="inlineStr">
        <is>
          <t>Occ</t>
        </is>
      </c>
      <c r="U83" s="58" t="n">
        <v>1310</v>
      </c>
      <c r="V83" s="58" t="n">
        <v>1285</v>
      </c>
      <c r="W83" s="58" t="n">
        <v>0</v>
      </c>
      <c r="X83" s="58" t="n">
        <v>0</v>
      </c>
      <c r="Y83" s="58" t="n">
        <v>0</v>
      </c>
      <c r="Z83" s="59" t="n">
        <v>45821</v>
      </c>
      <c r="AA83" s="59" t="n">
        <v>45821</v>
      </c>
      <c r="AB83" s="59" t="n">
        <v>46185</v>
      </c>
    </row>
    <row r="84">
      <c r="D84" s="36" t="inlineStr">
        <is>
          <t>Station J Town</t>
        </is>
      </c>
      <c r="E84" s="54" t="inlineStr">
        <is>
          <t>C05</t>
        </is>
      </c>
      <c r="F84" s="54" t="inlineStr">
        <is>
          <t>stjt2B1</t>
        </is>
      </c>
      <c r="G84" s="54" t="inlineStr">
        <is>
          <t>2 BD / 1 BA</t>
        </is>
      </c>
      <c r="K84" s="36" t="inlineStr">
        <is>
          <t>Sonia Bermudez</t>
        </is>
      </c>
      <c r="L84" s="55" t="n">
        <v>950</v>
      </c>
      <c r="M84" s="56" t="n">
        <v>2</v>
      </c>
      <c r="N84" s="56" t="n">
        <v>1</v>
      </c>
      <c r="Q84" s="57" t="inlineStr">
        <is>
          <t>Occ</t>
        </is>
      </c>
      <c r="U84" s="58" t="n">
        <v>1090</v>
      </c>
      <c r="V84" s="58" t="n">
        <v>1080</v>
      </c>
      <c r="W84" s="58" t="n">
        <v>0</v>
      </c>
      <c r="X84" s="58" t="n">
        <v>0</v>
      </c>
      <c r="Y84" s="58" t="n">
        <v>0</v>
      </c>
      <c r="Z84" s="59" t="n">
        <v>45910</v>
      </c>
      <c r="AA84" s="59" t="n">
        <v>45910</v>
      </c>
      <c r="AB84" s="59" t="n">
        <v>46274</v>
      </c>
    </row>
    <row r="85">
      <c r="D85" s="36" t="inlineStr">
        <is>
          <t>Station J Town</t>
        </is>
      </c>
      <c r="E85" s="54" t="inlineStr">
        <is>
          <t>C06</t>
        </is>
      </c>
      <c r="F85" s="54" t="inlineStr">
        <is>
          <t>stjt2C1R</t>
        </is>
      </c>
      <c r="G85" s="54" t="inlineStr">
        <is>
          <t>3 BD / 1 BA - A</t>
        </is>
      </c>
      <c r="I85" s="54" t="inlineStr">
        <is>
          <t>Yes</t>
        </is>
      </c>
      <c r="J85" s="54" t="inlineStr">
        <is>
          <t>Full</t>
        </is>
      </c>
      <c r="K85" s="36" t="inlineStr">
        <is>
          <t>Brittany Dixon</t>
        </is>
      </c>
      <c r="L85" s="55" t="n">
        <v>1075</v>
      </c>
      <c r="M85" s="56" t="n">
        <v>3</v>
      </c>
      <c r="N85" s="56" t="n">
        <v>1</v>
      </c>
      <c r="Q85" s="57" t="inlineStr">
        <is>
          <t>Occ</t>
        </is>
      </c>
      <c r="U85" s="58" t="n">
        <v>1420</v>
      </c>
      <c r="V85" s="58" t="n">
        <v>1295</v>
      </c>
      <c r="W85" s="58" t="n">
        <v>0</v>
      </c>
      <c r="X85" s="58" t="n">
        <v>0</v>
      </c>
      <c r="Y85" s="58" t="n">
        <v>0</v>
      </c>
      <c r="Z85" s="59" t="n">
        <v>45717</v>
      </c>
      <c r="AA85" s="59" t="n">
        <v>45717</v>
      </c>
      <c r="AB85" s="59" t="n">
        <v>46173</v>
      </c>
    </row>
    <row r="86">
      <c r="D86" s="36" t="inlineStr">
        <is>
          <t>Station J Town</t>
        </is>
      </c>
      <c r="E86" s="54" t="inlineStr">
        <is>
          <t>C07</t>
        </is>
      </c>
      <c r="F86" s="54" t="inlineStr">
        <is>
          <t>stjt2B1</t>
        </is>
      </c>
      <c r="G86" s="54" t="inlineStr">
        <is>
          <t>2 BD / 1 BA</t>
        </is>
      </c>
      <c r="K86" s="36" t="inlineStr">
        <is>
          <t>Lemrabot El Imam</t>
        </is>
      </c>
      <c r="L86" s="55" t="n">
        <v>950</v>
      </c>
      <c r="M86" s="56" t="n">
        <v>2</v>
      </c>
      <c r="N86" s="56" t="n">
        <v>1</v>
      </c>
      <c r="Q86" s="57" t="inlineStr">
        <is>
          <t>Occ</t>
        </is>
      </c>
      <c r="U86" s="58" t="n">
        <v>1090</v>
      </c>
      <c r="V86" s="58" t="n">
        <v>1055</v>
      </c>
      <c r="W86" s="58" t="n">
        <v>0</v>
      </c>
      <c r="X86" s="58" t="n">
        <v>0</v>
      </c>
      <c r="Y86" s="58" t="n">
        <v>0</v>
      </c>
      <c r="Z86" s="59" t="n">
        <v>45413</v>
      </c>
      <c r="AA86" s="59" t="n">
        <v>45413</v>
      </c>
      <c r="AB86" s="59" t="n">
        <v>46142</v>
      </c>
    </row>
    <row r="87">
      <c r="D87" s="36" t="inlineStr">
        <is>
          <t>Station J Town</t>
        </is>
      </c>
      <c r="E87" s="54" t="inlineStr">
        <is>
          <t>C08</t>
        </is>
      </c>
      <c r="F87" s="54" t="inlineStr">
        <is>
          <t>stjt2C1R</t>
        </is>
      </c>
      <c r="G87" s="54" t="inlineStr">
        <is>
          <t>3 BD / 1 BA - A</t>
        </is>
      </c>
      <c r="I87" s="54" t="inlineStr">
        <is>
          <t>Yes</t>
        </is>
      </c>
      <c r="J87" s="54" t="inlineStr">
        <is>
          <t>Full</t>
        </is>
      </c>
      <c r="K87" s="36" t="inlineStr">
        <is>
          <t>Jorge Martinez Hernandez</t>
        </is>
      </c>
      <c r="L87" s="55" t="n">
        <v>1075</v>
      </c>
      <c r="M87" s="56" t="n">
        <v>3</v>
      </c>
      <c r="N87" s="56" t="n">
        <v>1</v>
      </c>
      <c r="Q87" s="57" t="inlineStr">
        <is>
          <t>Occ</t>
        </is>
      </c>
      <c r="U87" s="58" t="n">
        <v>1420</v>
      </c>
      <c r="V87" s="58" t="n">
        <v>1395</v>
      </c>
      <c r="W87" s="58" t="n">
        <v>0</v>
      </c>
      <c r="X87" s="58" t="n">
        <v>0</v>
      </c>
      <c r="Y87" s="58" t="n">
        <v>0</v>
      </c>
      <c r="Z87" s="59" t="n">
        <v>45765</v>
      </c>
      <c r="AA87" s="59" t="n">
        <v>45765</v>
      </c>
      <c r="AB87" s="59" t="n">
        <v>46312</v>
      </c>
    </row>
    <row r="88">
      <c r="D88" s="36" t="inlineStr">
        <is>
          <t>Station J Town</t>
        </is>
      </c>
      <c r="E88" s="54" t="inlineStr">
        <is>
          <t>C09</t>
        </is>
      </c>
      <c r="F88" s="54" t="inlineStr">
        <is>
          <t>stjt2B1</t>
        </is>
      </c>
      <c r="G88" s="54" t="inlineStr">
        <is>
          <t>2 BD / 1 BA</t>
        </is>
      </c>
      <c r="K88" s="36" t="inlineStr">
        <is>
          <t>Susan Duggins</t>
        </is>
      </c>
      <c r="L88" s="55" t="n">
        <v>950</v>
      </c>
      <c r="M88" s="56" t="n">
        <v>2</v>
      </c>
      <c r="N88" s="56" t="n">
        <v>1</v>
      </c>
      <c r="Q88" s="57" t="inlineStr">
        <is>
          <t>Occ</t>
        </is>
      </c>
      <c r="U88" s="58" t="n">
        <v>1090</v>
      </c>
      <c r="V88" s="58" t="n">
        <v>1090</v>
      </c>
      <c r="W88" s="58" t="n">
        <v>0</v>
      </c>
      <c r="X88" s="58" t="n">
        <v>0</v>
      </c>
      <c r="Y88" s="58" t="n">
        <v>0</v>
      </c>
      <c r="Z88" s="59" t="n">
        <v>46141</v>
      </c>
      <c r="AA88" s="59" t="n">
        <v>46141</v>
      </c>
      <c r="AB88" s="59" t="n">
        <v>46505</v>
      </c>
    </row>
    <row r="89">
      <c r="D89" s="36" t="inlineStr">
        <is>
          <t>Station J Town</t>
        </is>
      </c>
      <c r="E89" s="54" t="inlineStr">
        <is>
          <t>C10</t>
        </is>
      </c>
      <c r="F89" s="54" t="inlineStr">
        <is>
          <t>stjt2C1R</t>
        </is>
      </c>
      <c r="G89" s="54" t="inlineStr">
        <is>
          <t>3 BD / 1 BA - A</t>
        </is>
      </c>
      <c r="I89" s="54" t="inlineStr">
        <is>
          <t>Yes</t>
        </is>
      </c>
      <c r="J89" s="54" t="inlineStr">
        <is>
          <t>Full</t>
        </is>
      </c>
      <c r="K89" s="36" t="inlineStr">
        <is>
          <t>Ryan Pierce</t>
        </is>
      </c>
      <c r="L89" s="55" t="n">
        <v>1075</v>
      </c>
      <c r="M89" s="56" t="n">
        <v>3</v>
      </c>
      <c r="N89" s="56" t="n">
        <v>1</v>
      </c>
      <c r="Q89" s="57" t="inlineStr">
        <is>
          <t>Occ</t>
        </is>
      </c>
      <c r="U89" s="58" t="n">
        <v>1420</v>
      </c>
      <c r="V89" s="58" t="n">
        <v>1395</v>
      </c>
      <c r="W89" s="58" t="n">
        <v>0</v>
      </c>
      <c r="X89" s="58" t="n">
        <v>0</v>
      </c>
      <c r="Y89" s="58" t="n">
        <v>0</v>
      </c>
      <c r="Z89" s="59" t="n">
        <v>45839</v>
      </c>
      <c r="AA89" s="59" t="n">
        <v>45839</v>
      </c>
      <c r="AB89" s="59" t="n">
        <v>46203</v>
      </c>
    </row>
    <row r="90">
      <c r="D90" s="36" t="inlineStr">
        <is>
          <t>Station J Town</t>
        </is>
      </c>
      <c r="E90" s="54" t="inlineStr">
        <is>
          <t>C11</t>
        </is>
      </c>
      <c r="F90" s="54" t="inlineStr">
        <is>
          <t>stjt2B1</t>
        </is>
      </c>
      <c r="G90" s="54" t="inlineStr">
        <is>
          <t>2 BD / 1 BA</t>
        </is>
      </c>
      <c r="K90" s="36" t="inlineStr">
        <is>
          <t>Divine Jones</t>
        </is>
      </c>
      <c r="L90" s="55" t="n">
        <v>950</v>
      </c>
      <c r="M90" s="56" t="n">
        <v>2</v>
      </c>
      <c r="N90" s="56" t="n">
        <v>1</v>
      </c>
      <c r="Q90" s="57" t="inlineStr">
        <is>
          <t>Occ</t>
        </is>
      </c>
      <c r="U90" s="58" t="n">
        <v>1090</v>
      </c>
      <c r="V90" s="58" t="n">
        <v>899</v>
      </c>
      <c r="W90" s="58" t="n">
        <v>0</v>
      </c>
      <c r="X90" s="58" t="n">
        <v>0</v>
      </c>
      <c r="Y90" s="58" t="n">
        <v>0</v>
      </c>
      <c r="Z90" s="59" t="n">
        <v>45626</v>
      </c>
      <c r="AA90" s="59" t="n">
        <v>45626</v>
      </c>
      <c r="AB90" s="59" t="n">
        <v>46171</v>
      </c>
    </row>
    <row r="91">
      <c r="D91" s="36" t="inlineStr">
        <is>
          <t>Station J Town</t>
        </is>
      </c>
      <c r="E91" s="54" t="inlineStr">
        <is>
          <t>C12</t>
        </is>
      </c>
      <c r="F91" s="54" t="inlineStr">
        <is>
          <t>stjt2C2</t>
        </is>
      </c>
      <c r="G91" s="54" t="inlineStr">
        <is>
          <t>3 BD / 1.5 BA</t>
        </is>
      </c>
      <c r="K91" s="36" t="inlineStr">
        <is>
          <t>Kion Sloan</t>
        </is>
      </c>
      <c r="L91" s="55" t="n">
        <v>1075</v>
      </c>
      <c r="M91" s="56" t="n">
        <v>3</v>
      </c>
      <c r="N91" s="56" t="n">
        <v>1.5</v>
      </c>
      <c r="Q91" s="57" t="inlineStr">
        <is>
          <t>Occ</t>
        </is>
      </c>
      <c r="U91" s="58" t="n">
        <v>1335</v>
      </c>
      <c r="V91" s="58" t="n">
        <v>1320</v>
      </c>
      <c r="W91" s="58" t="n">
        <v>0</v>
      </c>
      <c r="X91" s="58" t="n">
        <v>0</v>
      </c>
      <c r="Y91" s="58" t="n">
        <v>0</v>
      </c>
      <c r="Z91" s="59" t="n">
        <v>45868</v>
      </c>
      <c r="AA91" s="59" t="n">
        <v>45868</v>
      </c>
      <c r="AB91" s="59" t="n">
        <v>46263</v>
      </c>
    </row>
    <row r="92">
      <c r="D92" s="36" t="inlineStr">
        <is>
          <t>Station J Town</t>
        </is>
      </c>
      <c r="E92" s="54" t="inlineStr">
        <is>
          <t>C13</t>
        </is>
      </c>
      <c r="F92" s="54" t="inlineStr">
        <is>
          <t>stjt2C1R</t>
        </is>
      </c>
      <c r="G92" s="54" t="inlineStr">
        <is>
          <t>3 BD / 1 BA - A</t>
        </is>
      </c>
      <c r="I92" s="54" t="inlineStr">
        <is>
          <t>Yes</t>
        </is>
      </c>
      <c r="J92" s="54" t="inlineStr">
        <is>
          <t>Full</t>
        </is>
      </c>
      <c r="K92" s="36" t="inlineStr">
        <is>
          <t>Brianna Stelton</t>
        </is>
      </c>
      <c r="L92" s="55" t="n">
        <v>1075</v>
      </c>
      <c r="M92" s="56" t="n">
        <v>3</v>
      </c>
      <c r="N92" s="56" t="n">
        <v>1</v>
      </c>
      <c r="Q92" s="57" t="inlineStr">
        <is>
          <t>Occ</t>
        </is>
      </c>
      <c r="U92" s="58" t="n">
        <v>1405</v>
      </c>
      <c r="V92" s="58" t="n">
        <v>1380</v>
      </c>
      <c r="W92" s="58" t="n">
        <v>0</v>
      </c>
      <c r="X92" s="58" t="n">
        <v>0</v>
      </c>
      <c r="Y92" s="58" t="n">
        <v>0</v>
      </c>
      <c r="Z92" s="59" t="n">
        <v>46116</v>
      </c>
      <c r="AA92" s="59" t="n">
        <v>46116</v>
      </c>
      <c r="AB92" s="59" t="n">
        <v>46480</v>
      </c>
    </row>
    <row r="93">
      <c r="D93" s="36" t="inlineStr">
        <is>
          <t>Station J Town</t>
        </is>
      </c>
      <c r="E93" s="54" t="inlineStr">
        <is>
          <t>C14</t>
        </is>
      </c>
      <c r="F93" s="54" t="inlineStr">
        <is>
          <t>stjt2B1R</t>
        </is>
      </c>
      <c r="G93" s="54" t="inlineStr">
        <is>
          <t>2 BD / 1 BA</t>
        </is>
      </c>
      <c r="I93" s="54" t="inlineStr">
        <is>
          <t>Yes</t>
        </is>
      </c>
      <c r="J93" s="54" t="inlineStr">
        <is>
          <t>Full</t>
        </is>
      </c>
      <c r="K93" s="36" t="inlineStr">
        <is>
          <t>Jordan Tessier</t>
        </is>
      </c>
      <c r="L93" s="55" t="n">
        <v>950</v>
      </c>
      <c r="M93" s="56" t="n">
        <v>2</v>
      </c>
      <c r="N93" s="56" t="n">
        <v>1</v>
      </c>
      <c r="Q93" s="57" t="inlineStr">
        <is>
          <t>Occ</t>
        </is>
      </c>
      <c r="U93" s="58" t="n">
        <v>1175</v>
      </c>
      <c r="V93" s="58" t="n">
        <v>1165</v>
      </c>
      <c r="W93" s="58" t="n">
        <v>0</v>
      </c>
      <c r="X93" s="58" t="n">
        <v>0</v>
      </c>
      <c r="Y93" s="58" t="n">
        <v>0</v>
      </c>
      <c r="Z93" s="59" t="n">
        <v>46052</v>
      </c>
      <c r="AA93" s="59" t="n">
        <v>46052</v>
      </c>
      <c r="AB93" s="59" t="n">
        <v>46416</v>
      </c>
    </row>
    <row r="94">
      <c r="D94" s="36" t="inlineStr">
        <is>
          <t>Station J Town</t>
        </is>
      </c>
      <c r="E94" s="54" t="inlineStr">
        <is>
          <t>C15</t>
        </is>
      </c>
      <c r="F94" s="54" t="inlineStr">
        <is>
          <t>stjt2C1R</t>
        </is>
      </c>
      <c r="G94" s="54" t="inlineStr">
        <is>
          <t>3 BD / 1 BA - A</t>
        </is>
      </c>
      <c r="I94" s="54" t="inlineStr">
        <is>
          <t>Yes</t>
        </is>
      </c>
      <c r="J94" s="54" t="inlineStr">
        <is>
          <t>Full</t>
        </is>
      </c>
      <c r="K94" s="36" t="inlineStr">
        <is>
          <t>Olivia Bennett</t>
        </is>
      </c>
      <c r="L94" s="55" t="n">
        <v>1075</v>
      </c>
      <c r="M94" s="56" t="n">
        <v>3</v>
      </c>
      <c r="N94" s="56" t="n">
        <v>1</v>
      </c>
      <c r="Q94" s="57" t="inlineStr">
        <is>
          <t>Occ</t>
        </is>
      </c>
      <c r="U94" s="58" t="n">
        <v>1405</v>
      </c>
      <c r="V94" s="58" t="n">
        <v>1380</v>
      </c>
      <c r="W94" s="58" t="n">
        <v>0</v>
      </c>
      <c r="X94" s="58" t="n">
        <v>0</v>
      </c>
      <c r="Y94" s="58" t="n">
        <v>0</v>
      </c>
      <c r="Z94" s="59" t="n">
        <v>46059</v>
      </c>
      <c r="AA94" s="59" t="n">
        <v>46059</v>
      </c>
      <c r="AB94" s="59" t="n">
        <v>46423</v>
      </c>
    </row>
    <row r="95">
      <c r="D95" s="36" t="inlineStr">
        <is>
          <t>Station J Town</t>
        </is>
      </c>
      <c r="E95" s="54" t="inlineStr">
        <is>
          <t>C16</t>
        </is>
      </c>
      <c r="F95" s="54" t="inlineStr">
        <is>
          <t>stjt2B1</t>
        </is>
      </c>
      <c r="G95" s="54" t="inlineStr">
        <is>
          <t>2 BD / 1 BA</t>
        </is>
      </c>
      <c r="K95" s="36" t="inlineStr">
        <is>
          <t>William Fuller</t>
        </is>
      </c>
      <c r="L95" s="55" t="n">
        <v>950</v>
      </c>
      <c r="M95" s="56" t="n">
        <v>2</v>
      </c>
      <c r="N95" s="56" t="n">
        <v>1</v>
      </c>
      <c r="Q95" s="57" t="inlineStr">
        <is>
          <t>Occ</t>
        </is>
      </c>
      <c r="U95" s="58" t="n">
        <v>1075</v>
      </c>
      <c r="V95" s="58" t="n">
        <v>1149</v>
      </c>
      <c r="W95" s="58" t="n">
        <v>0</v>
      </c>
      <c r="X95" s="58" t="n">
        <v>0</v>
      </c>
      <c r="Y95" s="58" t="n">
        <v>0</v>
      </c>
      <c r="Z95" s="59" t="n">
        <v>45541</v>
      </c>
      <c r="AA95" s="59" t="n">
        <v>45541</v>
      </c>
      <c r="AB95" s="59" t="n">
        <v>46270</v>
      </c>
    </row>
    <row r="96">
      <c r="D96" s="36" t="inlineStr">
        <is>
          <t>Station J Town</t>
        </is>
      </c>
      <c r="E96" s="54" t="inlineStr">
        <is>
          <t>C17</t>
        </is>
      </c>
      <c r="F96" s="54" t="inlineStr">
        <is>
          <t>stjt2C1R</t>
        </is>
      </c>
      <c r="G96" s="54" t="inlineStr">
        <is>
          <t>3 BD / 1 BA - A</t>
        </is>
      </c>
      <c r="I96" s="54" t="inlineStr">
        <is>
          <t>Yes</t>
        </is>
      </c>
      <c r="J96" s="54" t="inlineStr">
        <is>
          <t>Full</t>
        </is>
      </c>
      <c r="K96" s="36" t="inlineStr">
        <is>
          <t>Omar Njie</t>
        </is>
      </c>
      <c r="L96" s="55" t="n">
        <v>1075</v>
      </c>
      <c r="M96" s="56" t="n">
        <v>3</v>
      </c>
      <c r="N96" s="56" t="n">
        <v>1</v>
      </c>
      <c r="Q96" s="57" t="inlineStr">
        <is>
          <t>Occ</t>
        </is>
      </c>
      <c r="U96" s="58" t="n">
        <v>1420</v>
      </c>
      <c r="V96" s="58" t="n">
        <v>1395</v>
      </c>
      <c r="W96" s="58" t="n">
        <v>0</v>
      </c>
      <c r="X96" s="58" t="n">
        <v>0</v>
      </c>
      <c r="Y96" s="58" t="n">
        <v>0</v>
      </c>
      <c r="Z96" s="59" t="n">
        <v>45258</v>
      </c>
      <c r="AA96" s="59" t="n">
        <v>45258</v>
      </c>
      <c r="AB96" s="59" t="n">
        <v>46169</v>
      </c>
    </row>
    <row r="97">
      <c r="D97" s="36" t="inlineStr">
        <is>
          <t>Station J Town</t>
        </is>
      </c>
      <c r="E97" s="54" t="inlineStr">
        <is>
          <t>C18</t>
        </is>
      </c>
      <c r="F97" s="54" t="inlineStr">
        <is>
          <t>stjt2B1R</t>
        </is>
      </c>
      <c r="G97" s="54" t="inlineStr">
        <is>
          <t>2 BD / 1 BA</t>
        </is>
      </c>
      <c r="I97" s="54" t="inlineStr">
        <is>
          <t>Yes</t>
        </is>
      </c>
      <c r="J97" s="54" t="inlineStr">
        <is>
          <t>Full</t>
        </is>
      </c>
      <c r="K97" s="36" t="inlineStr">
        <is>
          <t>Conrad Hando</t>
        </is>
      </c>
      <c r="L97" s="55" t="n">
        <v>950</v>
      </c>
      <c r="M97" s="56" t="n">
        <v>2</v>
      </c>
      <c r="N97" s="56" t="n">
        <v>1</v>
      </c>
      <c r="Q97" s="57" t="inlineStr">
        <is>
          <t>Occ</t>
        </is>
      </c>
      <c r="U97" s="58" t="n">
        <v>1190</v>
      </c>
      <c r="V97" s="58" t="n">
        <v>1165</v>
      </c>
      <c r="W97" s="58" t="n">
        <v>0</v>
      </c>
      <c r="X97" s="58" t="n">
        <v>0</v>
      </c>
      <c r="Y97" s="58" t="n">
        <v>0</v>
      </c>
      <c r="Z97" s="59" t="n">
        <v>45814</v>
      </c>
      <c r="AA97" s="59" t="n">
        <v>45814</v>
      </c>
      <c r="AB97" s="59" t="n">
        <v>46178</v>
      </c>
    </row>
    <row r="98">
      <c r="D98" s="36" t="inlineStr">
        <is>
          <t>Station J Town</t>
        </is>
      </c>
      <c r="E98" s="54" t="inlineStr">
        <is>
          <t>C19</t>
        </is>
      </c>
      <c r="F98" s="54" t="inlineStr">
        <is>
          <t>stjt2C1</t>
        </is>
      </c>
      <c r="G98" s="54" t="inlineStr">
        <is>
          <t>3 BD / 1 BA - A</t>
        </is>
      </c>
      <c r="K98" s="36" t="inlineStr">
        <is>
          <t>Alejandro Rosales</t>
        </is>
      </c>
      <c r="L98" s="55" t="n">
        <v>1075</v>
      </c>
      <c r="M98" s="56" t="n">
        <v>3</v>
      </c>
      <c r="N98" s="56" t="n">
        <v>1</v>
      </c>
      <c r="Q98" s="57" t="inlineStr">
        <is>
          <t>Occ</t>
        </is>
      </c>
      <c r="U98" s="58" t="n">
        <v>1325</v>
      </c>
      <c r="V98" s="58" t="n">
        <v>1300</v>
      </c>
      <c r="W98" s="58" t="n">
        <v>0</v>
      </c>
      <c r="X98" s="58" t="n">
        <v>0</v>
      </c>
      <c r="Y98" s="58" t="n">
        <v>0</v>
      </c>
      <c r="Z98" s="59" t="n">
        <v>45248</v>
      </c>
      <c r="AA98" s="59" t="n">
        <v>45248</v>
      </c>
      <c r="AB98" s="59" t="n">
        <v>46524</v>
      </c>
    </row>
    <row r="99">
      <c r="D99" s="36" t="inlineStr">
        <is>
          <t>Station J Town</t>
        </is>
      </c>
      <c r="E99" s="54" t="inlineStr">
        <is>
          <t>C20</t>
        </is>
      </c>
      <c r="F99" s="54" t="inlineStr">
        <is>
          <t>stjt2B1</t>
        </is>
      </c>
      <c r="G99" s="54" t="inlineStr">
        <is>
          <t>2 BD / 1 BA</t>
        </is>
      </c>
      <c r="K99" s="36" t="inlineStr">
        <is>
          <t>Dylan Myers</t>
        </is>
      </c>
      <c r="L99" s="55" t="n">
        <v>950</v>
      </c>
      <c r="M99" s="56" t="n">
        <v>2</v>
      </c>
      <c r="N99" s="56" t="n">
        <v>1</v>
      </c>
      <c r="Q99" s="57" t="inlineStr">
        <is>
          <t>Occ</t>
        </is>
      </c>
      <c r="U99" s="58" t="n">
        <v>1155</v>
      </c>
      <c r="V99" s="58" t="n">
        <v>1135</v>
      </c>
      <c r="W99" s="58" t="n">
        <v>0</v>
      </c>
      <c r="X99" s="58" t="n">
        <v>0</v>
      </c>
      <c r="Y99" s="58" t="n">
        <v>0</v>
      </c>
      <c r="Z99" s="59" t="n">
        <v>43675</v>
      </c>
      <c r="AA99" s="59" t="n">
        <v>43675</v>
      </c>
      <c r="AB99" s="59" t="n">
        <v>46245</v>
      </c>
    </row>
    <row r="100">
      <c r="D100" s="36" t="inlineStr">
        <is>
          <t>Station J Town</t>
        </is>
      </c>
      <c r="E100" s="54" t="inlineStr">
        <is>
          <t>C21</t>
        </is>
      </c>
      <c r="F100" s="54" t="inlineStr">
        <is>
          <t>stjt2C1R</t>
        </is>
      </c>
      <c r="G100" s="54" t="inlineStr">
        <is>
          <t>3 BD / 1 BA - A</t>
        </is>
      </c>
      <c r="I100" s="54" t="inlineStr">
        <is>
          <t>Yes</t>
        </is>
      </c>
      <c r="J100" s="54" t="inlineStr">
        <is>
          <t>Full</t>
        </is>
      </c>
      <c r="K100" s="36" t="inlineStr">
        <is>
          <t>Veronica Perry</t>
        </is>
      </c>
      <c r="L100" s="55" t="n">
        <v>1075</v>
      </c>
      <c r="M100" s="56" t="n">
        <v>3</v>
      </c>
      <c r="N100" s="56" t="n">
        <v>1</v>
      </c>
      <c r="Q100" s="57" t="inlineStr">
        <is>
          <t>Occ</t>
        </is>
      </c>
      <c r="U100" s="58" t="n">
        <v>1420</v>
      </c>
      <c r="V100" s="58" t="n">
        <v>1395</v>
      </c>
      <c r="W100" s="58" t="n">
        <v>0</v>
      </c>
      <c r="X100" s="58" t="n">
        <v>0</v>
      </c>
      <c r="Y100" s="58" t="n">
        <v>0</v>
      </c>
      <c r="Z100" s="59" t="n">
        <v>45947</v>
      </c>
      <c r="AA100" s="59" t="n">
        <v>45947</v>
      </c>
      <c r="AB100" s="59" t="n">
        <v>46311</v>
      </c>
    </row>
    <row r="101">
      <c r="D101" s="36" t="inlineStr">
        <is>
          <t>Station J Town</t>
        </is>
      </c>
      <c r="E101" s="54" t="inlineStr">
        <is>
          <t>C22</t>
        </is>
      </c>
      <c r="F101" s="54" t="inlineStr">
        <is>
          <t>stjt2B1</t>
        </is>
      </c>
      <c r="G101" s="54" t="inlineStr">
        <is>
          <t>2 BD / 1 BA</t>
        </is>
      </c>
      <c r="K101" s="36" t="inlineStr">
        <is>
          <t>Nichole White</t>
        </is>
      </c>
      <c r="L101" s="55" t="n">
        <v>950</v>
      </c>
      <c r="M101" s="56" t="n">
        <v>2</v>
      </c>
      <c r="N101" s="56" t="n">
        <v>1</v>
      </c>
      <c r="Q101" s="57" t="inlineStr">
        <is>
          <t>Occ</t>
        </is>
      </c>
      <c r="U101" s="58" t="n">
        <v>1155</v>
      </c>
      <c r="V101" s="58" t="n">
        <v>1085</v>
      </c>
      <c r="W101" s="58" t="n">
        <v>0</v>
      </c>
      <c r="X101" s="58" t="n">
        <v>0</v>
      </c>
      <c r="Y101" s="58" t="n">
        <v>0</v>
      </c>
      <c r="Z101" s="59" t="n">
        <v>45626</v>
      </c>
      <c r="AA101" s="59" t="n">
        <v>45626</v>
      </c>
      <c r="AB101" s="59" t="n">
        <v>46171</v>
      </c>
    </row>
    <row r="102">
      <c r="D102" s="36" t="inlineStr">
        <is>
          <t>Station J Town</t>
        </is>
      </c>
      <c r="E102" s="54" t="inlineStr">
        <is>
          <t>C23</t>
        </is>
      </c>
      <c r="F102" s="54" t="inlineStr">
        <is>
          <t>stjt2C2</t>
        </is>
      </c>
      <c r="G102" s="54" t="inlineStr">
        <is>
          <t>3 BD / 1.5 BA</t>
        </is>
      </c>
      <c r="K102" s="36" t="inlineStr">
        <is>
          <t>Alexis Desmond</t>
        </is>
      </c>
      <c r="L102" s="55" t="n">
        <v>1075</v>
      </c>
      <c r="M102" s="56" t="n">
        <v>3</v>
      </c>
      <c r="N102" s="56" t="n">
        <v>1.5</v>
      </c>
      <c r="Q102" s="57" t="inlineStr">
        <is>
          <t>Occ</t>
        </is>
      </c>
      <c r="U102" s="58" t="n">
        <v>1400</v>
      </c>
      <c r="V102" s="58" t="n">
        <v>1150</v>
      </c>
      <c r="W102" s="58" t="n">
        <v>0</v>
      </c>
      <c r="X102" s="58" t="n">
        <v>0</v>
      </c>
      <c r="Y102" s="58" t="n">
        <v>0</v>
      </c>
      <c r="Z102" s="59" t="n">
        <v>45653</v>
      </c>
      <c r="AA102" s="59" t="n">
        <v>45653</v>
      </c>
      <c r="AB102" s="59" t="n">
        <v>46199</v>
      </c>
    </row>
    <row r="103">
      <c r="D103" s="36" t="inlineStr">
        <is>
          <t>Station J Town</t>
        </is>
      </c>
      <c r="E103" s="54" t="inlineStr">
        <is>
          <t>C24</t>
        </is>
      </c>
      <c r="F103" s="54" t="inlineStr">
        <is>
          <t>stjt2B1</t>
        </is>
      </c>
      <c r="G103" s="54" t="inlineStr">
        <is>
          <t>2 BD / 1 BA</t>
        </is>
      </c>
      <c r="K103" s="36" t="inlineStr">
        <is>
          <t>Jessica Miller</t>
        </is>
      </c>
      <c r="L103" s="55" t="n">
        <v>950</v>
      </c>
      <c r="M103" s="56" t="n">
        <v>2</v>
      </c>
      <c r="N103" s="56" t="n">
        <v>1</v>
      </c>
      <c r="Q103" s="57" t="inlineStr">
        <is>
          <t>Occ</t>
        </is>
      </c>
      <c r="U103" s="58" t="n">
        <v>1155</v>
      </c>
      <c r="V103" s="58" t="n">
        <v>1085</v>
      </c>
      <c r="W103" s="58" t="n">
        <v>0</v>
      </c>
      <c r="X103" s="58" t="n">
        <v>0</v>
      </c>
      <c r="Y103" s="58" t="n">
        <v>0</v>
      </c>
      <c r="Z103" s="59" t="n">
        <v>45703</v>
      </c>
      <c r="AA103" s="59" t="n">
        <v>45703</v>
      </c>
      <c r="AB103" s="59" t="n">
        <v>46156</v>
      </c>
    </row>
    <row r="104">
      <c r="D104" s="36" t="inlineStr">
        <is>
          <t>Station J Town</t>
        </is>
      </c>
      <c r="E104" s="54" t="inlineStr">
        <is>
          <t>D01</t>
        </is>
      </c>
      <c r="F104" s="54" t="inlineStr">
        <is>
          <t>stjt2B1R</t>
        </is>
      </c>
      <c r="G104" s="54" t="inlineStr">
        <is>
          <t>2 BD / 1 BA</t>
        </is>
      </c>
      <c r="I104" s="54" t="inlineStr">
        <is>
          <t>Yes</t>
        </is>
      </c>
      <c r="J104" s="54" t="inlineStr">
        <is>
          <t>Full</t>
        </is>
      </c>
      <c r="K104" s="36" t="inlineStr">
        <is>
          <t>Coby Dunn</t>
        </is>
      </c>
      <c r="L104" s="55" t="n">
        <v>950</v>
      </c>
      <c r="M104" s="56" t="n">
        <v>2</v>
      </c>
      <c r="N104" s="56" t="n">
        <v>1</v>
      </c>
      <c r="Q104" s="57" t="inlineStr">
        <is>
          <t>Occ</t>
        </is>
      </c>
      <c r="U104" s="58" t="n">
        <v>1120</v>
      </c>
      <c r="V104" s="58" t="n">
        <v>1045</v>
      </c>
      <c r="W104" s="58" t="n">
        <v>0</v>
      </c>
      <c r="X104" s="58" t="n">
        <v>0</v>
      </c>
      <c r="Y104" s="58" t="n">
        <v>0</v>
      </c>
      <c r="Z104" s="59" t="n">
        <v>45716</v>
      </c>
      <c r="AA104" s="59" t="n">
        <v>45716</v>
      </c>
      <c r="AB104" s="59" t="n">
        <v>46169</v>
      </c>
    </row>
    <row r="105">
      <c r="D105" s="36" t="inlineStr">
        <is>
          <t>Station J Town</t>
        </is>
      </c>
      <c r="E105" s="54" t="inlineStr">
        <is>
          <t>D02</t>
        </is>
      </c>
      <c r="F105" s="54" t="inlineStr">
        <is>
          <t>stjt2A1R</t>
        </is>
      </c>
      <c r="G105" s="54" t="inlineStr">
        <is>
          <t>1 BD / 1 BA</t>
        </is>
      </c>
      <c r="I105" s="54" t="inlineStr">
        <is>
          <t>Yes</t>
        </is>
      </c>
      <c r="J105" s="54" t="inlineStr">
        <is>
          <t>Full</t>
        </is>
      </c>
      <c r="K105" s="36" t="inlineStr">
        <is>
          <t>Toni Davis</t>
        </is>
      </c>
      <c r="L105" s="55" t="n">
        <v>850</v>
      </c>
      <c r="M105" s="56" t="n">
        <v>1</v>
      </c>
      <c r="N105" s="56" t="n">
        <v>1</v>
      </c>
      <c r="Q105" s="57" t="inlineStr">
        <is>
          <t>Occ</t>
        </is>
      </c>
      <c r="U105" s="58" t="n">
        <v>1040</v>
      </c>
      <c r="V105" s="58" t="n">
        <v>915</v>
      </c>
      <c r="W105" s="58" t="n">
        <v>0</v>
      </c>
      <c r="X105" s="58" t="n">
        <v>0</v>
      </c>
      <c r="Y105" s="58" t="n">
        <v>0</v>
      </c>
      <c r="Z105" s="59" t="n">
        <v>45687</v>
      </c>
      <c r="AA105" s="59" t="n">
        <v>45687</v>
      </c>
      <c r="AB105" s="59" t="n">
        <v>46141</v>
      </c>
    </row>
    <row r="106">
      <c r="D106" s="36" t="inlineStr">
        <is>
          <t>Station J Town</t>
        </is>
      </c>
      <c r="E106" s="54" t="inlineStr">
        <is>
          <t>D03</t>
        </is>
      </c>
      <c r="F106" s="54" t="inlineStr">
        <is>
          <t>stjt2B1R</t>
        </is>
      </c>
      <c r="G106" s="54" t="inlineStr">
        <is>
          <t>2 BD / 1 BA</t>
        </is>
      </c>
      <c r="I106" s="54" t="inlineStr">
        <is>
          <t>Yes</t>
        </is>
      </c>
      <c r="J106" s="54" t="inlineStr">
        <is>
          <t>Full</t>
        </is>
      </c>
      <c r="K106" s="36" t="inlineStr">
        <is>
          <t>Mason Shaw</t>
        </is>
      </c>
      <c r="L106" s="55" t="n">
        <v>950</v>
      </c>
      <c r="M106" s="56" t="n">
        <v>2</v>
      </c>
      <c r="N106" s="56" t="n">
        <v>1</v>
      </c>
      <c r="Q106" s="57" t="inlineStr">
        <is>
          <t>Occ</t>
        </is>
      </c>
      <c r="U106" s="58" t="n">
        <v>1120</v>
      </c>
      <c r="V106" s="58" t="n">
        <v>1110</v>
      </c>
      <c r="W106" s="58" t="n">
        <v>0</v>
      </c>
      <c r="X106" s="58" t="n">
        <v>0</v>
      </c>
      <c r="Y106" s="58" t="n">
        <v>0</v>
      </c>
      <c r="Z106" s="59" t="n">
        <v>46088</v>
      </c>
      <c r="AA106" s="59" t="n">
        <v>46088</v>
      </c>
      <c r="AB106" s="59" t="n">
        <v>46452</v>
      </c>
    </row>
    <row r="107">
      <c r="D107" s="36" t="inlineStr">
        <is>
          <t>Station J Town</t>
        </is>
      </c>
      <c r="E107" s="54" t="inlineStr">
        <is>
          <t>D04</t>
        </is>
      </c>
      <c r="F107" s="54" t="inlineStr">
        <is>
          <t>stjt2A1</t>
        </is>
      </c>
      <c r="G107" s="54" t="inlineStr">
        <is>
          <t>1 BD / 1 BA</t>
        </is>
      </c>
      <c r="K107" s="36" t="inlineStr">
        <is>
          <t>VACANT</t>
        </is>
      </c>
      <c r="L107" s="55" t="n">
        <v>850</v>
      </c>
      <c r="M107" s="56" t="n">
        <v>1</v>
      </c>
      <c r="N107" s="56" t="n">
        <v>1</v>
      </c>
      <c r="Q107" s="57" t="inlineStr">
        <is>
          <t>Vac</t>
        </is>
      </c>
      <c r="U107" s="58" t="n">
        <v>990</v>
      </c>
      <c r="V107" s="58" t="n">
        <v>0</v>
      </c>
      <c r="W107" s="58" t="n">
        <v>0</v>
      </c>
      <c r="X107" s="58" t="n">
        <v>0</v>
      </c>
      <c r="Y107" s="58" t="n">
        <v>0</v>
      </c>
    </row>
    <row r="108">
      <c r="D108" s="36" t="inlineStr">
        <is>
          <t>Station J Town</t>
        </is>
      </c>
      <c r="E108" s="54" t="inlineStr">
        <is>
          <t>D05</t>
        </is>
      </c>
      <c r="F108" s="54" t="inlineStr">
        <is>
          <t>stjt2B1R</t>
        </is>
      </c>
      <c r="G108" s="54" t="inlineStr">
        <is>
          <t>2 BD / 1 BA</t>
        </is>
      </c>
      <c r="I108" s="54" t="inlineStr">
        <is>
          <t>Yes</t>
        </is>
      </c>
      <c r="J108" s="54" t="inlineStr">
        <is>
          <t>Full</t>
        </is>
      </c>
      <c r="K108" s="36" t="inlineStr">
        <is>
          <t>Clever Humberto Pedroso Hernandez</t>
        </is>
      </c>
      <c r="L108" s="55" t="n">
        <v>950</v>
      </c>
      <c r="M108" s="56" t="n">
        <v>2</v>
      </c>
      <c r="N108" s="56" t="n">
        <v>1</v>
      </c>
      <c r="Q108" s="57" t="inlineStr">
        <is>
          <t>Occ</t>
        </is>
      </c>
      <c r="U108" s="58" t="n">
        <v>1135</v>
      </c>
      <c r="V108" s="58" t="n">
        <v>1050</v>
      </c>
      <c r="W108" s="58" t="n">
        <v>0</v>
      </c>
      <c r="X108" s="58" t="n">
        <v>0</v>
      </c>
      <c r="Y108" s="58" t="n">
        <v>0</v>
      </c>
      <c r="Z108" s="59" t="n">
        <v>45657</v>
      </c>
      <c r="AA108" s="59" t="n">
        <v>45657</v>
      </c>
      <c r="AB108" s="59" t="n">
        <v>46203</v>
      </c>
    </row>
    <row r="109">
      <c r="D109" s="36" t="inlineStr">
        <is>
          <t>Station J Town</t>
        </is>
      </c>
      <c r="E109" s="54" t="inlineStr">
        <is>
          <t>D06</t>
        </is>
      </c>
      <c r="F109" s="54" t="inlineStr">
        <is>
          <t>stjt2A1R</t>
        </is>
      </c>
      <c r="G109" s="54" t="inlineStr">
        <is>
          <t>1 BD / 1 BA</t>
        </is>
      </c>
      <c r="I109" s="54" t="inlineStr">
        <is>
          <t>Yes</t>
        </is>
      </c>
      <c r="J109" s="54" t="inlineStr">
        <is>
          <t>Full</t>
        </is>
      </c>
      <c r="K109" s="36" t="inlineStr">
        <is>
          <t>Damien Lahey</t>
        </is>
      </c>
      <c r="L109" s="55" t="n">
        <v>850</v>
      </c>
      <c r="M109" s="56" t="n">
        <v>1</v>
      </c>
      <c r="N109" s="56" t="n">
        <v>1</v>
      </c>
      <c r="Q109" s="57" t="inlineStr">
        <is>
          <t>Occ</t>
        </is>
      </c>
      <c r="U109" s="58" t="n">
        <v>1055</v>
      </c>
      <c r="V109" s="58" t="n">
        <v>1015</v>
      </c>
      <c r="W109" s="58" t="n">
        <v>0</v>
      </c>
      <c r="X109" s="58" t="n">
        <v>0</v>
      </c>
      <c r="Y109" s="58" t="n">
        <v>0</v>
      </c>
      <c r="Z109" s="59" t="n">
        <v>45622</v>
      </c>
      <c r="AA109" s="59" t="n">
        <v>45622</v>
      </c>
      <c r="AB109" s="59" t="n">
        <v>46168</v>
      </c>
    </row>
    <row r="110">
      <c r="D110" s="36" t="inlineStr">
        <is>
          <t>Station J Town</t>
        </is>
      </c>
      <c r="E110" s="54" t="inlineStr">
        <is>
          <t>D07</t>
        </is>
      </c>
      <c r="F110" s="54" t="inlineStr">
        <is>
          <t>stjt2B1R</t>
        </is>
      </c>
      <c r="G110" s="54" t="inlineStr">
        <is>
          <t>2 BD / 1 BA</t>
        </is>
      </c>
      <c r="I110" s="54" t="inlineStr">
        <is>
          <t>Yes</t>
        </is>
      </c>
      <c r="J110" s="54" t="inlineStr">
        <is>
          <t>Full</t>
        </is>
      </c>
      <c r="K110" s="36" t="inlineStr">
        <is>
          <t>Chandler Weatherford</t>
        </is>
      </c>
      <c r="L110" s="55" t="n">
        <v>950</v>
      </c>
      <c r="M110" s="56" t="n">
        <v>2</v>
      </c>
      <c r="N110" s="56" t="n">
        <v>1</v>
      </c>
      <c r="Q110" s="57" t="inlineStr">
        <is>
          <t>Occ</t>
        </is>
      </c>
      <c r="U110" s="58" t="n">
        <v>1135</v>
      </c>
      <c r="V110" s="58" t="n">
        <v>1085</v>
      </c>
      <c r="W110" s="58" t="n">
        <v>0</v>
      </c>
      <c r="X110" s="58" t="n">
        <v>0</v>
      </c>
      <c r="Y110" s="58" t="n">
        <v>0</v>
      </c>
      <c r="Z110" s="59" t="n">
        <v>44712</v>
      </c>
      <c r="AA110" s="59" t="n">
        <v>44712</v>
      </c>
      <c r="AB110" s="59" t="n">
        <v>46202</v>
      </c>
    </row>
    <row r="111">
      <c r="D111" s="36" t="inlineStr">
        <is>
          <t>Station J Town</t>
        </is>
      </c>
      <c r="E111" s="54" t="inlineStr">
        <is>
          <t>D08</t>
        </is>
      </c>
      <c r="F111" s="54" t="inlineStr">
        <is>
          <t>stjt2A1</t>
        </is>
      </c>
      <c r="G111" s="54" t="inlineStr">
        <is>
          <t>1 BD / 1 BA</t>
        </is>
      </c>
      <c r="K111" s="36" t="inlineStr">
        <is>
          <t>Richard Odaniel</t>
        </is>
      </c>
      <c r="L111" s="55" t="n">
        <v>850</v>
      </c>
      <c r="M111" s="56" t="n">
        <v>1</v>
      </c>
      <c r="N111" s="56" t="n">
        <v>1</v>
      </c>
      <c r="Q111" s="57" t="inlineStr">
        <is>
          <t>Occ</t>
        </is>
      </c>
      <c r="U111" s="58" t="n">
        <v>990</v>
      </c>
      <c r="V111" s="58" t="n">
        <v>925</v>
      </c>
      <c r="W111" s="58" t="n">
        <v>0</v>
      </c>
      <c r="X111" s="58" t="n">
        <v>0</v>
      </c>
      <c r="Y111" s="58" t="n">
        <v>0</v>
      </c>
      <c r="Z111" s="59" t="n">
        <v>45887</v>
      </c>
      <c r="AA111" s="59" t="n">
        <v>45887</v>
      </c>
      <c r="AB111" s="59" t="n">
        <v>46435</v>
      </c>
    </row>
    <row r="112">
      <c r="D112" s="36" t="inlineStr">
        <is>
          <t>Station J Town</t>
        </is>
      </c>
      <c r="E112" s="54" t="inlineStr">
        <is>
          <t>D09</t>
        </is>
      </c>
      <c r="F112" s="54" t="inlineStr">
        <is>
          <t>stjt2B1</t>
        </is>
      </c>
      <c r="G112" s="54" t="inlineStr">
        <is>
          <t>2 BD / 1 BA</t>
        </is>
      </c>
      <c r="K112" s="36" t="inlineStr">
        <is>
          <t>Aden Hofmeister</t>
        </is>
      </c>
      <c r="L112" s="55" t="n">
        <v>950</v>
      </c>
      <c r="M112" s="56" t="n">
        <v>2</v>
      </c>
      <c r="N112" s="56" t="n">
        <v>1</v>
      </c>
      <c r="Q112" s="57" t="inlineStr">
        <is>
          <t>Occ</t>
        </is>
      </c>
      <c r="U112" s="58" t="n">
        <v>1035</v>
      </c>
      <c r="V112" s="58" t="n">
        <v>975</v>
      </c>
      <c r="W112" s="58" t="n">
        <v>0</v>
      </c>
      <c r="X112" s="58" t="n">
        <v>0</v>
      </c>
      <c r="Y112" s="58" t="n">
        <v>0</v>
      </c>
      <c r="Z112" s="59" t="n">
        <v>45869</v>
      </c>
      <c r="AA112" s="59" t="n">
        <v>45869</v>
      </c>
      <c r="AB112" s="59" t="n">
        <v>46233</v>
      </c>
    </row>
    <row r="113">
      <c r="D113" s="36" t="inlineStr">
        <is>
          <t>Station J Town</t>
        </is>
      </c>
      <c r="E113" s="54" t="inlineStr">
        <is>
          <t>D10</t>
        </is>
      </c>
      <c r="F113" s="54" t="inlineStr">
        <is>
          <t>stjt2A1</t>
        </is>
      </c>
      <c r="G113" s="54" t="inlineStr">
        <is>
          <t>1 BD / 1 BA</t>
        </is>
      </c>
      <c r="K113" s="36" t="inlineStr">
        <is>
          <t>Gloriose Byukusenge</t>
        </is>
      </c>
      <c r="L113" s="55" t="n">
        <v>850</v>
      </c>
      <c r="M113" s="56" t="n">
        <v>1</v>
      </c>
      <c r="N113" s="56" t="n">
        <v>1</v>
      </c>
      <c r="Q113" s="57" t="inlineStr">
        <is>
          <t>Occ</t>
        </is>
      </c>
      <c r="U113" s="58" t="n">
        <v>990</v>
      </c>
      <c r="V113" s="58" t="n">
        <v>899</v>
      </c>
      <c r="W113" s="58" t="n">
        <v>0</v>
      </c>
      <c r="X113" s="58" t="n">
        <v>0</v>
      </c>
      <c r="Y113" s="58" t="n">
        <v>0</v>
      </c>
      <c r="Z113" s="59" t="n">
        <v>45785</v>
      </c>
      <c r="AA113" s="59" t="n">
        <v>45785</v>
      </c>
      <c r="AB113" s="59" t="n">
        <v>46149</v>
      </c>
    </row>
    <row r="114">
      <c r="D114" s="36" t="inlineStr">
        <is>
          <t>Station J Town</t>
        </is>
      </c>
      <c r="E114" s="54" t="inlineStr">
        <is>
          <t>D11</t>
        </is>
      </c>
      <c r="F114" s="54" t="inlineStr">
        <is>
          <t>stjt2B2</t>
        </is>
      </c>
      <c r="G114" s="54" t="inlineStr">
        <is>
          <t>2 BD / 1.5 BA</t>
        </is>
      </c>
      <c r="K114" s="36" t="inlineStr">
        <is>
          <t>Micah Brown</t>
        </is>
      </c>
      <c r="L114" s="55" t="n">
        <v>950</v>
      </c>
      <c r="M114" s="56" t="n">
        <v>2</v>
      </c>
      <c r="N114" s="56" t="n">
        <v>1.5</v>
      </c>
      <c r="Q114" s="57" t="inlineStr">
        <is>
          <t>Occ</t>
        </is>
      </c>
      <c r="U114" s="58" t="n">
        <v>1075</v>
      </c>
      <c r="V114" s="58" t="n">
        <v>1015</v>
      </c>
      <c r="W114" s="58" t="n">
        <v>0</v>
      </c>
      <c r="X114" s="58" t="n">
        <v>0</v>
      </c>
      <c r="Y114" s="58" t="n">
        <v>0</v>
      </c>
      <c r="Z114" s="59" t="n">
        <v>43082</v>
      </c>
      <c r="AA114" s="59" t="n">
        <v>43082</v>
      </c>
      <c r="AB114" s="59" t="n">
        <v>46142</v>
      </c>
    </row>
    <row r="115">
      <c r="D115" s="36" t="inlineStr">
        <is>
          <t>Station J Town</t>
        </is>
      </c>
      <c r="E115" s="54" t="inlineStr">
        <is>
          <t>D12</t>
        </is>
      </c>
      <c r="F115" s="54" t="inlineStr">
        <is>
          <t>stjt2A1R</t>
        </is>
      </c>
      <c r="G115" s="54" t="inlineStr">
        <is>
          <t>1 BD / 1 BA</t>
        </is>
      </c>
      <c r="I115" s="54" t="inlineStr">
        <is>
          <t>Yes</t>
        </is>
      </c>
      <c r="J115" s="54" t="inlineStr">
        <is>
          <t>Full</t>
        </is>
      </c>
      <c r="K115" s="36" t="inlineStr">
        <is>
          <t>Carlos Romeo Perez Meza</t>
        </is>
      </c>
      <c r="L115" s="55" t="n">
        <v>850</v>
      </c>
      <c r="M115" s="56" t="n">
        <v>1</v>
      </c>
      <c r="N115" s="56" t="n">
        <v>1</v>
      </c>
      <c r="Q115" s="57" t="inlineStr">
        <is>
          <t>Occ</t>
        </is>
      </c>
      <c r="U115" s="58" t="n">
        <v>1055</v>
      </c>
      <c r="V115" s="58" t="n">
        <v>970</v>
      </c>
      <c r="W115" s="58" t="n">
        <v>0</v>
      </c>
      <c r="X115" s="58" t="n">
        <v>0</v>
      </c>
      <c r="Y115" s="58" t="n">
        <v>0</v>
      </c>
      <c r="Z115" s="59" t="n">
        <v>45304</v>
      </c>
      <c r="AA115" s="59" t="n">
        <v>45304</v>
      </c>
      <c r="AB115" s="59" t="n">
        <v>46124</v>
      </c>
    </row>
    <row r="116">
      <c r="D116" s="36" t="inlineStr">
        <is>
          <t>Station J Town</t>
        </is>
      </c>
      <c r="E116" s="54" t="inlineStr">
        <is>
          <t>D13</t>
        </is>
      </c>
      <c r="F116" s="54" t="inlineStr">
        <is>
          <t>stjt2A1</t>
        </is>
      </c>
      <c r="G116" s="54" t="inlineStr">
        <is>
          <t>1 BD / 1 BA</t>
        </is>
      </c>
      <c r="K116" s="36" t="inlineStr">
        <is>
          <t>Daniela Aguirre Garcia</t>
        </is>
      </c>
      <c r="L116" s="55" t="n">
        <v>850</v>
      </c>
      <c r="M116" s="56" t="n">
        <v>1</v>
      </c>
      <c r="N116" s="56" t="n">
        <v>1</v>
      </c>
      <c r="Q116" s="57" t="inlineStr">
        <is>
          <t>Occ</t>
        </is>
      </c>
      <c r="U116" s="58" t="n">
        <v>975</v>
      </c>
      <c r="V116" s="58" t="n">
        <v>910</v>
      </c>
      <c r="W116" s="58" t="n">
        <v>0</v>
      </c>
      <c r="X116" s="58" t="n">
        <v>0</v>
      </c>
      <c r="Y116" s="58" t="n">
        <v>0</v>
      </c>
      <c r="Z116" s="59" t="n">
        <v>45818</v>
      </c>
      <c r="AA116" s="59" t="n">
        <v>45818</v>
      </c>
      <c r="AB116" s="59" t="n">
        <v>46182</v>
      </c>
    </row>
    <row r="117">
      <c r="D117" s="36" t="inlineStr">
        <is>
          <t>Station J Town</t>
        </is>
      </c>
      <c r="E117" s="54" t="inlineStr">
        <is>
          <t>D14</t>
        </is>
      </c>
      <c r="F117" s="54" t="inlineStr">
        <is>
          <t>stjt2B1</t>
        </is>
      </c>
      <c r="G117" s="54" t="inlineStr">
        <is>
          <t>2 BD / 1 BA</t>
        </is>
      </c>
      <c r="K117" s="36" t="inlineStr">
        <is>
          <t>Blake Hale</t>
        </is>
      </c>
      <c r="L117" s="55" t="n">
        <v>950</v>
      </c>
      <c r="M117" s="56" t="n">
        <v>2</v>
      </c>
      <c r="N117" s="56" t="n">
        <v>1</v>
      </c>
      <c r="Q117" s="57" t="inlineStr">
        <is>
          <t>Occ</t>
        </is>
      </c>
      <c r="U117" s="58" t="n">
        <v>1020</v>
      </c>
      <c r="V117" s="58" t="n">
        <v>1039</v>
      </c>
      <c r="W117" s="58" t="n">
        <v>0</v>
      </c>
      <c r="X117" s="58" t="n">
        <v>0</v>
      </c>
      <c r="Y117" s="58" t="n">
        <v>0</v>
      </c>
      <c r="Z117" s="59" t="n">
        <v>45542</v>
      </c>
      <c r="AA117" s="59" t="n">
        <v>45542</v>
      </c>
      <c r="AB117" s="59" t="n">
        <v>46271</v>
      </c>
    </row>
    <row r="118">
      <c r="D118" s="36" t="inlineStr">
        <is>
          <t>Station J Town</t>
        </is>
      </c>
      <c r="E118" s="54" t="inlineStr">
        <is>
          <t>D15</t>
        </is>
      </c>
      <c r="F118" s="54" t="inlineStr">
        <is>
          <t>stjt2A1</t>
        </is>
      </c>
      <c r="G118" s="54" t="inlineStr">
        <is>
          <t>1 BD / 1 BA</t>
        </is>
      </c>
      <c r="K118" s="36" t="inlineStr">
        <is>
          <t>Brittney Harkins</t>
        </is>
      </c>
      <c r="L118" s="55" t="n">
        <v>850</v>
      </c>
      <c r="M118" s="56" t="n">
        <v>1</v>
      </c>
      <c r="N118" s="56" t="n">
        <v>1</v>
      </c>
      <c r="Q118" s="57" t="inlineStr">
        <is>
          <t>Occ</t>
        </is>
      </c>
      <c r="U118" s="58" t="n">
        <v>975</v>
      </c>
      <c r="V118" s="58" t="n">
        <v>910</v>
      </c>
      <c r="W118" s="58" t="n">
        <v>0</v>
      </c>
      <c r="X118" s="58" t="n">
        <v>0</v>
      </c>
      <c r="Y118" s="58" t="n">
        <v>0</v>
      </c>
      <c r="Z118" s="59" t="n">
        <v>43361</v>
      </c>
      <c r="AA118" s="59" t="n">
        <v>43361</v>
      </c>
      <c r="AB118" s="59" t="n">
        <v>46457</v>
      </c>
    </row>
    <row r="119">
      <c r="D119" s="36" t="inlineStr">
        <is>
          <t>Station J Town</t>
        </is>
      </c>
      <c r="E119" s="54" t="inlineStr">
        <is>
          <t>D16</t>
        </is>
      </c>
      <c r="F119" s="54" t="inlineStr">
        <is>
          <t>stjt2B1</t>
        </is>
      </c>
      <c r="G119" s="54" t="inlineStr">
        <is>
          <t>2 BD / 1 BA</t>
        </is>
      </c>
      <c r="K119" s="36" t="inlineStr">
        <is>
          <t>Tammie Stapleton</t>
        </is>
      </c>
      <c r="L119" s="55" t="n">
        <v>950</v>
      </c>
      <c r="M119" s="56" t="n">
        <v>2</v>
      </c>
      <c r="N119" s="56" t="n">
        <v>1</v>
      </c>
      <c r="Q119" s="57" t="inlineStr">
        <is>
          <t>Occ</t>
        </is>
      </c>
      <c r="U119" s="58" t="n">
        <v>1020</v>
      </c>
      <c r="V119" s="58" t="n">
        <v>950</v>
      </c>
      <c r="W119" s="58" t="n">
        <v>0</v>
      </c>
      <c r="X119" s="58" t="n">
        <v>0</v>
      </c>
      <c r="Y119" s="58" t="n">
        <v>0</v>
      </c>
      <c r="Z119" s="59" t="n">
        <v>45688</v>
      </c>
      <c r="AA119" s="59" t="n">
        <v>45688</v>
      </c>
      <c r="AB119" s="59" t="n">
        <v>46233</v>
      </c>
    </row>
    <row r="120">
      <c r="D120" s="36" t="inlineStr">
        <is>
          <t>Station J Town</t>
        </is>
      </c>
      <c r="E120" s="54" t="inlineStr">
        <is>
          <t>D17</t>
        </is>
      </c>
      <c r="F120" s="54" t="inlineStr">
        <is>
          <t>stjt2A1</t>
        </is>
      </c>
      <c r="G120" s="54" t="inlineStr">
        <is>
          <t>1 BD / 1 BA</t>
        </is>
      </c>
      <c r="K120" s="36" t="inlineStr">
        <is>
          <t>James Monroe</t>
        </is>
      </c>
      <c r="L120" s="55" t="n">
        <v>850</v>
      </c>
      <c r="M120" s="56" t="n">
        <v>1</v>
      </c>
      <c r="N120" s="56" t="n">
        <v>1</v>
      </c>
      <c r="Q120" s="57" t="inlineStr">
        <is>
          <t>Occ</t>
        </is>
      </c>
      <c r="U120" s="58" t="n">
        <v>990</v>
      </c>
      <c r="V120" s="58" t="n">
        <v>975</v>
      </c>
      <c r="W120" s="58" t="n">
        <v>0</v>
      </c>
      <c r="X120" s="58" t="n">
        <v>0</v>
      </c>
      <c r="Y120" s="58" t="n">
        <v>0</v>
      </c>
      <c r="Z120" s="59" t="n">
        <v>46102</v>
      </c>
      <c r="AA120" s="59" t="n">
        <v>46102</v>
      </c>
      <c r="AB120" s="59" t="n">
        <v>46466</v>
      </c>
    </row>
    <row r="121">
      <c r="D121" s="36" t="inlineStr">
        <is>
          <t>Station J Town</t>
        </is>
      </c>
      <c r="E121" s="54" t="inlineStr">
        <is>
          <t>D18</t>
        </is>
      </c>
      <c r="F121" s="54" t="inlineStr">
        <is>
          <t>stjt2B1R</t>
        </is>
      </c>
      <c r="G121" s="54" t="inlineStr">
        <is>
          <t>2 BD / 1 BA</t>
        </is>
      </c>
      <c r="I121" s="54" t="inlineStr">
        <is>
          <t>Yes</t>
        </is>
      </c>
      <c r="J121" s="54" t="inlineStr">
        <is>
          <t>Full</t>
        </is>
      </c>
      <c r="K121" s="36" t="inlineStr">
        <is>
          <t>Gerson Rivera</t>
        </is>
      </c>
      <c r="L121" s="55" t="n">
        <v>950</v>
      </c>
      <c r="M121" s="56" t="n">
        <v>2</v>
      </c>
      <c r="N121" s="56" t="n">
        <v>1</v>
      </c>
      <c r="Q121" s="57" t="inlineStr">
        <is>
          <t>Occ</t>
        </is>
      </c>
      <c r="U121" s="58" t="n">
        <v>1135</v>
      </c>
      <c r="V121" s="58" t="n">
        <v>1080</v>
      </c>
      <c r="W121" s="58" t="n">
        <v>0</v>
      </c>
      <c r="X121" s="58" t="n">
        <v>0</v>
      </c>
      <c r="Y121" s="58" t="n">
        <v>0</v>
      </c>
      <c r="Z121" s="59" t="n">
        <v>44898</v>
      </c>
      <c r="AA121" s="59" t="n">
        <v>44898</v>
      </c>
      <c r="AB121" s="59" t="n">
        <v>46175</v>
      </c>
    </row>
    <row r="122">
      <c r="D122" s="36" t="inlineStr">
        <is>
          <t>Station J Town</t>
        </is>
      </c>
      <c r="E122" s="54" t="inlineStr">
        <is>
          <t>D19</t>
        </is>
      </c>
      <c r="F122" s="54" t="inlineStr">
        <is>
          <t>stjt2A1R</t>
        </is>
      </c>
      <c r="G122" s="54" t="inlineStr">
        <is>
          <t>1 BD / 1 BA</t>
        </is>
      </c>
      <c r="I122" s="54" t="inlineStr">
        <is>
          <t>Yes</t>
        </is>
      </c>
      <c r="J122" s="54" t="inlineStr">
        <is>
          <t>Full</t>
        </is>
      </c>
      <c r="K122" s="36" t="inlineStr">
        <is>
          <t>Nicolas Mayer</t>
        </is>
      </c>
      <c r="L122" s="55" t="n">
        <v>850</v>
      </c>
      <c r="M122" s="56" t="n">
        <v>1</v>
      </c>
      <c r="N122" s="56" t="n">
        <v>1</v>
      </c>
      <c r="Q122" s="57" t="inlineStr">
        <is>
          <t>Occ</t>
        </is>
      </c>
      <c r="U122" s="58" t="n">
        <v>1055</v>
      </c>
      <c r="V122" s="58" t="n">
        <v>1040</v>
      </c>
      <c r="W122" s="58" t="n">
        <v>0</v>
      </c>
      <c r="X122" s="58" t="n">
        <v>0</v>
      </c>
      <c r="Y122" s="58" t="n">
        <v>0</v>
      </c>
      <c r="Z122" s="59" t="n">
        <v>45791</v>
      </c>
      <c r="AA122" s="59" t="n">
        <v>45791</v>
      </c>
      <c r="AB122" s="59" t="n">
        <v>46155</v>
      </c>
    </row>
    <row r="123">
      <c r="D123" s="36" t="inlineStr">
        <is>
          <t>Station J Town</t>
        </is>
      </c>
      <c r="E123" s="54" t="inlineStr">
        <is>
          <t>D20</t>
        </is>
      </c>
      <c r="F123" s="54" t="inlineStr">
        <is>
          <t>stjt2B1</t>
        </is>
      </c>
      <c r="G123" s="54" t="inlineStr">
        <is>
          <t>2 BD / 1 BA</t>
        </is>
      </c>
      <c r="K123" s="36" t="inlineStr">
        <is>
          <t>Angela Johnson</t>
        </is>
      </c>
      <c r="L123" s="55" t="n">
        <v>950</v>
      </c>
      <c r="M123" s="56" t="n">
        <v>2</v>
      </c>
      <c r="N123" s="56" t="n">
        <v>1</v>
      </c>
      <c r="Q123" s="57" t="inlineStr">
        <is>
          <t>Occ</t>
        </is>
      </c>
      <c r="U123" s="58" t="n">
        <v>1035</v>
      </c>
      <c r="V123" s="58" t="n">
        <v>1000</v>
      </c>
      <c r="W123" s="58" t="n">
        <v>0</v>
      </c>
      <c r="X123" s="58" t="n">
        <v>0</v>
      </c>
      <c r="Y123" s="58" t="n">
        <v>0</v>
      </c>
      <c r="Z123" s="59" t="n">
        <v>45399</v>
      </c>
      <c r="AA123" s="59" t="n">
        <v>45399</v>
      </c>
      <c r="AB123" s="59" t="n">
        <v>46511</v>
      </c>
    </row>
    <row r="124">
      <c r="D124" s="36" t="inlineStr">
        <is>
          <t>Station J Town</t>
        </is>
      </c>
      <c r="E124" s="54" t="inlineStr">
        <is>
          <t>D21</t>
        </is>
      </c>
      <c r="F124" s="54" t="inlineStr">
        <is>
          <t>stjt2A1</t>
        </is>
      </c>
      <c r="G124" s="54" t="inlineStr">
        <is>
          <t>1 BD / 1 BA</t>
        </is>
      </c>
      <c r="K124" s="36" t="inlineStr">
        <is>
          <t>VACANT</t>
        </is>
      </c>
      <c r="L124" s="55" t="n">
        <v>850</v>
      </c>
      <c r="M124" s="56" t="n">
        <v>1</v>
      </c>
      <c r="N124" s="56" t="n">
        <v>1</v>
      </c>
      <c r="Q124" s="57" t="inlineStr">
        <is>
          <t>Vac</t>
        </is>
      </c>
      <c r="U124" s="58" t="n">
        <v>990</v>
      </c>
      <c r="V124" s="58" t="n">
        <v>0</v>
      </c>
      <c r="W124" s="58" t="n">
        <v>0</v>
      </c>
      <c r="X124" s="58" t="n">
        <v>0</v>
      </c>
      <c r="Y124" s="58" t="n">
        <v>0</v>
      </c>
    </row>
    <row r="125">
      <c r="D125" s="36" t="inlineStr">
        <is>
          <t>Station J Town</t>
        </is>
      </c>
      <c r="E125" s="54" t="inlineStr">
        <is>
          <t>D22</t>
        </is>
      </c>
      <c r="F125" s="54" t="inlineStr">
        <is>
          <t>stjt2B1R</t>
        </is>
      </c>
      <c r="G125" s="54" t="inlineStr">
        <is>
          <t>2 BD / 1 BA</t>
        </is>
      </c>
      <c r="I125" s="54" t="inlineStr">
        <is>
          <t>Yes</t>
        </is>
      </c>
      <c r="J125" s="54" t="inlineStr">
        <is>
          <t>Full</t>
        </is>
      </c>
      <c r="K125" s="36" t="inlineStr">
        <is>
          <t>Kyanna Edwards</t>
        </is>
      </c>
      <c r="L125" s="55" t="n">
        <v>950</v>
      </c>
      <c r="M125" s="56" t="n">
        <v>2</v>
      </c>
      <c r="N125" s="56" t="n">
        <v>1</v>
      </c>
      <c r="Q125" s="57" t="inlineStr">
        <is>
          <t>Occ</t>
        </is>
      </c>
      <c r="U125" s="58" t="n">
        <v>1135</v>
      </c>
      <c r="V125" s="58" t="n">
        <v>1060</v>
      </c>
      <c r="W125" s="58" t="n">
        <v>0</v>
      </c>
      <c r="X125" s="58" t="n">
        <v>0</v>
      </c>
      <c r="Y125" s="58" t="n">
        <v>0</v>
      </c>
      <c r="Z125" s="59" t="n">
        <v>45765</v>
      </c>
      <c r="AA125" s="59" t="n">
        <v>45765</v>
      </c>
      <c r="AB125" s="59" t="n">
        <v>46220</v>
      </c>
    </row>
    <row r="126">
      <c r="D126" s="36" t="inlineStr">
        <is>
          <t>Station J Town</t>
        </is>
      </c>
      <c r="E126" s="54" t="inlineStr">
        <is>
          <t>D23</t>
        </is>
      </c>
      <c r="F126" s="54" t="inlineStr">
        <is>
          <t>stjt2A1</t>
        </is>
      </c>
      <c r="G126" s="54" t="inlineStr">
        <is>
          <t>1 BD / 1 BA</t>
        </is>
      </c>
      <c r="K126" s="36" t="inlineStr">
        <is>
          <t>Nicole Hicks</t>
        </is>
      </c>
      <c r="L126" s="55" t="n">
        <v>850</v>
      </c>
      <c r="M126" s="56" t="n">
        <v>1</v>
      </c>
      <c r="N126" s="56" t="n">
        <v>1</v>
      </c>
      <c r="Q126" s="57" t="inlineStr">
        <is>
          <t>Occ</t>
        </is>
      </c>
      <c r="U126" s="58" t="n">
        <v>990</v>
      </c>
      <c r="V126" s="58" t="n">
        <v>890</v>
      </c>
      <c r="W126" s="58" t="n">
        <v>0</v>
      </c>
      <c r="X126" s="58" t="n">
        <v>0</v>
      </c>
      <c r="Y126" s="58" t="n">
        <v>0</v>
      </c>
      <c r="Z126" s="59" t="n">
        <v>45373</v>
      </c>
      <c r="AA126" s="59" t="n">
        <v>45373</v>
      </c>
      <c r="AB126" s="59" t="n">
        <v>46102</v>
      </c>
    </row>
    <row r="127">
      <c r="D127" s="36" t="inlineStr">
        <is>
          <t>Station J Town</t>
        </is>
      </c>
      <c r="E127" s="54" t="inlineStr">
        <is>
          <t>D24</t>
        </is>
      </c>
      <c r="F127" s="54" t="inlineStr">
        <is>
          <t>stjt2B2R</t>
        </is>
      </c>
      <c r="G127" s="54" t="inlineStr">
        <is>
          <t>2 BD / 1.5 BA</t>
        </is>
      </c>
      <c r="I127" s="54" t="inlineStr">
        <is>
          <t>Yes</t>
        </is>
      </c>
      <c r="J127" s="54" t="inlineStr">
        <is>
          <t>Full</t>
        </is>
      </c>
      <c r="K127" s="36" t="inlineStr">
        <is>
          <t>Ciara James</t>
        </is>
      </c>
      <c r="L127" s="55" t="n">
        <v>950</v>
      </c>
      <c r="M127" s="56" t="n">
        <v>2</v>
      </c>
      <c r="N127" s="56" t="n">
        <v>1.5</v>
      </c>
      <c r="Q127" s="57" t="inlineStr">
        <is>
          <t>Occ</t>
        </is>
      </c>
      <c r="U127" s="58" t="n">
        <v>1214</v>
      </c>
      <c r="V127" s="58" t="n">
        <v>1190</v>
      </c>
      <c r="W127" s="58" t="n">
        <v>0</v>
      </c>
      <c r="X127" s="58" t="n">
        <v>0</v>
      </c>
      <c r="Y127" s="58" t="n">
        <v>0</v>
      </c>
      <c r="Z127" s="59" t="n">
        <v>46099</v>
      </c>
      <c r="AA127" s="59" t="n">
        <v>46099</v>
      </c>
      <c r="AB127" s="59" t="n">
        <v>46463</v>
      </c>
    </row>
    <row r="128">
      <c r="D128" s="36" t="inlineStr">
        <is>
          <t>Station J Town</t>
        </is>
      </c>
      <c r="E128" s="54" t="inlineStr">
        <is>
          <t>E01</t>
        </is>
      </c>
      <c r="F128" s="54" t="inlineStr">
        <is>
          <t>stjt2B1R</t>
        </is>
      </c>
      <c r="G128" s="54" t="inlineStr">
        <is>
          <t>2 BD / 1 BA</t>
        </is>
      </c>
      <c r="I128" s="54" t="inlineStr">
        <is>
          <t>Yes</t>
        </is>
      </c>
      <c r="J128" s="54" t="inlineStr">
        <is>
          <t>Full</t>
        </is>
      </c>
      <c r="K128" s="36" t="inlineStr">
        <is>
          <t>Caleb Webber</t>
        </is>
      </c>
      <c r="L128" s="55" t="n">
        <v>950</v>
      </c>
      <c r="M128" s="56" t="n">
        <v>2</v>
      </c>
      <c r="N128" s="56" t="n">
        <v>1</v>
      </c>
      <c r="Q128" s="57" t="inlineStr">
        <is>
          <t>Occ</t>
        </is>
      </c>
      <c r="U128" s="58" t="n">
        <v>1120</v>
      </c>
      <c r="V128" s="58" t="n">
        <v>1050</v>
      </c>
      <c r="W128" s="58" t="n">
        <v>0</v>
      </c>
      <c r="X128" s="58" t="n">
        <v>0</v>
      </c>
      <c r="Y128" s="58" t="n">
        <v>0</v>
      </c>
      <c r="Z128" s="59" t="n">
        <v>45723</v>
      </c>
      <c r="AA128" s="59" t="n">
        <v>45723</v>
      </c>
      <c r="AB128" s="59" t="n">
        <v>46179</v>
      </c>
    </row>
    <row r="129">
      <c r="D129" s="36" t="inlineStr">
        <is>
          <t>Station J Town</t>
        </is>
      </c>
      <c r="E129" s="54" t="inlineStr">
        <is>
          <t>E02</t>
        </is>
      </c>
      <c r="F129" s="54" t="inlineStr">
        <is>
          <t>stjt2B1</t>
        </is>
      </c>
      <c r="G129" s="54" t="inlineStr">
        <is>
          <t>2 BD / 1 BA</t>
        </is>
      </c>
      <c r="K129" s="36" t="inlineStr">
        <is>
          <t>VACANT</t>
        </is>
      </c>
      <c r="L129" s="55" t="n">
        <v>950</v>
      </c>
      <c r="M129" s="56" t="n">
        <v>2</v>
      </c>
      <c r="N129" s="56" t="n">
        <v>1</v>
      </c>
      <c r="Q129" s="57" t="inlineStr">
        <is>
          <t>Vac</t>
        </is>
      </c>
      <c r="U129" s="58" t="n">
        <v>965</v>
      </c>
      <c r="V129" s="58" t="n">
        <v>0</v>
      </c>
      <c r="W129" s="58" t="n">
        <v>0</v>
      </c>
      <c r="X129" s="58" t="n">
        <v>0</v>
      </c>
      <c r="Y129" s="58" t="n">
        <v>0</v>
      </c>
    </row>
    <row r="130">
      <c r="D130" s="36" t="inlineStr">
        <is>
          <t>Station J Town</t>
        </is>
      </c>
      <c r="E130" s="54" t="inlineStr">
        <is>
          <t>E03</t>
        </is>
      </c>
      <c r="F130" s="54" t="inlineStr">
        <is>
          <t>stjt2B2</t>
        </is>
      </c>
      <c r="G130" s="54" t="inlineStr">
        <is>
          <t>2 BD / 1.5 BA</t>
        </is>
      </c>
      <c r="K130" s="36" t="inlineStr">
        <is>
          <t>Jarlin Moncada Isuiguirrez</t>
        </is>
      </c>
      <c r="L130" s="55" t="n">
        <v>950</v>
      </c>
      <c r="M130" s="56" t="n">
        <v>2</v>
      </c>
      <c r="N130" s="56" t="n">
        <v>1.5</v>
      </c>
      <c r="Q130" s="57" t="inlineStr">
        <is>
          <t>Occ</t>
        </is>
      </c>
      <c r="U130" s="58" t="n">
        <v>1060</v>
      </c>
      <c r="V130" s="58" t="n">
        <v>1000</v>
      </c>
      <c r="W130" s="58" t="n">
        <v>0</v>
      </c>
      <c r="X130" s="58" t="n">
        <v>0</v>
      </c>
      <c r="Y130" s="58" t="n">
        <v>0</v>
      </c>
      <c r="Z130" s="59" t="n">
        <v>46066</v>
      </c>
      <c r="AA130" s="59" t="n">
        <v>46066</v>
      </c>
      <c r="AB130" s="59" t="n">
        <v>46430</v>
      </c>
    </row>
    <row r="131">
      <c r="D131" s="36" t="inlineStr">
        <is>
          <t>Station J Town</t>
        </is>
      </c>
      <c r="E131" s="54" t="inlineStr">
        <is>
          <t>E04</t>
        </is>
      </c>
      <c r="F131" s="54" t="inlineStr">
        <is>
          <t>stjt2B2R</t>
        </is>
      </c>
      <c r="G131" s="54" t="inlineStr">
        <is>
          <t>2 BD / 1.5 BA</t>
        </is>
      </c>
      <c r="I131" s="54" t="inlineStr">
        <is>
          <t>Yes</t>
        </is>
      </c>
      <c r="J131" s="54" t="inlineStr">
        <is>
          <t>Full</t>
        </is>
      </c>
      <c r="K131" s="36" t="inlineStr">
        <is>
          <t>Celeste Collman</t>
        </is>
      </c>
      <c r="L131" s="55" t="n">
        <v>950</v>
      </c>
      <c r="M131" s="56" t="n">
        <v>2</v>
      </c>
      <c r="N131" s="56" t="n">
        <v>1.5</v>
      </c>
      <c r="Q131" s="57" t="inlineStr">
        <is>
          <t>Occ</t>
        </is>
      </c>
      <c r="U131" s="58" t="n">
        <v>1199</v>
      </c>
      <c r="V131" s="58" t="n">
        <v>1175</v>
      </c>
      <c r="W131" s="58" t="n">
        <v>0</v>
      </c>
      <c r="X131" s="58" t="n">
        <v>0</v>
      </c>
      <c r="Y131" s="58" t="n">
        <v>0</v>
      </c>
      <c r="Z131" s="59" t="n">
        <v>45702</v>
      </c>
      <c r="AA131" s="59" t="n">
        <v>45702</v>
      </c>
      <c r="AB131" s="59" t="n">
        <v>46247</v>
      </c>
    </row>
    <row r="132">
      <c r="D132" s="36" t="inlineStr">
        <is>
          <t>Station J Town</t>
        </is>
      </c>
      <c r="E132" s="54" t="inlineStr">
        <is>
          <t>E05</t>
        </is>
      </c>
      <c r="F132" s="54" t="inlineStr">
        <is>
          <t>stjt2B1</t>
        </is>
      </c>
      <c r="G132" s="54" t="inlineStr">
        <is>
          <t>2 BD / 1 BA</t>
        </is>
      </c>
      <c r="K132" s="36" t="inlineStr">
        <is>
          <t>John Vargas</t>
        </is>
      </c>
      <c r="L132" s="55" t="n">
        <v>950</v>
      </c>
      <c r="M132" s="56" t="n">
        <v>2</v>
      </c>
      <c r="N132" s="56" t="n">
        <v>1</v>
      </c>
      <c r="Q132" s="57" t="inlineStr">
        <is>
          <t>Occ</t>
        </is>
      </c>
      <c r="U132" s="58" t="n">
        <v>1035</v>
      </c>
      <c r="V132" s="58" t="n">
        <v>1025</v>
      </c>
      <c r="W132" s="58" t="n">
        <v>0</v>
      </c>
      <c r="X132" s="58" t="n">
        <v>0</v>
      </c>
      <c r="Y132" s="58" t="n">
        <v>0</v>
      </c>
      <c r="Z132" s="59" t="n">
        <v>46050</v>
      </c>
      <c r="AA132" s="59" t="n">
        <v>46050</v>
      </c>
      <c r="AB132" s="59" t="n">
        <v>46414</v>
      </c>
    </row>
    <row r="133">
      <c r="D133" s="36" t="inlineStr">
        <is>
          <t>Station J Town</t>
        </is>
      </c>
      <c r="E133" s="54" t="inlineStr">
        <is>
          <t>E06</t>
        </is>
      </c>
      <c r="F133" s="54" t="inlineStr">
        <is>
          <t>stjt2B1R</t>
        </is>
      </c>
      <c r="G133" s="54" t="inlineStr">
        <is>
          <t>2 BD / 1 BA</t>
        </is>
      </c>
      <c r="I133" s="54" t="inlineStr">
        <is>
          <t>Yes</t>
        </is>
      </c>
      <c r="J133" s="54" t="inlineStr">
        <is>
          <t>Full</t>
        </is>
      </c>
      <c r="K133" s="36" t="inlineStr">
        <is>
          <t>Model</t>
        </is>
      </c>
      <c r="L133" s="55" t="n">
        <v>950</v>
      </c>
      <c r="M133" s="56" t="n">
        <v>2</v>
      </c>
      <c r="N133" s="56" t="n">
        <v>1</v>
      </c>
      <c r="Q133" s="57" t="inlineStr">
        <is>
          <t>Model</t>
        </is>
      </c>
      <c r="U133" s="58" t="n">
        <v>1135</v>
      </c>
      <c r="V133" s="58" t="n">
        <v>1135</v>
      </c>
      <c r="W133" s="58" t="n">
        <v>-1135</v>
      </c>
      <c r="X133" s="58" t="n">
        <v>0</v>
      </c>
      <c r="Y133" s="58" t="n">
        <v>0</v>
      </c>
    </row>
    <row r="134">
      <c r="D134" s="36" t="inlineStr">
        <is>
          <t>Station J Town</t>
        </is>
      </c>
      <c r="E134" s="54" t="inlineStr">
        <is>
          <t>E07</t>
        </is>
      </c>
      <c r="F134" s="54" t="inlineStr">
        <is>
          <t>stjt2B2</t>
        </is>
      </c>
      <c r="G134" s="54" t="inlineStr">
        <is>
          <t>2 BD / 1.5 BA</t>
        </is>
      </c>
      <c r="K134" s="36" t="inlineStr">
        <is>
          <t>Jeffrey Walker</t>
        </is>
      </c>
      <c r="L134" s="55" t="n">
        <v>950</v>
      </c>
      <c r="M134" s="56" t="n">
        <v>2</v>
      </c>
      <c r="N134" s="56" t="n">
        <v>1.5</v>
      </c>
      <c r="Q134" s="57" t="inlineStr">
        <is>
          <t>Occ</t>
        </is>
      </c>
      <c r="U134" s="58" t="n">
        <v>1075</v>
      </c>
      <c r="V134" s="58" t="n">
        <v>1023</v>
      </c>
      <c r="W134" s="58" t="n">
        <v>0</v>
      </c>
      <c r="X134" s="58" t="n">
        <v>0</v>
      </c>
      <c r="Y134" s="58" t="n">
        <v>0</v>
      </c>
      <c r="Z134" s="59" t="n">
        <v>43957</v>
      </c>
      <c r="AA134" s="59" t="n">
        <v>43957</v>
      </c>
      <c r="AB134" s="59" t="n">
        <v>46178</v>
      </c>
    </row>
    <row r="135">
      <c r="D135" s="36" t="inlineStr">
        <is>
          <t>Station J Town</t>
        </is>
      </c>
      <c r="E135" s="54" t="inlineStr">
        <is>
          <t>E08</t>
        </is>
      </c>
      <c r="F135" s="54" t="inlineStr">
        <is>
          <t>stjt2B2</t>
        </is>
      </c>
      <c r="G135" s="54" t="inlineStr">
        <is>
          <t>2 BD / 1.5 BA</t>
        </is>
      </c>
      <c r="K135" s="36" t="inlineStr">
        <is>
          <t>Victoria`Hannah` Whitehouse</t>
        </is>
      </c>
      <c r="L135" s="55" t="n">
        <v>950</v>
      </c>
      <c r="M135" s="56" t="n">
        <v>2</v>
      </c>
      <c r="N135" s="56" t="n">
        <v>1.5</v>
      </c>
      <c r="Q135" s="57" t="inlineStr">
        <is>
          <t>Occ</t>
        </is>
      </c>
      <c r="U135" s="58" t="n">
        <v>1075</v>
      </c>
      <c r="V135" s="58" t="n">
        <v>1024</v>
      </c>
      <c r="W135" s="58" t="n">
        <v>0</v>
      </c>
      <c r="X135" s="58" t="n">
        <v>0</v>
      </c>
      <c r="Y135" s="58" t="n">
        <v>0</v>
      </c>
      <c r="Z135" s="59" t="n">
        <v>42185</v>
      </c>
      <c r="AA135" s="59" t="n">
        <v>42185</v>
      </c>
      <c r="AB135" s="59" t="n">
        <v>46274</v>
      </c>
    </row>
    <row r="136">
      <c r="D136" s="36" t="inlineStr">
        <is>
          <t>Station J Town</t>
        </is>
      </c>
      <c r="E136" s="54" t="inlineStr">
        <is>
          <t>E09</t>
        </is>
      </c>
      <c r="F136" s="54" t="inlineStr">
        <is>
          <t>stjt2B1</t>
        </is>
      </c>
      <c r="G136" s="54" t="inlineStr">
        <is>
          <t>2 BD / 1 BA</t>
        </is>
      </c>
      <c r="K136" s="36" t="inlineStr">
        <is>
          <t>Theodore Jackson</t>
        </is>
      </c>
      <c r="L136" s="55" t="n">
        <v>950</v>
      </c>
      <c r="M136" s="56" t="n">
        <v>2</v>
      </c>
      <c r="N136" s="56" t="n">
        <v>1</v>
      </c>
      <c r="Q136" s="57" t="inlineStr">
        <is>
          <t>Occ</t>
        </is>
      </c>
      <c r="U136" s="58" t="n">
        <v>1035</v>
      </c>
      <c r="V136" s="58" t="n">
        <v>1025</v>
      </c>
      <c r="W136" s="58" t="n">
        <v>0</v>
      </c>
      <c r="X136" s="58" t="n">
        <v>0</v>
      </c>
      <c r="Y136" s="58" t="n">
        <v>0</v>
      </c>
      <c r="Z136" s="59" t="n">
        <v>39234</v>
      </c>
      <c r="AA136" s="59" t="n">
        <v>39234</v>
      </c>
      <c r="AB136" s="59" t="n">
        <v>45138</v>
      </c>
    </row>
    <row r="137">
      <c r="D137" s="36" t="inlineStr">
        <is>
          <t>Station J Town</t>
        </is>
      </c>
      <c r="E137" s="54" t="inlineStr">
        <is>
          <t>E10</t>
        </is>
      </c>
      <c r="F137" s="54" t="inlineStr">
        <is>
          <t>stjt2B1R</t>
        </is>
      </c>
      <c r="G137" s="54" t="inlineStr">
        <is>
          <t>2 BD / 1 BA</t>
        </is>
      </c>
      <c r="I137" s="54" t="inlineStr">
        <is>
          <t>Yes</t>
        </is>
      </c>
      <c r="J137" s="54" t="inlineStr">
        <is>
          <t>Full</t>
        </is>
      </c>
      <c r="K137" s="36" t="inlineStr">
        <is>
          <t>Carlos Arturo Jimenez Brambila</t>
        </is>
      </c>
      <c r="L137" s="55" t="n">
        <v>950</v>
      </c>
      <c r="M137" s="56" t="n">
        <v>2</v>
      </c>
      <c r="N137" s="56" t="n">
        <v>1</v>
      </c>
      <c r="Q137" s="57" t="inlineStr">
        <is>
          <t>Occ</t>
        </is>
      </c>
      <c r="U137" s="58" t="n">
        <v>1135</v>
      </c>
      <c r="V137" s="58" t="n">
        <v>1158</v>
      </c>
      <c r="W137" s="58" t="n">
        <v>0</v>
      </c>
      <c r="X137" s="58" t="n">
        <v>0</v>
      </c>
      <c r="Y137" s="58" t="n">
        <v>0</v>
      </c>
      <c r="Z137" s="59" t="n">
        <v>44750</v>
      </c>
      <c r="AA137" s="59" t="n">
        <v>44750</v>
      </c>
      <c r="AB137" s="59" t="n">
        <v>46149</v>
      </c>
    </row>
    <row r="138">
      <c r="D138" s="36" t="inlineStr">
        <is>
          <t>Station J Town</t>
        </is>
      </c>
      <c r="E138" s="54" t="inlineStr">
        <is>
          <t>E11</t>
        </is>
      </c>
      <c r="F138" s="54" t="inlineStr">
        <is>
          <t>stjt2B2</t>
        </is>
      </c>
      <c r="G138" s="54" t="inlineStr">
        <is>
          <t>2 BD / 1.5 BA</t>
        </is>
      </c>
      <c r="K138" s="36" t="inlineStr">
        <is>
          <t>Aaron Lutz</t>
        </is>
      </c>
      <c r="L138" s="55" t="n">
        <v>950</v>
      </c>
      <c r="M138" s="56" t="n">
        <v>2</v>
      </c>
      <c r="N138" s="56" t="n">
        <v>1.5</v>
      </c>
      <c r="Q138" s="57" t="inlineStr">
        <is>
          <t>Occ</t>
        </is>
      </c>
      <c r="U138" s="58" t="n">
        <v>1075</v>
      </c>
      <c r="V138" s="58" t="n">
        <v>975</v>
      </c>
      <c r="W138" s="58" t="n">
        <v>0</v>
      </c>
      <c r="X138" s="58" t="n">
        <v>0</v>
      </c>
      <c r="Y138" s="58" t="n">
        <v>0</v>
      </c>
      <c r="Z138" s="59" t="n">
        <v>45681</v>
      </c>
      <c r="AA138" s="59" t="n">
        <v>45681</v>
      </c>
      <c r="AB138" s="59" t="n">
        <v>46135</v>
      </c>
    </row>
    <row r="139">
      <c r="D139" s="36" t="inlineStr">
        <is>
          <t>Station J Town</t>
        </is>
      </c>
      <c r="E139" s="54" t="inlineStr">
        <is>
          <t>E12</t>
        </is>
      </c>
      <c r="F139" s="54" t="inlineStr">
        <is>
          <t>stjt2B2</t>
        </is>
      </c>
      <c r="G139" s="54" t="inlineStr">
        <is>
          <t>2 BD / 1.5 BA</t>
        </is>
      </c>
      <c r="K139" s="36" t="inlineStr">
        <is>
          <t>Claudia Saint Felix</t>
        </is>
      </c>
      <c r="L139" s="55" t="n">
        <v>950</v>
      </c>
      <c r="M139" s="56" t="n">
        <v>2</v>
      </c>
      <c r="N139" s="56" t="n">
        <v>1.5</v>
      </c>
      <c r="Q139" s="57" t="inlineStr">
        <is>
          <t>Occ</t>
        </is>
      </c>
      <c r="U139" s="58" t="n">
        <v>1075</v>
      </c>
      <c r="V139" s="58" t="n">
        <v>1070</v>
      </c>
      <c r="W139" s="58" t="n">
        <v>0</v>
      </c>
      <c r="X139" s="58" t="n">
        <v>0</v>
      </c>
      <c r="Y139" s="58" t="n">
        <v>0</v>
      </c>
      <c r="Z139" s="59" t="n">
        <v>44827</v>
      </c>
      <c r="AA139" s="59" t="n">
        <v>44827</v>
      </c>
      <c r="AB139" s="59" t="n">
        <v>46287</v>
      </c>
    </row>
    <row r="140">
      <c r="D140" s="36" t="inlineStr">
        <is>
          <t>Station J Town</t>
        </is>
      </c>
      <c r="E140" s="54" t="inlineStr">
        <is>
          <t>E13</t>
        </is>
      </c>
      <c r="F140" s="54" t="inlineStr">
        <is>
          <t>stjt2B1R</t>
        </is>
      </c>
      <c r="G140" s="54" t="inlineStr">
        <is>
          <t>2 BD / 1 BA</t>
        </is>
      </c>
      <c r="I140" s="54" t="inlineStr">
        <is>
          <t>Yes</t>
        </is>
      </c>
      <c r="J140" s="54" t="inlineStr">
        <is>
          <t>Full</t>
        </is>
      </c>
      <c r="K140" s="36" t="inlineStr">
        <is>
          <t>marcos fonseca</t>
        </is>
      </c>
      <c r="L140" s="55" t="n">
        <v>950</v>
      </c>
      <c r="M140" s="56" t="n">
        <v>2</v>
      </c>
      <c r="N140" s="56" t="n">
        <v>1</v>
      </c>
      <c r="Q140" s="57" t="inlineStr">
        <is>
          <t>Occ</t>
        </is>
      </c>
      <c r="U140" s="58" t="n">
        <v>1175</v>
      </c>
      <c r="V140" s="58" t="n">
        <v>1125</v>
      </c>
      <c r="W140" s="58" t="n">
        <v>0</v>
      </c>
      <c r="X140" s="58" t="n">
        <v>0</v>
      </c>
      <c r="Y140" s="58" t="n">
        <v>0</v>
      </c>
      <c r="Z140" s="59" t="n">
        <v>45072</v>
      </c>
      <c r="AA140" s="59" t="n">
        <v>45072</v>
      </c>
      <c r="AB140" s="59" t="n">
        <v>46198</v>
      </c>
    </row>
    <row r="141">
      <c r="D141" s="36" t="inlineStr">
        <is>
          <t>Station J Town</t>
        </is>
      </c>
      <c r="E141" s="54" t="inlineStr">
        <is>
          <t>E14</t>
        </is>
      </c>
      <c r="F141" s="54" t="inlineStr">
        <is>
          <t>stjt2B1</t>
        </is>
      </c>
      <c r="G141" s="54" t="inlineStr">
        <is>
          <t>2 BD / 1 BA</t>
        </is>
      </c>
      <c r="K141" s="36" t="inlineStr">
        <is>
          <t>Michelle Journey~</t>
        </is>
      </c>
      <c r="L141" s="55" t="n">
        <v>950</v>
      </c>
      <c r="M141" s="56" t="n">
        <v>2</v>
      </c>
      <c r="N141" s="56" t="n">
        <v>1</v>
      </c>
      <c r="Q141" s="57" t="inlineStr">
        <is>
          <t>Occ</t>
        </is>
      </c>
      <c r="U141" s="58" t="n">
        <v>1095</v>
      </c>
      <c r="V141" s="58" t="n">
        <v>1065</v>
      </c>
      <c r="W141" s="58" t="n">
        <v>0</v>
      </c>
      <c r="X141" s="58" t="n">
        <v>0</v>
      </c>
      <c r="Y141" s="58" t="n">
        <v>0</v>
      </c>
      <c r="Z141" s="59" t="n">
        <v>45234</v>
      </c>
      <c r="AA141" s="59" t="n">
        <v>45234</v>
      </c>
      <c r="AB141" s="59" t="n">
        <v>46510</v>
      </c>
    </row>
    <row r="142">
      <c r="D142" s="36" t="inlineStr">
        <is>
          <t>Station J Town</t>
        </is>
      </c>
      <c r="E142" s="54" t="inlineStr">
        <is>
          <t>E15</t>
        </is>
      </c>
      <c r="F142" s="54" t="inlineStr">
        <is>
          <t>stjt2B1R</t>
        </is>
      </c>
      <c r="G142" s="54" t="inlineStr">
        <is>
          <t>2 BD / 1 BA</t>
        </is>
      </c>
      <c r="I142" s="54" t="inlineStr">
        <is>
          <t>Yes</t>
        </is>
      </c>
      <c r="J142" s="54" t="inlineStr">
        <is>
          <t>Full</t>
        </is>
      </c>
      <c r="K142" s="36" t="inlineStr">
        <is>
          <t>Sergio Cuellar</t>
        </is>
      </c>
      <c r="L142" s="55" t="n">
        <v>950</v>
      </c>
      <c r="M142" s="56" t="n">
        <v>2</v>
      </c>
      <c r="N142" s="56" t="n">
        <v>1</v>
      </c>
      <c r="Q142" s="57" t="inlineStr">
        <is>
          <t>Occ</t>
        </is>
      </c>
      <c r="U142" s="58" t="n">
        <v>1175</v>
      </c>
      <c r="V142" s="58" t="n">
        <v>1155</v>
      </c>
      <c r="W142" s="58" t="n">
        <v>0</v>
      </c>
      <c r="X142" s="58" t="n">
        <v>0</v>
      </c>
      <c r="Y142" s="58" t="n">
        <v>0</v>
      </c>
      <c r="Z142" s="59" t="n">
        <v>45218</v>
      </c>
      <c r="AA142" s="59" t="n">
        <v>45218</v>
      </c>
      <c r="AB142" s="59" t="n">
        <v>46252</v>
      </c>
    </row>
    <row r="143">
      <c r="D143" s="36" t="inlineStr">
        <is>
          <t>Station J Town</t>
        </is>
      </c>
      <c r="E143" s="54" t="inlineStr">
        <is>
          <t>E16</t>
        </is>
      </c>
      <c r="F143" s="54" t="inlineStr">
        <is>
          <t>stjt2B2</t>
        </is>
      </c>
      <c r="G143" s="54" t="inlineStr">
        <is>
          <t>2 BD / 1.5 BA</t>
        </is>
      </c>
      <c r="K143" s="36" t="inlineStr">
        <is>
          <t>Andrew Bullock</t>
        </is>
      </c>
      <c r="L143" s="55" t="n">
        <v>950</v>
      </c>
      <c r="M143" s="56" t="n">
        <v>2</v>
      </c>
      <c r="N143" s="56" t="n">
        <v>1.5</v>
      </c>
      <c r="Q143" s="57" t="inlineStr">
        <is>
          <t>Occ</t>
        </is>
      </c>
      <c r="U143" s="58" t="n">
        <v>1115</v>
      </c>
      <c r="V143" s="58" t="n">
        <v>1055</v>
      </c>
      <c r="W143" s="58" t="n">
        <v>0</v>
      </c>
      <c r="X143" s="58" t="n">
        <v>0</v>
      </c>
      <c r="Y143" s="58" t="n">
        <v>0</v>
      </c>
      <c r="Z143" s="59" t="n">
        <v>45440</v>
      </c>
      <c r="AA143" s="59" t="n">
        <v>45440</v>
      </c>
      <c r="AB143" s="59" t="n">
        <v>46202</v>
      </c>
    </row>
    <row r="144">
      <c r="D144" s="36" t="inlineStr">
        <is>
          <t>Station J Town</t>
        </is>
      </c>
      <c r="E144" s="54" t="inlineStr">
        <is>
          <t>E17</t>
        </is>
      </c>
      <c r="F144" s="54" t="inlineStr">
        <is>
          <t>stjt2B1</t>
        </is>
      </c>
      <c r="G144" s="54" t="inlineStr">
        <is>
          <t>2 BD / 1 BA</t>
        </is>
      </c>
      <c r="K144" s="36" t="inlineStr">
        <is>
          <t>Debra Brown</t>
        </is>
      </c>
      <c r="L144" s="55" t="n">
        <v>950</v>
      </c>
      <c r="M144" s="56" t="n">
        <v>2</v>
      </c>
      <c r="N144" s="56" t="n">
        <v>1</v>
      </c>
      <c r="Q144" s="57" t="inlineStr">
        <is>
          <t>Occ</t>
        </is>
      </c>
      <c r="U144" s="58" t="n">
        <v>1090</v>
      </c>
      <c r="V144" s="58" t="n">
        <v>1020</v>
      </c>
      <c r="W144" s="58" t="n">
        <v>0</v>
      </c>
      <c r="X144" s="58" t="n">
        <v>0</v>
      </c>
      <c r="Y144" s="58" t="n">
        <v>0</v>
      </c>
      <c r="Z144" s="59" t="n">
        <v>44785</v>
      </c>
      <c r="AA144" s="59" t="n">
        <v>44785</v>
      </c>
      <c r="AB144" s="59" t="n">
        <v>46245</v>
      </c>
    </row>
    <row r="145">
      <c r="D145" s="36" t="inlineStr">
        <is>
          <t>Station J Town</t>
        </is>
      </c>
      <c r="E145" s="54" t="inlineStr">
        <is>
          <t>E18</t>
        </is>
      </c>
      <c r="F145" s="54" t="inlineStr">
        <is>
          <t>stjt2B1</t>
        </is>
      </c>
      <c r="G145" s="54" t="inlineStr">
        <is>
          <t>2 BD / 1 BA</t>
        </is>
      </c>
      <c r="K145" s="36" t="inlineStr">
        <is>
          <t>Kamesha Adams</t>
        </is>
      </c>
      <c r="L145" s="55" t="n">
        <v>950</v>
      </c>
      <c r="M145" s="56" t="n">
        <v>2</v>
      </c>
      <c r="N145" s="56" t="n">
        <v>1</v>
      </c>
      <c r="Q145" s="57" t="inlineStr">
        <is>
          <t>Occ</t>
        </is>
      </c>
      <c r="U145" s="58" t="n">
        <v>1090</v>
      </c>
      <c r="V145" s="58" t="n">
        <v>1055</v>
      </c>
      <c r="W145" s="58" t="n">
        <v>0</v>
      </c>
      <c r="X145" s="58" t="n">
        <v>0</v>
      </c>
      <c r="Y145" s="58" t="n">
        <v>0</v>
      </c>
      <c r="Z145" s="59" t="n">
        <v>43904</v>
      </c>
      <c r="AA145" s="59" t="n">
        <v>43904</v>
      </c>
      <c r="AB145" s="59" t="n">
        <v>46490</v>
      </c>
    </row>
    <row r="146">
      <c r="D146" s="36" t="inlineStr">
        <is>
          <t>Station J Town</t>
        </is>
      </c>
      <c r="E146" s="54" t="inlineStr">
        <is>
          <t>E19</t>
        </is>
      </c>
      <c r="F146" s="54" t="inlineStr">
        <is>
          <t>stjt2B2</t>
        </is>
      </c>
      <c r="G146" s="54" t="inlineStr">
        <is>
          <t>2 BD / 1.5 BA</t>
        </is>
      </c>
      <c r="K146" s="36" t="inlineStr">
        <is>
          <t>Rachel Baltz</t>
        </is>
      </c>
      <c r="L146" s="55" t="n">
        <v>950</v>
      </c>
      <c r="M146" s="56" t="n">
        <v>2</v>
      </c>
      <c r="N146" s="56" t="n">
        <v>1.5</v>
      </c>
      <c r="Q146" s="57" t="inlineStr">
        <is>
          <t>Occ</t>
        </is>
      </c>
      <c r="U146" s="58" t="n">
        <v>1130</v>
      </c>
      <c r="V146" s="58" t="n">
        <v>1085</v>
      </c>
      <c r="W146" s="58" t="n">
        <v>0</v>
      </c>
      <c r="X146" s="58" t="n">
        <v>0</v>
      </c>
      <c r="Y146" s="58" t="n">
        <v>0</v>
      </c>
      <c r="Z146" s="59" t="n">
        <v>45866</v>
      </c>
      <c r="AA146" s="59" t="n">
        <v>45866</v>
      </c>
      <c r="AB146" s="59" t="n">
        <v>46230</v>
      </c>
    </row>
    <row r="147">
      <c r="D147" s="36" t="inlineStr">
        <is>
          <t>Station J Town</t>
        </is>
      </c>
      <c r="E147" s="54" t="inlineStr">
        <is>
          <t>E20</t>
        </is>
      </c>
      <c r="F147" s="54" t="inlineStr">
        <is>
          <t>stjt2B2</t>
        </is>
      </c>
      <c r="G147" s="54" t="inlineStr">
        <is>
          <t>2 BD / 1.5 BA</t>
        </is>
      </c>
      <c r="K147" s="36" t="inlineStr">
        <is>
          <t>Shannon Mccauley</t>
        </is>
      </c>
      <c r="L147" s="55" t="n">
        <v>950</v>
      </c>
      <c r="M147" s="56" t="n">
        <v>2</v>
      </c>
      <c r="N147" s="56" t="n">
        <v>1.5</v>
      </c>
      <c r="Q147" s="57" t="inlineStr">
        <is>
          <t>Occ</t>
        </is>
      </c>
      <c r="U147" s="58" t="n">
        <v>1130</v>
      </c>
      <c r="V147" s="58" t="n">
        <v>1100</v>
      </c>
      <c r="W147" s="58" t="n">
        <v>0</v>
      </c>
      <c r="X147" s="58" t="n">
        <v>0</v>
      </c>
      <c r="Y147" s="58" t="n">
        <v>0</v>
      </c>
      <c r="Z147" s="59" t="n">
        <v>45898</v>
      </c>
      <c r="AA147" s="59" t="n">
        <v>45898</v>
      </c>
      <c r="AB147" s="59" t="n">
        <v>46262</v>
      </c>
    </row>
    <row r="148">
      <c r="D148" s="36" t="inlineStr">
        <is>
          <t>Station J Town</t>
        </is>
      </c>
      <c r="E148" s="54" t="inlineStr">
        <is>
          <t>E21</t>
        </is>
      </c>
      <c r="F148" s="54" t="inlineStr">
        <is>
          <t>stjt2B1</t>
        </is>
      </c>
      <c r="G148" s="54" t="inlineStr">
        <is>
          <t>2 BD / 1 BA</t>
        </is>
      </c>
      <c r="K148" s="36" t="inlineStr">
        <is>
          <t>Juan Armesto Exposito</t>
        </is>
      </c>
      <c r="L148" s="55" t="n">
        <v>950</v>
      </c>
      <c r="M148" s="56" t="n">
        <v>2</v>
      </c>
      <c r="N148" s="56" t="n">
        <v>1</v>
      </c>
      <c r="Q148" s="57" t="inlineStr">
        <is>
          <t>Occ</t>
        </is>
      </c>
      <c r="U148" s="58" t="n">
        <v>1090</v>
      </c>
      <c r="V148" s="58" t="n">
        <v>1069</v>
      </c>
      <c r="W148" s="58" t="n">
        <v>0</v>
      </c>
      <c r="X148" s="58" t="n">
        <v>0</v>
      </c>
      <c r="Y148" s="58" t="n">
        <v>0</v>
      </c>
      <c r="Z148" s="59" t="n">
        <v>45838</v>
      </c>
      <c r="AA148" s="59" t="n">
        <v>45838</v>
      </c>
      <c r="AB148" s="59" t="n">
        <v>46202</v>
      </c>
    </row>
    <row r="149">
      <c r="D149" s="36" t="inlineStr">
        <is>
          <t>Station J Town</t>
        </is>
      </c>
      <c r="E149" s="54" t="inlineStr">
        <is>
          <t>E22</t>
        </is>
      </c>
      <c r="F149" s="54" t="inlineStr">
        <is>
          <t>stjt2B1</t>
        </is>
      </c>
      <c r="G149" s="54" t="inlineStr">
        <is>
          <t>2 BD / 1 BA</t>
        </is>
      </c>
      <c r="K149" s="36" t="inlineStr">
        <is>
          <t>Marc Augustine</t>
        </is>
      </c>
      <c r="L149" s="55" t="n">
        <v>950</v>
      </c>
      <c r="M149" s="56" t="n">
        <v>2</v>
      </c>
      <c r="N149" s="56" t="n">
        <v>1</v>
      </c>
      <c r="Q149" s="57" t="inlineStr">
        <is>
          <t>Occ</t>
        </is>
      </c>
      <c r="U149" s="58" t="n">
        <v>1090</v>
      </c>
      <c r="V149" s="58" t="n">
        <v>1020</v>
      </c>
      <c r="W149" s="58" t="n">
        <v>0</v>
      </c>
      <c r="X149" s="58" t="n">
        <v>0</v>
      </c>
      <c r="Y149" s="58" t="n">
        <v>0</v>
      </c>
      <c r="Z149" s="59" t="n">
        <v>43337</v>
      </c>
      <c r="AA149" s="59" t="n">
        <v>43337</v>
      </c>
      <c r="AB149" s="59" t="n">
        <v>46258</v>
      </c>
    </row>
    <row r="150">
      <c r="D150" s="36" t="inlineStr">
        <is>
          <t>Station J Town</t>
        </is>
      </c>
      <c r="E150" s="54" t="inlineStr">
        <is>
          <t>E23</t>
        </is>
      </c>
      <c r="F150" s="54" t="inlineStr">
        <is>
          <t>stjt2B2</t>
        </is>
      </c>
      <c r="G150" s="54" t="inlineStr">
        <is>
          <t>2 BD / 1.5 BA</t>
        </is>
      </c>
      <c r="K150" s="36" t="inlineStr">
        <is>
          <t>Lisa Greenhill</t>
        </is>
      </c>
      <c r="L150" s="55" t="n">
        <v>950</v>
      </c>
      <c r="M150" s="56" t="n">
        <v>2</v>
      </c>
      <c r="N150" s="56" t="n">
        <v>1.5</v>
      </c>
      <c r="Q150" s="57" t="inlineStr">
        <is>
          <t>Occ</t>
        </is>
      </c>
      <c r="U150" s="58" t="n">
        <v>1130</v>
      </c>
      <c r="V150" s="58" t="n">
        <v>990</v>
      </c>
      <c r="W150" s="58" t="n">
        <v>0</v>
      </c>
      <c r="X150" s="58" t="n">
        <v>0</v>
      </c>
      <c r="Y150" s="58" t="n">
        <v>0</v>
      </c>
      <c r="Z150" s="59" t="n">
        <v>43794</v>
      </c>
      <c r="AA150" s="59" t="n">
        <v>43794</v>
      </c>
      <c r="AB150" s="59" t="n">
        <v>46166</v>
      </c>
    </row>
    <row r="151">
      <c r="D151" s="36" t="inlineStr">
        <is>
          <t>Station J Town</t>
        </is>
      </c>
      <c r="E151" s="54" t="inlineStr">
        <is>
          <t>E24</t>
        </is>
      </c>
      <c r="F151" s="54" t="inlineStr">
        <is>
          <t>stjt2B2</t>
        </is>
      </c>
      <c r="G151" s="54" t="inlineStr">
        <is>
          <t>2 BD / 1.5 BA</t>
        </is>
      </c>
      <c r="K151" s="36" t="inlineStr">
        <is>
          <t>Hallie Finley</t>
        </is>
      </c>
      <c r="L151" s="55" t="n">
        <v>950</v>
      </c>
      <c r="M151" s="56" t="n">
        <v>2</v>
      </c>
      <c r="N151" s="56" t="n">
        <v>1.5</v>
      </c>
      <c r="Q151" s="57" t="inlineStr">
        <is>
          <t>Occ</t>
        </is>
      </c>
      <c r="U151" s="58" t="n">
        <v>1130</v>
      </c>
      <c r="V151" s="58" t="n">
        <v>1085</v>
      </c>
      <c r="W151" s="58" t="n">
        <v>0</v>
      </c>
      <c r="X151" s="58" t="n">
        <v>0</v>
      </c>
      <c r="Y151" s="58" t="n">
        <v>0</v>
      </c>
      <c r="Z151" s="59" t="n">
        <v>45775</v>
      </c>
      <c r="AA151" s="59" t="n">
        <v>45775</v>
      </c>
      <c r="AB151" s="59" t="n">
        <v>46322</v>
      </c>
    </row>
    <row r="152">
      <c r="D152" s="36" t="inlineStr">
        <is>
          <t>Station J Town</t>
        </is>
      </c>
      <c r="E152" s="54" t="inlineStr">
        <is>
          <t>E25</t>
        </is>
      </c>
      <c r="F152" s="54" t="inlineStr">
        <is>
          <t>stjt2B1</t>
        </is>
      </c>
      <c r="G152" s="54" t="inlineStr">
        <is>
          <t>2 BD / 1 BA</t>
        </is>
      </c>
      <c r="K152" s="36" t="inlineStr">
        <is>
          <t>dylan Norton</t>
        </is>
      </c>
      <c r="L152" s="55" t="n">
        <v>950</v>
      </c>
      <c r="M152" s="56" t="n">
        <v>2</v>
      </c>
      <c r="N152" s="56" t="n">
        <v>1</v>
      </c>
      <c r="Q152" s="57" t="inlineStr">
        <is>
          <t>Occ</t>
        </is>
      </c>
      <c r="U152" s="58" t="n">
        <v>1075</v>
      </c>
      <c r="V152" s="58" t="n">
        <v>1065</v>
      </c>
      <c r="W152" s="58" t="n">
        <v>0</v>
      </c>
      <c r="X152" s="58" t="n">
        <v>0</v>
      </c>
      <c r="Y152" s="58" t="n">
        <v>0</v>
      </c>
      <c r="Z152" s="59" t="n">
        <v>45856</v>
      </c>
      <c r="AA152" s="59" t="n">
        <v>45856</v>
      </c>
      <c r="AB152" s="59" t="n">
        <v>46251</v>
      </c>
    </row>
    <row r="153">
      <c r="D153" s="36" t="inlineStr">
        <is>
          <t>Station J Town</t>
        </is>
      </c>
      <c r="E153" s="54" t="inlineStr">
        <is>
          <t>E26</t>
        </is>
      </c>
      <c r="F153" s="54" t="inlineStr">
        <is>
          <t>stjt2B1</t>
        </is>
      </c>
      <c r="G153" s="54" t="inlineStr">
        <is>
          <t>2 BD / 1 BA</t>
        </is>
      </c>
      <c r="K153" s="36" t="inlineStr">
        <is>
          <t>Veronica Rucker</t>
        </is>
      </c>
      <c r="L153" s="55" t="n">
        <v>950</v>
      </c>
      <c r="M153" s="56" t="n">
        <v>2</v>
      </c>
      <c r="N153" s="56" t="n">
        <v>1</v>
      </c>
      <c r="Q153" s="57" t="inlineStr">
        <is>
          <t>Occ</t>
        </is>
      </c>
      <c r="U153" s="58" t="n">
        <v>1075</v>
      </c>
      <c r="V153" s="58" t="n">
        <v>1065</v>
      </c>
      <c r="W153" s="58" t="n">
        <v>0</v>
      </c>
      <c r="X153" s="58" t="n">
        <v>0</v>
      </c>
      <c r="Y153" s="58" t="n">
        <v>0</v>
      </c>
      <c r="Z153" s="59" t="n">
        <v>45908</v>
      </c>
      <c r="AA153" s="59" t="n">
        <v>45908</v>
      </c>
      <c r="AB153" s="59" t="n">
        <v>46272</v>
      </c>
    </row>
    <row r="154">
      <c r="D154" s="36" t="inlineStr">
        <is>
          <t>Station J Town</t>
        </is>
      </c>
      <c r="E154" s="54" t="inlineStr">
        <is>
          <t>E27</t>
        </is>
      </c>
      <c r="F154" s="54" t="inlineStr">
        <is>
          <t>stjt2B2</t>
        </is>
      </c>
      <c r="G154" s="54" t="inlineStr">
        <is>
          <t>2 BD / 1.5 BA</t>
        </is>
      </c>
      <c r="K154" s="36" t="inlineStr">
        <is>
          <t>Keirstyn Fernandez</t>
        </is>
      </c>
      <c r="L154" s="55" t="n">
        <v>950</v>
      </c>
      <c r="M154" s="56" t="n">
        <v>2</v>
      </c>
      <c r="N154" s="56" t="n">
        <v>1.5</v>
      </c>
      <c r="Q154" s="57" t="inlineStr">
        <is>
          <t>Occ</t>
        </is>
      </c>
      <c r="U154" s="58" t="n">
        <v>1115</v>
      </c>
      <c r="V154" s="58" t="n">
        <v>1070</v>
      </c>
      <c r="W154" s="58" t="n">
        <v>0</v>
      </c>
      <c r="X154" s="58" t="n">
        <v>0</v>
      </c>
      <c r="Y154" s="58" t="n">
        <v>0</v>
      </c>
      <c r="Z154" s="59" t="n">
        <v>45661</v>
      </c>
      <c r="AA154" s="59" t="n">
        <v>45661</v>
      </c>
      <c r="AB154" s="59" t="n">
        <v>46206</v>
      </c>
    </row>
    <row r="155">
      <c r="D155" s="36" t="inlineStr">
        <is>
          <t>Station J Town</t>
        </is>
      </c>
      <c r="E155" s="54" t="inlineStr">
        <is>
          <t>E28</t>
        </is>
      </c>
      <c r="F155" s="54" t="inlineStr">
        <is>
          <t>stjt2B2R</t>
        </is>
      </c>
      <c r="G155" s="54" t="inlineStr">
        <is>
          <t>2 BD / 1.5 BA</t>
        </is>
      </c>
      <c r="I155" s="54" t="inlineStr">
        <is>
          <t>Yes</t>
        </is>
      </c>
      <c r="J155" s="54" t="inlineStr">
        <is>
          <t>Full</t>
        </is>
      </c>
      <c r="K155" s="36" t="inlineStr">
        <is>
          <t>Solomon Bosco</t>
        </is>
      </c>
      <c r="L155" s="55" t="n">
        <v>950</v>
      </c>
      <c r="M155" s="56" t="n">
        <v>2</v>
      </c>
      <c r="N155" s="56" t="n">
        <v>1.5</v>
      </c>
      <c r="Q155" s="57" t="inlineStr">
        <is>
          <t>Occ</t>
        </is>
      </c>
      <c r="U155" s="58" t="n">
        <v>1254</v>
      </c>
      <c r="V155" s="58" t="n">
        <v>1230</v>
      </c>
      <c r="W155" s="58" t="n">
        <v>0</v>
      </c>
      <c r="X155" s="58" t="n">
        <v>0</v>
      </c>
      <c r="Y155" s="58" t="n">
        <v>0</v>
      </c>
      <c r="Z155" s="59" t="n">
        <v>46080</v>
      </c>
      <c r="AA155" s="59" t="n">
        <v>46080</v>
      </c>
      <c r="AB155" s="59" t="n">
        <v>46444</v>
      </c>
    </row>
    <row r="156">
      <c r="D156" s="36" t="inlineStr">
        <is>
          <t>Station J Town</t>
        </is>
      </c>
      <c r="E156" s="54" t="inlineStr">
        <is>
          <t>E29</t>
        </is>
      </c>
      <c r="F156" s="54" t="inlineStr">
        <is>
          <t>stjt2B1R</t>
        </is>
      </c>
      <c r="G156" s="54" t="inlineStr">
        <is>
          <t>2 BD / 1 BA</t>
        </is>
      </c>
      <c r="I156" s="54" t="inlineStr">
        <is>
          <t>Yes</t>
        </is>
      </c>
      <c r="J156" s="54" t="inlineStr">
        <is>
          <t>Full</t>
        </is>
      </c>
      <c r="K156" s="36" t="inlineStr">
        <is>
          <t>Myrtle L Olonikadi</t>
        </is>
      </c>
      <c r="L156" s="55" t="n">
        <v>950</v>
      </c>
      <c r="M156" s="56" t="n">
        <v>2</v>
      </c>
      <c r="N156" s="56" t="n">
        <v>1</v>
      </c>
      <c r="Q156" s="57" t="inlineStr">
        <is>
          <t>Occ</t>
        </is>
      </c>
      <c r="U156" s="58" t="n">
        <v>1190</v>
      </c>
      <c r="V156" s="58" t="n">
        <v>1135</v>
      </c>
      <c r="W156" s="58" t="n">
        <v>0</v>
      </c>
      <c r="X156" s="58" t="n">
        <v>0</v>
      </c>
      <c r="Y156" s="58" t="n">
        <v>0</v>
      </c>
      <c r="Z156" s="59" t="n">
        <v>45555</v>
      </c>
      <c r="AA156" s="59" t="n">
        <v>45555</v>
      </c>
      <c r="AB156" s="59" t="n">
        <v>46284</v>
      </c>
    </row>
    <row r="157">
      <c r="D157" s="36" t="inlineStr">
        <is>
          <t>Station J Town</t>
        </is>
      </c>
      <c r="E157" s="54" t="inlineStr">
        <is>
          <t>E30</t>
        </is>
      </c>
      <c r="F157" s="54" t="inlineStr">
        <is>
          <t>stjt2B1</t>
        </is>
      </c>
      <c r="G157" s="54" t="inlineStr">
        <is>
          <t>2 BD / 1 BA</t>
        </is>
      </c>
      <c r="K157" s="36" t="inlineStr">
        <is>
          <t>Tenneal Traynor</t>
        </is>
      </c>
      <c r="L157" s="55" t="n">
        <v>950</v>
      </c>
      <c r="M157" s="56" t="n">
        <v>2</v>
      </c>
      <c r="N157" s="56" t="n">
        <v>1</v>
      </c>
      <c r="Q157" s="57" t="inlineStr">
        <is>
          <t>Occ</t>
        </is>
      </c>
      <c r="U157" s="58" t="n">
        <v>1090</v>
      </c>
      <c r="V157" s="58" t="n">
        <v>1080</v>
      </c>
      <c r="W157" s="58" t="n">
        <v>0</v>
      </c>
      <c r="X157" s="58" t="n">
        <v>0</v>
      </c>
      <c r="Y157" s="58" t="n">
        <v>0</v>
      </c>
      <c r="Z157" s="59" t="n">
        <v>46073</v>
      </c>
      <c r="AA157" s="59" t="n">
        <v>46073</v>
      </c>
      <c r="AB157" s="59" t="n">
        <v>46437</v>
      </c>
    </row>
    <row r="158">
      <c r="D158" s="36" t="inlineStr">
        <is>
          <t>Station J Town</t>
        </is>
      </c>
      <c r="E158" s="54" t="inlineStr">
        <is>
          <t>E31</t>
        </is>
      </c>
      <c r="F158" s="54" t="inlineStr">
        <is>
          <t>stjt2B2</t>
        </is>
      </c>
      <c r="G158" s="54" t="inlineStr">
        <is>
          <t>2 BD / 1.5 BA</t>
        </is>
      </c>
      <c r="K158" s="36" t="inlineStr">
        <is>
          <t>Gordon Bramer Jr</t>
        </is>
      </c>
      <c r="L158" s="55" t="n">
        <v>950</v>
      </c>
      <c r="M158" s="56" t="n">
        <v>2</v>
      </c>
      <c r="N158" s="56" t="n">
        <v>1.5</v>
      </c>
      <c r="Q158" s="57" t="inlineStr">
        <is>
          <t>Occ</t>
        </is>
      </c>
      <c r="U158" s="58" t="n">
        <v>1130</v>
      </c>
      <c r="V158" s="58" t="n">
        <v>1085</v>
      </c>
      <c r="W158" s="58" t="n">
        <v>0</v>
      </c>
      <c r="X158" s="58" t="n">
        <v>0</v>
      </c>
      <c r="Y158" s="58" t="n">
        <v>0</v>
      </c>
      <c r="Z158" s="59" t="n">
        <v>45703</v>
      </c>
      <c r="AA158" s="59" t="n">
        <v>45703</v>
      </c>
      <c r="AB158" s="59" t="n">
        <v>46156</v>
      </c>
    </row>
    <row r="159">
      <c r="D159" s="36" t="inlineStr">
        <is>
          <t>Station J Town</t>
        </is>
      </c>
      <c r="E159" s="54" t="inlineStr">
        <is>
          <t>E32</t>
        </is>
      </c>
      <c r="F159" s="54" t="inlineStr">
        <is>
          <t>stjt2B2</t>
        </is>
      </c>
      <c r="G159" s="54" t="inlineStr">
        <is>
          <t>2 BD / 1.5 BA</t>
        </is>
      </c>
      <c r="K159" s="36" t="inlineStr">
        <is>
          <t>Anthony Clonts</t>
        </is>
      </c>
      <c r="L159" s="55" t="n">
        <v>950</v>
      </c>
      <c r="M159" s="56" t="n">
        <v>2</v>
      </c>
      <c r="N159" s="56" t="n">
        <v>1.5</v>
      </c>
      <c r="Q159" s="57" t="inlineStr">
        <is>
          <t>Occ</t>
        </is>
      </c>
      <c r="U159" s="58" t="n">
        <v>1130</v>
      </c>
      <c r="V159" s="58" t="n">
        <v>1085</v>
      </c>
      <c r="W159" s="58" t="n">
        <v>0</v>
      </c>
      <c r="X159" s="58" t="n">
        <v>0</v>
      </c>
      <c r="Y159" s="58" t="n">
        <v>0</v>
      </c>
      <c r="Z159" s="59" t="n">
        <v>45810</v>
      </c>
      <c r="AA159" s="59" t="n">
        <v>45810</v>
      </c>
      <c r="AB159" s="59" t="n">
        <v>46174</v>
      </c>
    </row>
    <row r="160">
      <c r="D160" s="36" t="inlineStr">
        <is>
          <t>Station J Town</t>
        </is>
      </c>
      <c r="E160" s="54" t="inlineStr">
        <is>
          <t>E33</t>
        </is>
      </c>
      <c r="F160" s="54" t="inlineStr">
        <is>
          <t>stjt2B1R</t>
        </is>
      </c>
      <c r="G160" s="54" t="inlineStr">
        <is>
          <t>2 BD / 1 BA</t>
        </is>
      </c>
      <c r="I160" s="54" t="inlineStr">
        <is>
          <t>Yes</t>
        </is>
      </c>
      <c r="J160" s="54" t="inlineStr">
        <is>
          <t>Full</t>
        </is>
      </c>
      <c r="K160" s="36" t="inlineStr">
        <is>
          <t>Emily Fahey</t>
        </is>
      </c>
      <c r="L160" s="55" t="n">
        <v>950</v>
      </c>
      <c r="M160" s="56" t="n">
        <v>2</v>
      </c>
      <c r="N160" s="56" t="n">
        <v>1</v>
      </c>
      <c r="Q160" s="57" t="inlineStr">
        <is>
          <t>Occ</t>
        </is>
      </c>
      <c r="U160" s="58" t="n">
        <v>1190</v>
      </c>
      <c r="V160" s="58" t="n">
        <v>1165</v>
      </c>
      <c r="W160" s="58" t="n">
        <v>0</v>
      </c>
      <c r="X160" s="58" t="n">
        <v>0</v>
      </c>
      <c r="Y160" s="58" t="n">
        <v>0</v>
      </c>
      <c r="Z160" s="59" t="n">
        <v>45866</v>
      </c>
      <c r="AA160" s="59" t="n">
        <v>45866</v>
      </c>
      <c r="AB160" s="59" t="n">
        <v>46230</v>
      </c>
    </row>
    <row r="161">
      <c r="D161" s="36" t="inlineStr">
        <is>
          <t>Station J Town</t>
        </is>
      </c>
      <c r="E161" s="54" t="inlineStr">
        <is>
          <t>E34</t>
        </is>
      </c>
      <c r="F161" s="54" t="inlineStr">
        <is>
          <t>stjt2B1R</t>
        </is>
      </c>
      <c r="G161" s="54" t="inlineStr">
        <is>
          <t>2 BD / 1 BA</t>
        </is>
      </c>
      <c r="I161" s="54" t="inlineStr">
        <is>
          <t>Yes</t>
        </is>
      </c>
      <c r="J161" s="54" t="inlineStr">
        <is>
          <t>Full</t>
        </is>
      </c>
      <c r="K161" s="36" t="inlineStr">
        <is>
          <t>Jasmine Van</t>
        </is>
      </c>
      <c r="L161" s="55" t="n">
        <v>950</v>
      </c>
      <c r="M161" s="56" t="n">
        <v>2</v>
      </c>
      <c r="N161" s="56" t="n">
        <v>1</v>
      </c>
      <c r="Q161" s="57" t="inlineStr">
        <is>
          <t>Occ</t>
        </is>
      </c>
      <c r="U161" s="58" t="n">
        <v>1190</v>
      </c>
      <c r="V161" s="58" t="n">
        <v>1115</v>
      </c>
      <c r="W161" s="58" t="n">
        <v>0</v>
      </c>
      <c r="X161" s="58" t="n">
        <v>0</v>
      </c>
      <c r="Y161" s="58" t="n">
        <v>0</v>
      </c>
      <c r="Z161" s="59" t="n">
        <v>45701</v>
      </c>
      <c r="AA161" s="59" t="n">
        <v>45701</v>
      </c>
      <c r="AB161" s="59" t="n">
        <v>46154</v>
      </c>
    </row>
    <row r="162">
      <c r="D162" s="36" t="inlineStr">
        <is>
          <t>Station J Town</t>
        </is>
      </c>
      <c r="E162" s="54" t="inlineStr">
        <is>
          <t>E35</t>
        </is>
      </c>
      <c r="F162" s="54" t="inlineStr">
        <is>
          <t>stjt2B2</t>
        </is>
      </c>
      <c r="G162" s="54" t="inlineStr">
        <is>
          <t>2 BD / 1.5 BA</t>
        </is>
      </c>
      <c r="K162" s="36" t="inlineStr">
        <is>
          <t>Rachel Jenkins</t>
        </is>
      </c>
      <c r="L162" s="55" t="n">
        <v>950</v>
      </c>
      <c r="M162" s="56" t="n">
        <v>2</v>
      </c>
      <c r="N162" s="56" t="n">
        <v>1.5</v>
      </c>
      <c r="Q162" s="57" t="inlineStr">
        <is>
          <t>Occ</t>
        </is>
      </c>
      <c r="U162" s="58" t="n">
        <v>1150</v>
      </c>
      <c r="V162" s="58" t="n">
        <v>1090</v>
      </c>
      <c r="W162" s="58" t="n">
        <v>0</v>
      </c>
      <c r="X162" s="58" t="n">
        <v>0</v>
      </c>
      <c r="Y162" s="58" t="n">
        <v>0</v>
      </c>
      <c r="Z162" s="59" t="n">
        <v>45415</v>
      </c>
      <c r="AA162" s="59" t="n">
        <v>45415</v>
      </c>
      <c r="AB162" s="59" t="n">
        <v>46144</v>
      </c>
    </row>
    <row r="163">
      <c r="D163" s="36" t="inlineStr">
        <is>
          <t>Station J Town</t>
        </is>
      </c>
      <c r="E163" s="54" t="inlineStr">
        <is>
          <t>E36</t>
        </is>
      </c>
      <c r="F163" s="54" t="inlineStr">
        <is>
          <t>stjt2B2</t>
        </is>
      </c>
      <c r="G163" s="54" t="inlineStr">
        <is>
          <t>2 BD / 1.5 BA</t>
        </is>
      </c>
      <c r="K163" s="36" t="inlineStr">
        <is>
          <t>Hannah Downs</t>
        </is>
      </c>
      <c r="L163" s="55" t="n">
        <v>950</v>
      </c>
      <c r="M163" s="56" t="n">
        <v>2</v>
      </c>
      <c r="N163" s="56" t="n">
        <v>1.5</v>
      </c>
      <c r="Q163" s="57" t="inlineStr">
        <is>
          <t>Occ</t>
        </is>
      </c>
      <c r="U163" s="58" t="n">
        <v>1130</v>
      </c>
      <c r="V163" s="58" t="n">
        <v>1100</v>
      </c>
      <c r="W163" s="58" t="n">
        <v>0</v>
      </c>
      <c r="X163" s="58" t="n">
        <v>0</v>
      </c>
      <c r="Y163" s="58" t="n">
        <v>0</v>
      </c>
      <c r="Z163" s="59" t="n">
        <v>45877</v>
      </c>
      <c r="AA163" s="59" t="n">
        <v>45877</v>
      </c>
      <c r="AB163" s="59" t="n">
        <v>46241</v>
      </c>
    </row>
    <row r="164">
      <c r="D164" s="36" t="inlineStr">
        <is>
          <t>Station J Town</t>
        </is>
      </c>
      <c r="E164" s="54" t="inlineStr">
        <is>
          <t>F01</t>
        </is>
      </c>
      <c r="F164" s="54" t="inlineStr">
        <is>
          <t>stjt2C1R</t>
        </is>
      </c>
      <c r="G164" s="54" t="inlineStr">
        <is>
          <t>3 BD / 1 BA - A</t>
        </is>
      </c>
      <c r="I164" s="54" t="inlineStr">
        <is>
          <t>Yes</t>
        </is>
      </c>
      <c r="J164" s="54" t="inlineStr">
        <is>
          <t>Full</t>
        </is>
      </c>
      <c r="K164" s="36" t="inlineStr">
        <is>
          <t>Brianna Stelton</t>
        </is>
      </c>
      <c r="L164" s="55" t="n">
        <v>1075</v>
      </c>
      <c r="M164" s="56" t="n">
        <v>3</v>
      </c>
      <c r="N164" s="56" t="n">
        <v>1</v>
      </c>
      <c r="Q164" s="57" t="inlineStr">
        <is>
          <t>Occ</t>
        </is>
      </c>
      <c r="U164" s="58" t="n">
        <v>1350</v>
      </c>
      <c r="V164" s="58" t="n">
        <v>1325</v>
      </c>
      <c r="W164" s="58" t="n">
        <v>0</v>
      </c>
      <c r="X164" s="58" t="n">
        <v>0</v>
      </c>
      <c r="Y164" s="58" t="n">
        <v>0</v>
      </c>
      <c r="Z164" s="59" t="n">
        <v>45609</v>
      </c>
      <c r="AA164" s="59" t="n">
        <v>45609</v>
      </c>
      <c r="AB164" s="59" t="n">
        <v>46154</v>
      </c>
    </row>
    <row r="165">
      <c r="D165" s="36" t="inlineStr">
        <is>
          <t>Station J Town</t>
        </is>
      </c>
      <c r="E165" s="54" t="inlineStr">
        <is>
          <t>F02</t>
        </is>
      </c>
      <c r="F165" s="54" t="inlineStr">
        <is>
          <t>stjt2A1</t>
        </is>
      </c>
      <c r="G165" s="54" t="inlineStr">
        <is>
          <t>1 BD / 1 BA</t>
        </is>
      </c>
      <c r="K165" s="36" t="inlineStr">
        <is>
          <t>Sierra Gaskins</t>
        </is>
      </c>
      <c r="L165" s="55" t="n">
        <v>850</v>
      </c>
      <c r="M165" s="56" t="n">
        <v>1</v>
      </c>
      <c r="N165" s="56" t="n">
        <v>1</v>
      </c>
      <c r="Q165" s="57" t="inlineStr">
        <is>
          <t>Occ</t>
        </is>
      </c>
      <c r="U165" s="58" t="n">
        <v>975</v>
      </c>
      <c r="V165" s="58" t="n">
        <v>875</v>
      </c>
      <c r="W165" s="58" t="n">
        <v>0</v>
      </c>
      <c r="X165" s="58" t="n">
        <v>0</v>
      </c>
      <c r="Y165" s="58" t="n">
        <v>0</v>
      </c>
      <c r="Z165" s="59" t="n">
        <v>45974</v>
      </c>
      <c r="AA165" s="59" t="n">
        <v>45974</v>
      </c>
      <c r="AB165" s="59" t="n">
        <v>46338</v>
      </c>
    </row>
    <row r="166">
      <c r="D166" s="36" t="inlineStr">
        <is>
          <t>Station J Town</t>
        </is>
      </c>
      <c r="E166" s="54" t="inlineStr">
        <is>
          <t>F03</t>
        </is>
      </c>
      <c r="F166" s="54" t="inlineStr">
        <is>
          <t>stjt2C1</t>
        </is>
      </c>
      <c r="G166" s="54" t="inlineStr">
        <is>
          <t>3 BD / 1 BA - A</t>
        </is>
      </c>
      <c r="K166" s="36" t="inlineStr">
        <is>
          <t>Alan Lossner</t>
        </is>
      </c>
      <c r="L166" s="55" t="n">
        <v>1075</v>
      </c>
      <c r="M166" s="56" t="n">
        <v>3</v>
      </c>
      <c r="N166" s="56" t="n">
        <v>1</v>
      </c>
      <c r="Q166" s="57" t="inlineStr">
        <is>
          <t>Occ</t>
        </is>
      </c>
      <c r="U166" s="58" t="n">
        <v>1190</v>
      </c>
      <c r="V166" s="58" t="n">
        <v>1075</v>
      </c>
      <c r="W166" s="58" t="n">
        <v>0</v>
      </c>
      <c r="X166" s="58" t="n">
        <v>0</v>
      </c>
      <c r="Y166" s="58" t="n">
        <v>0</v>
      </c>
      <c r="Z166" s="59" t="n">
        <v>45993</v>
      </c>
      <c r="AA166" s="59" t="n">
        <v>45993</v>
      </c>
      <c r="AB166" s="59" t="n">
        <v>46357</v>
      </c>
    </row>
    <row r="167">
      <c r="D167" s="36" t="inlineStr">
        <is>
          <t>Station J Town</t>
        </is>
      </c>
      <c r="E167" s="54" t="inlineStr">
        <is>
          <t>F04</t>
        </is>
      </c>
      <c r="F167" s="54" t="inlineStr">
        <is>
          <t>stjt2A1</t>
        </is>
      </c>
      <c r="G167" s="54" t="inlineStr">
        <is>
          <t>1 BD / 1 BA</t>
        </is>
      </c>
      <c r="K167" s="36" t="inlineStr">
        <is>
          <t>VACANT</t>
        </is>
      </c>
      <c r="L167" s="55" t="n">
        <v>850</v>
      </c>
      <c r="M167" s="56" t="n">
        <v>1</v>
      </c>
      <c r="N167" s="56" t="n">
        <v>1</v>
      </c>
      <c r="Q167" s="57" t="inlineStr">
        <is>
          <t>Vac</t>
        </is>
      </c>
      <c r="U167" s="58" t="n">
        <v>990</v>
      </c>
      <c r="V167" s="58" t="n">
        <v>0</v>
      </c>
      <c r="W167" s="58" t="n">
        <v>0</v>
      </c>
      <c r="X167" s="58" t="n">
        <v>0</v>
      </c>
      <c r="Y167" s="58" t="n">
        <v>0</v>
      </c>
    </row>
    <row r="168">
      <c r="D168" s="36" t="inlineStr">
        <is>
          <t>Station J Town</t>
        </is>
      </c>
      <c r="E168" s="54" t="inlineStr">
        <is>
          <t>F05</t>
        </is>
      </c>
      <c r="F168" s="54" t="inlineStr">
        <is>
          <t>stjt2C1R</t>
        </is>
      </c>
      <c r="G168" s="54" t="inlineStr">
        <is>
          <t>3 BD / 1 BA - A</t>
        </is>
      </c>
      <c r="I168" s="54" t="inlineStr">
        <is>
          <t>Yes</t>
        </is>
      </c>
      <c r="J168" s="54" t="inlineStr">
        <is>
          <t>Full</t>
        </is>
      </c>
      <c r="K168" s="36" t="inlineStr">
        <is>
          <t>Asha Ismali</t>
        </is>
      </c>
      <c r="L168" s="55" t="n">
        <v>1075</v>
      </c>
      <c r="M168" s="56" t="n">
        <v>3</v>
      </c>
      <c r="N168" s="56" t="n">
        <v>1</v>
      </c>
      <c r="Q168" s="57" t="inlineStr">
        <is>
          <t>Occ</t>
        </is>
      </c>
      <c r="U168" s="58" t="n">
        <v>1365</v>
      </c>
      <c r="V168" s="58" t="n">
        <v>1340</v>
      </c>
      <c r="W168" s="58" t="n">
        <v>0</v>
      </c>
      <c r="X168" s="58" t="n">
        <v>0</v>
      </c>
      <c r="Y168" s="58" t="n">
        <v>0</v>
      </c>
      <c r="Z168" s="59" t="n">
        <v>45443</v>
      </c>
      <c r="AA168" s="59" t="n">
        <v>45443</v>
      </c>
      <c r="AB168" s="59" t="n">
        <v>46172</v>
      </c>
    </row>
    <row r="169">
      <c r="D169" s="36" t="inlineStr">
        <is>
          <t>Station J Town</t>
        </is>
      </c>
      <c r="E169" s="54" t="inlineStr">
        <is>
          <t>F06</t>
        </is>
      </c>
      <c r="F169" s="54" t="inlineStr">
        <is>
          <t>stjt2A1</t>
        </is>
      </c>
      <c r="G169" s="54" t="inlineStr">
        <is>
          <t>1 BD / 1 BA</t>
        </is>
      </c>
      <c r="K169" s="36" t="inlineStr">
        <is>
          <t>Jordan Faulkner</t>
        </is>
      </c>
      <c r="L169" s="55" t="n">
        <v>850</v>
      </c>
      <c r="M169" s="56" t="n">
        <v>1</v>
      </c>
      <c r="N169" s="56" t="n">
        <v>1</v>
      </c>
      <c r="Q169" s="57" t="inlineStr">
        <is>
          <t>Occ</t>
        </is>
      </c>
      <c r="U169" s="58" t="n">
        <v>990</v>
      </c>
      <c r="V169" s="58" t="n">
        <v>925</v>
      </c>
      <c r="W169" s="58" t="n">
        <v>0</v>
      </c>
      <c r="X169" s="58" t="n">
        <v>0</v>
      </c>
      <c r="Y169" s="58" t="n">
        <v>0</v>
      </c>
      <c r="Z169" s="59" t="n">
        <v>45612</v>
      </c>
      <c r="AA169" s="59" t="n">
        <v>45612</v>
      </c>
      <c r="AB169" s="59" t="n">
        <v>46157</v>
      </c>
    </row>
    <row r="170">
      <c r="D170" s="36" t="inlineStr">
        <is>
          <t>Station J Town</t>
        </is>
      </c>
      <c r="E170" s="54" t="inlineStr">
        <is>
          <t>F07</t>
        </is>
      </c>
      <c r="F170" s="54" t="inlineStr">
        <is>
          <t>stjt2C1R</t>
        </is>
      </c>
      <c r="G170" s="54" t="inlineStr">
        <is>
          <t>3 BD / 1 BA - A</t>
        </is>
      </c>
      <c r="I170" s="54" t="inlineStr">
        <is>
          <t>Yes</t>
        </is>
      </c>
      <c r="J170" s="54" t="inlineStr">
        <is>
          <t>Full</t>
        </is>
      </c>
      <c r="K170" s="36" t="inlineStr">
        <is>
          <t>Gabrielle Saunders</t>
        </is>
      </c>
      <c r="L170" s="55" t="n">
        <v>1075</v>
      </c>
      <c r="M170" s="56" t="n">
        <v>3</v>
      </c>
      <c r="N170" s="56" t="n">
        <v>1</v>
      </c>
      <c r="Q170" s="57" t="inlineStr">
        <is>
          <t>Occ</t>
        </is>
      </c>
      <c r="U170" s="58" t="n">
        <v>1365</v>
      </c>
      <c r="V170" s="58" t="n">
        <v>999</v>
      </c>
      <c r="W170" s="58" t="n">
        <v>0</v>
      </c>
      <c r="X170" s="58" t="n">
        <v>0</v>
      </c>
      <c r="Y170" s="58" t="n">
        <v>0</v>
      </c>
      <c r="Z170" s="59" t="n">
        <v>45994</v>
      </c>
      <c r="AA170" s="59" t="n">
        <v>45994</v>
      </c>
      <c r="AB170" s="59" t="n">
        <v>46358</v>
      </c>
    </row>
    <row r="171">
      <c r="D171" s="36" t="inlineStr">
        <is>
          <t>Station J Town</t>
        </is>
      </c>
      <c r="E171" s="54" t="inlineStr">
        <is>
          <t>F08</t>
        </is>
      </c>
      <c r="F171" s="54" t="inlineStr">
        <is>
          <t>stjt2A1</t>
        </is>
      </c>
      <c r="G171" s="54" t="inlineStr">
        <is>
          <t>1 BD / 1 BA</t>
        </is>
      </c>
      <c r="K171" s="36" t="inlineStr">
        <is>
          <t>Jeremiah Hemphill</t>
        </is>
      </c>
      <c r="L171" s="55" t="n">
        <v>850</v>
      </c>
      <c r="M171" s="56" t="n">
        <v>1</v>
      </c>
      <c r="N171" s="56" t="n">
        <v>1</v>
      </c>
      <c r="Q171" s="57" t="inlineStr">
        <is>
          <t>Occ</t>
        </is>
      </c>
      <c r="U171" s="58" t="n">
        <v>990</v>
      </c>
      <c r="V171" s="58" t="n">
        <v>975</v>
      </c>
      <c r="W171" s="58" t="n">
        <v>0</v>
      </c>
      <c r="X171" s="58" t="n">
        <v>0</v>
      </c>
      <c r="Y171" s="58" t="n">
        <v>0</v>
      </c>
      <c r="Z171" s="59" t="n">
        <v>46090</v>
      </c>
      <c r="AA171" s="59" t="n">
        <v>46090</v>
      </c>
      <c r="AB171" s="59" t="n">
        <v>46454</v>
      </c>
    </row>
    <row r="172">
      <c r="D172" s="36" t="inlineStr">
        <is>
          <t>Station J Town</t>
        </is>
      </c>
      <c r="E172" s="54" t="inlineStr">
        <is>
          <t>F09</t>
        </is>
      </c>
      <c r="F172" s="54" t="inlineStr">
        <is>
          <t>stjt2C1R</t>
        </is>
      </c>
      <c r="G172" s="54" t="inlineStr">
        <is>
          <t>3 BD / 1 BA - A</t>
        </is>
      </c>
      <c r="I172" s="54" t="inlineStr">
        <is>
          <t>Yes</t>
        </is>
      </c>
      <c r="J172" s="54" t="inlineStr">
        <is>
          <t>Full</t>
        </is>
      </c>
      <c r="K172" s="36" t="inlineStr">
        <is>
          <t>Elizabeth Warner</t>
        </is>
      </c>
      <c r="L172" s="55" t="n">
        <v>1075</v>
      </c>
      <c r="M172" s="56" t="n">
        <v>3</v>
      </c>
      <c r="N172" s="56" t="n">
        <v>1</v>
      </c>
      <c r="Q172" s="57" t="inlineStr">
        <is>
          <t>Occ</t>
        </is>
      </c>
      <c r="U172" s="58" t="n">
        <v>1365</v>
      </c>
      <c r="V172" s="58" t="n">
        <v>1199</v>
      </c>
      <c r="W172" s="58" t="n">
        <v>0</v>
      </c>
      <c r="X172" s="58" t="n">
        <v>0</v>
      </c>
      <c r="Y172" s="58" t="n">
        <v>0</v>
      </c>
      <c r="Z172" s="59" t="n">
        <v>45962</v>
      </c>
      <c r="AA172" s="59" t="n">
        <v>45962</v>
      </c>
      <c r="AB172" s="59" t="n">
        <v>46326</v>
      </c>
    </row>
    <row r="173">
      <c r="D173" s="36" t="inlineStr">
        <is>
          <t>Station J Town</t>
        </is>
      </c>
      <c r="E173" s="54" t="inlineStr">
        <is>
          <t>F10</t>
        </is>
      </c>
      <c r="F173" s="54" t="inlineStr">
        <is>
          <t>stjt2A1R</t>
        </is>
      </c>
      <c r="G173" s="54" t="inlineStr">
        <is>
          <t>1 BD / 1 BA</t>
        </is>
      </c>
      <c r="I173" s="54" t="inlineStr">
        <is>
          <t>Yes</t>
        </is>
      </c>
      <c r="J173" s="54" t="inlineStr">
        <is>
          <t>Full</t>
        </is>
      </c>
      <c r="K173" s="36" t="inlineStr">
        <is>
          <t>Dwayne Sutton</t>
        </is>
      </c>
      <c r="L173" s="55" t="n">
        <v>850</v>
      </c>
      <c r="M173" s="56" t="n">
        <v>1</v>
      </c>
      <c r="N173" s="56" t="n">
        <v>1</v>
      </c>
      <c r="Q173" s="57" t="inlineStr">
        <is>
          <t>Occ</t>
        </is>
      </c>
      <c r="U173" s="58" t="n">
        <v>1055</v>
      </c>
      <c r="V173" s="58" t="n">
        <v>1050</v>
      </c>
      <c r="W173" s="58" t="n">
        <v>0</v>
      </c>
      <c r="X173" s="58" t="n">
        <v>0</v>
      </c>
      <c r="Y173" s="58" t="n">
        <v>0</v>
      </c>
      <c r="Z173" s="59" t="n">
        <v>45265</v>
      </c>
      <c r="AA173" s="59" t="n">
        <v>45265</v>
      </c>
      <c r="AB173" s="59" t="n">
        <v>46207</v>
      </c>
    </row>
    <row r="174">
      <c r="D174" s="36" t="inlineStr">
        <is>
          <t>Station J Town</t>
        </is>
      </c>
      <c r="E174" s="54" t="inlineStr">
        <is>
          <t>F11</t>
        </is>
      </c>
      <c r="F174" s="54" t="inlineStr">
        <is>
          <t>stjt2C2</t>
        </is>
      </c>
      <c r="G174" s="54" t="inlineStr">
        <is>
          <t>3 BD / 1.5 BA</t>
        </is>
      </c>
      <c r="K174" s="36" t="inlineStr">
        <is>
          <t>Hannah Beverly</t>
        </is>
      </c>
      <c r="L174" s="55" t="n">
        <v>1075</v>
      </c>
      <c r="M174" s="56" t="n">
        <v>3</v>
      </c>
      <c r="N174" s="56" t="n">
        <v>1.5</v>
      </c>
      <c r="Q174" s="57" t="inlineStr">
        <is>
          <t>Occ</t>
        </is>
      </c>
      <c r="U174" s="58" t="n">
        <v>1280</v>
      </c>
      <c r="V174" s="58" t="n">
        <v>1025</v>
      </c>
      <c r="W174" s="58" t="n">
        <v>0</v>
      </c>
      <c r="X174" s="58" t="n">
        <v>0</v>
      </c>
      <c r="Y174" s="58" t="n">
        <v>0</v>
      </c>
      <c r="Z174" s="59" t="n">
        <v>45675</v>
      </c>
      <c r="AA174" s="59" t="n">
        <v>45675</v>
      </c>
      <c r="AB174" s="59" t="n">
        <v>46220</v>
      </c>
    </row>
    <row r="175">
      <c r="D175" s="36" t="inlineStr">
        <is>
          <t>Station J Town</t>
        </is>
      </c>
      <c r="E175" s="54" t="inlineStr">
        <is>
          <t>F12</t>
        </is>
      </c>
      <c r="F175" s="54" t="inlineStr">
        <is>
          <t>stjt2A1R</t>
        </is>
      </c>
      <c r="G175" s="54" t="inlineStr">
        <is>
          <t>1 BD / 1 BA</t>
        </is>
      </c>
      <c r="I175" s="54" t="inlineStr">
        <is>
          <t>Yes</t>
        </is>
      </c>
      <c r="J175" s="54" t="inlineStr">
        <is>
          <t>Full</t>
        </is>
      </c>
      <c r="K175" s="36" t="inlineStr">
        <is>
          <t>Harpreet Kaur</t>
        </is>
      </c>
      <c r="L175" s="55" t="n">
        <v>850</v>
      </c>
      <c r="M175" s="56" t="n">
        <v>1</v>
      </c>
      <c r="N175" s="56" t="n">
        <v>1</v>
      </c>
      <c r="Q175" s="57" t="inlineStr">
        <is>
          <t>Occ</t>
        </is>
      </c>
      <c r="U175" s="58" t="n">
        <v>1055</v>
      </c>
      <c r="V175" s="58" t="n">
        <v>1040</v>
      </c>
      <c r="W175" s="58" t="n">
        <v>0</v>
      </c>
      <c r="X175" s="58" t="n">
        <v>0</v>
      </c>
      <c r="Y175" s="58" t="n">
        <v>0</v>
      </c>
      <c r="Z175" s="59" t="n">
        <v>45779</v>
      </c>
      <c r="AA175" s="59" t="n">
        <v>45779</v>
      </c>
      <c r="AB175" s="59" t="n">
        <v>46143</v>
      </c>
    </row>
    <row r="176">
      <c r="D176" s="36" t="inlineStr">
        <is>
          <t>Station J Town</t>
        </is>
      </c>
      <c r="E176" s="54" t="inlineStr">
        <is>
          <t>F13</t>
        </is>
      </c>
      <c r="F176" s="54" t="inlineStr">
        <is>
          <t>stjt2B1</t>
        </is>
      </c>
      <c r="G176" s="54" t="inlineStr">
        <is>
          <t>2 BD / 1 BA</t>
        </is>
      </c>
      <c r="K176" s="36" t="inlineStr">
        <is>
          <t>Antonio Evans</t>
        </is>
      </c>
      <c r="L176" s="55" t="n">
        <v>950</v>
      </c>
      <c r="M176" s="56" t="n">
        <v>2</v>
      </c>
      <c r="N176" s="56" t="n">
        <v>1</v>
      </c>
      <c r="Q176" s="57" t="inlineStr">
        <is>
          <t>Occ</t>
        </is>
      </c>
      <c r="U176" s="58" t="n">
        <v>1020</v>
      </c>
      <c r="V176" s="58" t="n">
        <v>1010</v>
      </c>
      <c r="W176" s="58" t="n">
        <v>0</v>
      </c>
      <c r="X176" s="58" t="n">
        <v>0</v>
      </c>
      <c r="Y176" s="58" t="n">
        <v>0</v>
      </c>
      <c r="Z176" s="59" t="n">
        <v>46093</v>
      </c>
      <c r="AA176" s="59" t="n">
        <v>46093</v>
      </c>
      <c r="AB176" s="59" t="n">
        <v>46457</v>
      </c>
    </row>
    <row r="177">
      <c r="D177" s="36" t="inlineStr">
        <is>
          <t>Station J Town</t>
        </is>
      </c>
      <c r="E177" s="54" t="inlineStr">
        <is>
          <t>F14</t>
        </is>
      </c>
      <c r="F177" s="54" t="inlineStr">
        <is>
          <t>stjt2B1</t>
        </is>
      </c>
      <c r="G177" s="54" t="inlineStr">
        <is>
          <t>2 BD / 1 BA</t>
        </is>
      </c>
      <c r="K177" s="36" t="inlineStr">
        <is>
          <t>Lal Rai</t>
        </is>
      </c>
      <c r="L177" s="55" t="n">
        <v>950</v>
      </c>
      <c r="M177" s="56" t="n">
        <v>2</v>
      </c>
      <c r="N177" s="56" t="n">
        <v>1</v>
      </c>
      <c r="Q177" s="57" t="inlineStr">
        <is>
          <t>Occ</t>
        </is>
      </c>
      <c r="U177" s="58" t="n">
        <v>1040</v>
      </c>
      <c r="V177" s="58" t="n">
        <v>999</v>
      </c>
      <c r="W177" s="58" t="n">
        <v>0</v>
      </c>
      <c r="X177" s="58" t="n">
        <v>0</v>
      </c>
      <c r="Y177" s="58" t="n">
        <v>0</v>
      </c>
      <c r="Z177" s="59" t="n">
        <v>45607</v>
      </c>
      <c r="AA177" s="59" t="n">
        <v>45607</v>
      </c>
      <c r="AB177" s="59" t="n">
        <v>46517</v>
      </c>
    </row>
    <row r="178">
      <c r="D178" s="36" t="inlineStr">
        <is>
          <t>Station J Town</t>
        </is>
      </c>
      <c r="E178" s="54" t="inlineStr">
        <is>
          <t>F15</t>
        </is>
      </c>
      <c r="F178" s="54" t="inlineStr">
        <is>
          <t>stjt2B2</t>
        </is>
      </c>
      <c r="G178" s="54" t="inlineStr">
        <is>
          <t>2 BD / 1.5 BA</t>
        </is>
      </c>
      <c r="K178" s="36" t="inlineStr">
        <is>
          <t>Parker Hiteshew</t>
        </is>
      </c>
      <c r="L178" s="55" t="n">
        <v>950</v>
      </c>
      <c r="M178" s="56" t="n">
        <v>2</v>
      </c>
      <c r="N178" s="56" t="n">
        <v>1.5</v>
      </c>
      <c r="Q178" s="57" t="inlineStr">
        <is>
          <t>Occ</t>
        </is>
      </c>
      <c r="U178" s="58" t="n">
        <v>1060</v>
      </c>
      <c r="V178" s="58" t="n">
        <v>1050</v>
      </c>
      <c r="W178" s="58" t="n">
        <v>0</v>
      </c>
      <c r="X178" s="58" t="n">
        <v>0</v>
      </c>
      <c r="Y178" s="58" t="n">
        <v>0</v>
      </c>
      <c r="Z178" s="59" t="n">
        <v>45499</v>
      </c>
      <c r="AA178" s="59" t="n">
        <v>45499</v>
      </c>
      <c r="AB178" s="59" t="n">
        <v>46227</v>
      </c>
    </row>
    <row r="179">
      <c r="D179" s="36" t="inlineStr">
        <is>
          <t>Station J Town</t>
        </is>
      </c>
      <c r="E179" s="54" t="inlineStr">
        <is>
          <t>F16</t>
        </is>
      </c>
      <c r="F179" s="54" t="inlineStr">
        <is>
          <t>stjt2B2</t>
        </is>
      </c>
      <c r="G179" s="54" t="inlineStr">
        <is>
          <t>2 BD / 1.5 BA</t>
        </is>
      </c>
      <c r="K179" s="36" t="inlineStr">
        <is>
          <t>Alexandra Ohnemus</t>
        </is>
      </c>
      <c r="L179" s="55" t="n">
        <v>950</v>
      </c>
      <c r="M179" s="56" t="n">
        <v>2</v>
      </c>
      <c r="N179" s="56" t="n">
        <v>1.5</v>
      </c>
      <c r="Q179" s="57" t="inlineStr">
        <is>
          <t>Occ</t>
        </is>
      </c>
      <c r="U179" s="58" t="n">
        <v>1060</v>
      </c>
      <c r="V179" s="58" t="n">
        <v>1030</v>
      </c>
      <c r="W179" s="58" t="n">
        <v>0</v>
      </c>
      <c r="X179" s="58" t="n">
        <v>0</v>
      </c>
      <c r="Y179" s="58" t="n">
        <v>0</v>
      </c>
      <c r="Z179" s="59" t="n">
        <v>45899</v>
      </c>
      <c r="AA179" s="59" t="n">
        <v>45899</v>
      </c>
      <c r="AB179" s="59" t="n">
        <v>46263</v>
      </c>
    </row>
    <row r="180">
      <c r="D180" s="36" t="inlineStr">
        <is>
          <t>Station J Town</t>
        </is>
      </c>
      <c r="E180" s="54" t="inlineStr">
        <is>
          <t>F17</t>
        </is>
      </c>
      <c r="F180" s="54" t="inlineStr">
        <is>
          <t>stjt2B1</t>
        </is>
      </c>
      <c r="G180" s="54" t="inlineStr">
        <is>
          <t>2 BD / 1 BA</t>
        </is>
      </c>
      <c r="K180" s="36" t="inlineStr">
        <is>
          <t>Leslie Hardy</t>
        </is>
      </c>
      <c r="L180" s="55" t="n">
        <v>950</v>
      </c>
      <c r="M180" s="56" t="n">
        <v>2</v>
      </c>
      <c r="N180" s="56" t="n">
        <v>1</v>
      </c>
      <c r="Q180" s="57" t="inlineStr">
        <is>
          <t>Occ</t>
        </is>
      </c>
      <c r="U180" s="58" t="n">
        <v>1035</v>
      </c>
      <c r="V180" s="58" t="n">
        <v>1014</v>
      </c>
      <c r="W180" s="58" t="n">
        <v>0</v>
      </c>
      <c r="X180" s="58" t="n">
        <v>0</v>
      </c>
      <c r="Y180" s="58" t="n">
        <v>0</v>
      </c>
      <c r="Z180" s="59" t="n">
        <v>45778</v>
      </c>
      <c r="AA180" s="59" t="n">
        <v>45778</v>
      </c>
      <c r="AB180" s="59" t="n">
        <v>46234</v>
      </c>
    </row>
    <row r="181">
      <c r="D181" s="36" t="inlineStr">
        <is>
          <t>Station J Town</t>
        </is>
      </c>
      <c r="E181" s="54" t="inlineStr">
        <is>
          <t>F18</t>
        </is>
      </c>
      <c r="F181" s="54" t="inlineStr">
        <is>
          <t>stjt2B1</t>
        </is>
      </c>
      <c r="G181" s="54" t="inlineStr">
        <is>
          <t>2 BD / 1 BA</t>
        </is>
      </c>
      <c r="K181" s="36" t="inlineStr">
        <is>
          <t>Edgar Constantino</t>
        </is>
      </c>
      <c r="L181" s="55" t="n">
        <v>950</v>
      </c>
      <c r="M181" s="56" t="n">
        <v>2</v>
      </c>
      <c r="N181" s="56" t="n">
        <v>1</v>
      </c>
      <c r="Q181" s="57" t="inlineStr">
        <is>
          <t>Occ</t>
        </is>
      </c>
      <c r="U181" s="58" t="n">
        <v>1035</v>
      </c>
      <c r="V181" s="58" t="n">
        <v>965</v>
      </c>
      <c r="W181" s="58" t="n">
        <v>0</v>
      </c>
      <c r="X181" s="58" t="n">
        <v>0</v>
      </c>
      <c r="Y181" s="58" t="n">
        <v>0</v>
      </c>
      <c r="Z181" s="59" t="n">
        <v>45433</v>
      </c>
      <c r="AA181" s="59" t="n">
        <v>45433</v>
      </c>
      <c r="AB181" s="59" t="n">
        <v>46162</v>
      </c>
    </row>
    <row r="182">
      <c r="D182" s="36" t="inlineStr">
        <is>
          <t>Station J Town</t>
        </is>
      </c>
      <c r="E182" s="54" t="inlineStr">
        <is>
          <t>F19</t>
        </is>
      </c>
      <c r="F182" s="54" t="inlineStr">
        <is>
          <t>stjt2B2R</t>
        </is>
      </c>
      <c r="G182" s="54" t="inlineStr">
        <is>
          <t>2 BD / 1.5 BA</t>
        </is>
      </c>
      <c r="I182" s="54" t="inlineStr">
        <is>
          <t>Yes</t>
        </is>
      </c>
      <c r="J182" s="54" t="inlineStr">
        <is>
          <t>Full</t>
        </is>
      </c>
      <c r="K182" s="36" t="inlineStr">
        <is>
          <t>Petronila Grave Ralios</t>
        </is>
      </c>
      <c r="L182" s="55" t="n">
        <v>950</v>
      </c>
      <c r="M182" s="56" t="n">
        <v>2</v>
      </c>
      <c r="N182" s="56" t="n">
        <v>1.5</v>
      </c>
      <c r="Q182" s="57" t="inlineStr">
        <is>
          <t>Occ</t>
        </is>
      </c>
      <c r="U182" s="58" t="n">
        <v>1214</v>
      </c>
      <c r="V182" s="58" t="n">
        <v>1105</v>
      </c>
      <c r="W182" s="58" t="n">
        <v>0</v>
      </c>
      <c r="X182" s="58" t="n">
        <v>0</v>
      </c>
      <c r="Y182" s="58" t="n">
        <v>0</v>
      </c>
      <c r="Z182" s="59" t="n">
        <v>46087</v>
      </c>
      <c r="AA182" s="59" t="n">
        <v>46087</v>
      </c>
      <c r="AB182" s="59" t="n">
        <v>46451</v>
      </c>
    </row>
    <row r="183">
      <c r="D183" s="36" t="inlineStr">
        <is>
          <t>Station J Town</t>
        </is>
      </c>
      <c r="E183" s="54" t="inlineStr">
        <is>
          <t>F20</t>
        </is>
      </c>
      <c r="F183" s="54" t="inlineStr">
        <is>
          <t>stjt2B2</t>
        </is>
      </c>
      <c r="G183" s="54" t="inlineStr">
        <is>
          <t>2 BD / 1.5 BA</t>
        </is>
      </c>
      <c r="K183" s="36" t="inlineStr">
        <is>
          <t>Khadija Ahmedou</t>
        </is>
      </c>
      <c r="L183" s="55" t="n">
        <v>950</v>
      </c>
      <c r="M183" s="56" t="n">
        <v>2</v>
      </c>
      <c r="N183" s="56" t="n">
        <v>1.5</v>
      </c>
      <c r="Q183" s="57" t="inlineStr">
        <is>
          <t>Occ</t>
        </is>
      </c>
      <c r="U183" s="58" t="n">
        <v>1075</v>
      </c>
      <c r="V183" s="58" t="n">
        <v>1060</v>
      </c>
      <c r="W183" s="58" t="n">
        <v>0</v>
      </c>
      <c r="X183" s="58" t="n">
        <v>0</v>
      </c>
      <c r="Y183" s="58" t="n">
        <v>0</v>
      </c>
      <c r="Z183" s="59" t="n">
        <v>45567</v>
      </c>
      <c r="AA183" s="59" t="n">
        <v>45567</v>
      </c>
      <c r="AB183" s="59" t="n">
        <v>46296</v>
      </c>
    </row>
    <row r="184">
      <c r="D184" s="36" t="inlineStr">
        <is>
          <t>Station J Town</t>
        </is>
      </c>
      <c r="E184" s="54" t="inlineStr">
        <is>
          <t>F21</t>
        </is>
      </c>
      <c r="F184" s="54" t="inlineStr">
        <is>
          <t>stjt2B1</t>
        </is>
      </c>
      <c r="G184" s="54" t="inlineStr">
        <is>
          <t>2 BD / 1 BA</t>
        </is>
      </c>
      <c r="K184" s="36" t="inlineStr">
        <is>
          <t>Eric Forehand</t>
        </is>
      </c>
      <c r="L184" s="55" t="n">
        <v>950</v>
      </c>
      <c r="M184" s="56" t="n">
        <v>2</v>
      </c>
      <c r="N184" s="56" t="n">
        <v>1</v>
      </c>
      <c r="Q184" s="57" t="inlineStr">
        <is>
          <t>Occ</t>
        </is>
      </c>
      <c r="U184" s="58" t="n">
        <v>1035</v>
      </c>
      <c r="V184" s="58" t="n">
        <v>1015</v>
      </c>
      <c r="W184" s="58" t="n">
        <v>0</v>
      </c>
      <c r="X184" s="58" t="n">
        <v>0</v>
      </c>
      <c r="Y184" s="58" t="n">
        <v>0</v>
      </c>
      <c r="Z184" s="59" t="n">
        <v>44779</v>
      </c>
      <c r="AA184" s="59" t="n">
        <v>44779</v>
      </c>
      <c r="AB184" s="59" t="n">
        <v>46240</v>
      </c>
    </row>
    <row r="185">
      <c r="D185" s="36" t="inlineStr">
        <is>
          <t>Station J Town</t>
        </is>
      </c>
      <c r="E185" s="54" t="inlineStr">
        <is>
          <t>F22</t>
        </is>
      </c>
      <c r="F185" s="54" t="inlineStr">
        <is>
          <t>stjt2B1</t>
        </is>
      </c>
      <c r="G185" s="54" t="inlineStr">
        <is>
          <t>2 BD / 1 BA</t>
        </is>
      </c>
      <c r="K185" s="36" t="inlineStr">
        <is>
          <t>Ira Dunlap</t>
        </is>
      </c>
      <c r="L185" s="55" t="n">
        <v>950</v>
      </c>
      <c r="M185" s="56" t="n">
        <v>2</v>
      </c>
      <c r="N185" s="56" t="n">
        <v>1</v>
      </c>
      <c r="Q185" s="57" t="inlineStr">
        <is>
          <t>Occ</t>
        </is>
      </c>
      <c r="U185" s="58" t="n">
        <v>1035</v>
      </c>
      <c r="V185" s="58" t="n">
        <v>1014</v>
      </c>
      <c r="W185" s="58" t="n">
        <v>0</v>
      </c>
      <c r="X185" s="58" t="n">
        <v>0</v>
      </c>
      <c r="Y185" s="58" t="n">
        <v>0</v>
      </c>
      <c r="Z185" s="59" t="n">
        <v>45807</v>
      </c>
      <c r="AA185" s="59" t="n">
        <v>45807</v>
      </c>
      <c r="AB185" s="59" t="n">
        <v>46171</v>
      </c>
    </row>
    <row r="186">
      <c r="D186" s="36" t="inlineStr">
        <is>
          <t>Station J Town</t>
        </is>
      </c>
      <c r="E186" s="54" t="inlineStr">
        <is>
          <t>F23</t>
        </is>
      </c>
      <c r="F186" s="54" t="inlineStr">
        <is>
          <t>stjt2B2</t>
        </is>
      </c>
      <c r="G186" s="54" t="inlineStr">
        <is>
          <t>2 BD / 1.5 BA</t>
        </is>
      </c>
      <c r="K186" s="36" t="inlineStr">
        <is>
          <t>Carson Smith</t>
        </is>
      </c>
      <c r="L186" s="55" t="n">
        <v>950</v>
      </c>
      <c r="M186" s="56" t="n">
        <v>2</v>
      </c>
      <c r="N186" s="56" t="n">
        <v>1.5</v>
      </c>
      <c r="Q186" s="57" t="inlineStr">
        <is>
          <t>Occ</t>
        </is>
      </c>
      <c r="U186" s="58" t="n">
        <v>1075</v>
      </c>
      <c r="V186" s="58" t="n">
        <v>1075</v>
      </c>
      <c r="W186" s="58" t="n">
        <v>0</v>
      </c>
      <c r="X186" s="58" t="n">
        <v>0</v>
      </c>
      <c r="Y186" s="58" t="n">
        <v>0</v>
      </c>
      <c r="Z186" s="59" t="n">
        <v>46116</v>
      </c>
      <c r="AA186" s="59" t="n">
        <v>46116</v>
      </c>
      <c r="AB186" s="59" t="n">
        <v>46480</v>
      </c>
    </row>
    <row r="187">
      <c r="D187" s="36" t="inlineStr">
        <is>
          <t>Station J Town</t>
        </is>
      </c>
      <c r="E187" s="54" t="inlineStr">
        <is>
          <t>F24</t>
        </is>
      </c>
      <c r="F187" s="54" t="inlineStr">
        <is>
          <t>stjt2B2</t>
        </is>
      </c>
      <c r="G187" s="54" t="inlineStr">
        <is>
          <t>2 BD / 1.5 BA</t>
        </is>
      </c>
      <c r="K187" s="36" t="inlineStr">
        <is>
          <t>Adam Anderson</t>
        </is>
      </c>
      <c r="L187" s="55" t="n">
        <v>950</v>
      </c>
      <c r="M187" s="56" t="n">
        <v>2</v>
      </c>
      <c r="N187" s="56" t="n">
        <v>1.5</v>
      </c>
      <c r="Q187" s="57" t="inlineStr">
        <is>
          <t>Occ</t>
        </is>
      </c>
      <c r="U187" s="58" t="n">
        <v>1075</v>
      </c>
      <c r="V187" s="58" t="n">
        <v>1030</v>
      </c>
      <c r="W187" s="58" t="n">
        <v>0</v>
      </c>
      <c r="X187" s="58" t="n">
        <v>0</v>
      </c>
      <c r="Y187" s="58" t="n">
        <v>0</v>
      </c>
      <c r="Z187" s="59" t="n">
        <v>45801</v>
      </c>
      <c r="AA187" s="59" t="n">
        <v>45801</v>
      </c>
      <c r="AB187" s="59" t="n">
        <v>46165</v>
      </c>
    </row>
    <row r="188">
      <c r="D188" s="36" t="inlineStr">
        <is>
          <t>Station J Town</t>
        </is>
      </c>
      <c r="E188" s="54" t="inlineStr">
        <is>
          <t>F25</t>
        </is>
      </c>
      <c r="F188" s="54" t="inlineStr">
        <is>
          <t>stjt2A1R</t>
        </is>
      </c>
      <c r="G188" s="54" t="inlineStr">
        <is>
          <t>1 BD / 1 BA</t>
        </is>
      </c>
      <c r="I188" s="54" t="inlineStr">
        <is>
          <t>Yes</t>
        </is>
      </c>
      <c r="J188" s="54" t="inlineStr">
        <is>
          <t>Full</t>
        </is>
      </c>
      <c r="K188" s="36" t="inlineStr">
        <is>
          <t>Heaven Henderson</t>
        </is>
      </c>
      <c r="L188" s="55" t="n">
        <v>850</v>
      </c>
      <c r="M188" s="56" t="n">
        <v>1</v>
      </c>
      <c r="N188" s="56" t="n">
        <v>1</v>
      </c>
      <c r="Q188" s="57" t="inlineStr">
        <is>
          <t>Occ</t>
        </is>
      </c>
      <c r="U188" s="58" t="n">
        <v>1040</v>
      </c>
      <c r="V188" s="58" t="n">
        <v>1025</v>
      </c>
      <c r="W188" s="58" t="n">
        <v>0</v>
      </c>
      <c r="X188" s="58" t="n">
        <v>0</v>
      </c>
      <c r="Y188" s="58" t="n">
        <v>0</v>
      </c>
      <c r="Z188" s="59" t="n">
        <v>45527</v>
      </c>
      <c r="AA188" s="59" t="n">
        <v>45527</v>
      </c>
      <c r="AB188" s="59" t="n">
        <v>46256</v>
      </c>
    </row>
    <row r="189">
      <c r="D189" s="36" t="inlineStr">
        <is>
          <t>Station J Town</t>
        </is>
      </c>
      <c r="E189" s="54" t="inlineStr">
        <is>
          <t>F26</t>
        </is>
      </c>
      <c r="F189" s="54" t="inlineStr">
        <is>
          <t>stjt2C1</t>
        </is>
      </c>
      <c r="G189" s="54" t="inlineStr">
        <is>
          <t>3 BD / 1 BA - A</t>
        </is>
      </c>
      <c r="K189" s="36" t="inlineStr">
        <is>
          <t>Luis Miller-Rivas</t>
        </is>
      </c>
      <c r="L189" s="55" t="n">
        <v>1075</v>
      </c>
      <c r="M189" s="56" t="n">
        <v>3</v>
      </c>
      <c r="N189" s="56" t="n">
        <v>1</v>
      </c>
      <c r="Q189" s="57" t="inlineStr">
        <is>
          <t>Occ</t>
        </is>
      </c>
      <c r="U189" s="58" t="n">
        <v>1190</v>
      </c>
      <c r="V189" s="58" t="n">
        <v>999</v>
      </c>
      <c r="W189" s="58" t="n">
        <v>0</v>
      </c>
      <c r="X189" s="58" t="n">
        <v>0</v>
      </c>
      <c r="Y189" s="58" t="n">
        <v>0</v>
      </c>
      <c r="Z189" s="59" t="n">
        <v>45987</v>
      </c>
      <c r="AA189" s="59" t="n">
        <v>45987</v>
      </c>
      <c r="AB189" s="59" t="n">
        <v>46716</v>
      </c>
    </row>
    <row r="190">
      <c r="D190" s="36" t="inlineStr">
        <is>
          <t>Station J Town</t>
        </is>
      </c>
      <c r="E190" s="54" t="inlineStr">
        <is>
          <t>F27</t>
        </is>
      </c>
      <c r="F190" s="54" t="inlineStr">
        <is>
          <t>stjt2A1</t>
        </is>
      </c>
      <c r="G190" s="54" t="inlineStr">
        <is>
          <t>1 BD / 1 BA</t>
        </is>
      </c>
      <c r="K190" s="36" t="inlineStr">
        <is>
          <t>William Long</t>
        </is>
      </c>
      <c r="L190" s="55" t="n">
        <v>850</v>
      </c>
      <c r="M190" s="56" t="n">
        <v>1</v>
      </c>
      <c r="N190" s="56" t="n">
        <v>1</v>
      </c>
      <c r="Q190" s="57" t="inlineStr">
        <is>
          <t>Occ</t>
        </is>
      </c>
      <c r="U190" s="58" t="n">
        <v>975</v>
      </c>
      <c r="V190" s="58" t="n">
        <v>850</v>
      </c>
      <c r="W190" s="58" t="n">
        <v>0</v>
      </c>
      <c r="X190" s="58" t="n">
        <v>0</v>
      </c>
      <c r="Y190" s="58" t="n">
        <v>0</v>
      </c>
      <c r="Z190" s="59" t="n">
        <v>45618</v>
      </c>
      <c r="AA190" s="59" t="n">
        <v>45618</v>
      </c>
      <c r="AB190" s="59" t="n">
        <v>46163</v>
      </c>
    </row>
    <row r="191">
      <c r="D191" s="36" t="inlineStr">
        <is>
          <t>Station J Town</t>
        </is>
      </c>
      <c r="E191" s="54" t="inlineStr">
        <is>
          <t>F28</t>
        </is>
      </c>
      <c r="F191" s="54" t="inlineStr">
        <is>
          <t>stjt2C1</t>
        </is>
      </c>
      <c r="G191" s="54" t="inlineStr">
        <is>
          <t>3 BD / 1 BA - A</t>
        </is>
      </c>
      <c r="K191" s="36" t="inlineStr">
        <is>
          <t>Marco Martinez</t>
        </is>
      </c>
      <c r="L191" s="55" t="n">
        <v>1075</v>
      </c>
      <c r="M191" s="56" t="n">
        <v>3</v>
      </c>
      <c r="N191" s="56" t="n">
        <v>1</v>
      </c>
      <c r="Q191" s="57" t="inlineStr">
        <is>
          <t>Occ</t>
        </is>
      </c>
      <c r="U191" s="58" t="n">
        <v>1190</v>
      </c>
      <c r="V191" s="58" t="n">
        <v>1185</v>
      </c>
      <c r="W191" s="58" t="n">
        <v>0</v>
      </c>
      <c r="X191" s="58" t="n">
        <v>0</v>
      </c>
      <c r="Y191" s="58" t="n">
        <v>0</v>
      </c>
      <c r="Z191" s="59" t="n">
        <v>45278</v>
      </c>
      <c r="AA191" s="59" t="n">
        <v>45278</v>
      </c>
      <c r="AB191" s="59" t="n">
        <v>46220</v>
      </c>
    </row>
    <row r="192">
      <c r="D192" s="36" t="inlineStr">
        <is>
          <t>Station J Town</t>
        </is>
      </c>
      <c r="E192" s="54" t="inlineStr">
        <is>
          <t>F29</t>
        </is>
      </c>
      <c r="F192" s="54" t="inlineStr">
        <is>
          <t>stjt2A1</t>
        </is>
      </c>
      <c r="G192" s="54" t="inlineStr">
        <is>
          <t>1 BD / 1 BA</t>
        </is>
      </c>
      <c r="K192" s="36" t="inlineStr">
        <is>
          <t>Brittany Warner</t>
        </is>
      </c>
      <c r="L192" s="55" t="n">
        <v>850</v>
      </c>
      <c r="M192" s="56" t="n">
        <v>1</v>
      </c>
      <c r="N192" s="56" t="n">
        <v>1</v>
      </c>
      <c r="Q192" s="57" t="inlineStr">
        <is>
          <t>Occ</t>
        </is>
      </c>
      <c r="U192" s="58" t="n">
        <v>990</v>
      </c>
      <c r="V192" s="58" t="n">
        <v>925</v>
      </c>
      <c r="W192" s="58" t="n">
        <v>0</v>
      </c>
      <c r="X192" s="58" t="n">
        <v>0</v>
      </c>
      <c r="Y192" s="58" t="n">
        <v>0</v>
      </c>
      <c r="Z192" s="59" t="n">
        <v>45740</v>
      </c>
      <c r="AA192" s="59" t="n">
        <v>45740</v>
      </c>
      <c r="AB192" s="59" t="n">
        <v>46834</v>
      </c>
    </row>
    <row r="193">
      <c r="D193" s="36" t="inlineStr">
        <is>
          <t>Station J Town</t>
        </is>
      </c>
      <c r="E193" s="54" t="inlineStr">
        <is>
          <t>F30</t>
        </is>
      </c>
      <c r="F193" s="54" t="inlineStr">
        <is>
          <t>stjt2C1</t>
        </is>
      </c>
      <c r="G193" s="54" t="inlineStr">
        <is>
          <t>3 BD / 1 BA - A</t>
        </is>
      </c>
      <c r="K193" s="36" t="inlineStr">
        <is>
          <t>Jessica Lamothe</t>
        </is>
      </c>
      <c r="L193" s="55" t="n">
        <v>1075</v>
      </c>
      <c r="M193" s="56" t="n">
        <v>3</v>
      </c>
      <c r="N193" s="56" t="n">
        <v>1</v>
      </c>
      <c r="Q193" s="57" t="inlineStr">
        <is>
          <t>Occ</t>
        </is>
      </c>
      <c r="U193" s="58" t="n">
        <v>1205</v>
      </c>
      <c r="V193" s="58" t="n">
        <v>1079</v>
      </c>
      <c r="W193" s="58" t="n">
        <v>0</v>
      </c>
      <c r="X193" s="58" t="n">
        <v>0</v>
      </c>
      <c r="Y193" s="58" t="n">
        <v>0</v>
      </c>
      <c r="Z193" s="59" t="n">
        <v>44403</v>
      </c>
      <c r="AA193" s="59" t="n">
        <v>44403</v>
      </c>
      <c r="AB193" s="59" t="n">
        <v>46236</v>
      </c>
    </row>
    <row r="194">
      <c r="D194" s="36" t="inlineStr">
        <is>
          <t>Station J Town</t>
        </is>
      </c>
      <c r="E194" s="54" t="inlineStr">
        <is>
          <t>F31</t>
        </is>
      </c>
      <c r="F194" s="54" t="inlineStr">
        <is>
          <t>stjt2A1</t>
        </is>
      </c>
      <c r="G194" s="54" t="inlineStr">
        <is>
          <t>1 BD / 1 BA</t>
        </is>
      </c>
      <c r="K194" s="36" t="inlineStr">
        <is>
          <t>John Francis Burnette</t>
        </is>
      </c>
      <c r="L194" s="55" t="n">
        <v>850</v>
      </c>
      <c r="M194" s="56" t="n">
        <v>1</v>
      </c>
      <c r="N194" s="56" t="n">
        <v>1</v>
      </c>
      <c r="Q194" s="57" t="inlineStr">
        <is>
          <t>Occ</t>
        </is>
      </c>
      <c r="U194" s="58" t="n">
        <v>990</v>
      </c>
      <c r="V194" s="58" t="n">
        <v>880</v>
      </c>
      <c r="W194" s="58" t="n">
        <v>0</v>
      </c>
      <c r="X194" s="58" t="n">
        <v>0</v>
      </c>
      <c r="Y194" s="58" t="n">
        <v>0</v>
      </c>
      <c r="Z194" s="59" t="n">
        <v>43049</v>
      </c>
      <c r="AA194" s="59" t="n">
        <v>43049</v>
      </c>
      <c r="AB194" s="59" t="n">
        <v>46234</v>
      </c>
    </row>
    <row r="195">
      <c r="D195" s="36" t="inlineStr">
        <is>
          <t>Station J Town</t>
        </is>
      </c>
      <c r="E195" s="54" t="inlineStr">
        <is>
          <t>F32</t>
        </is>
      </c>
      <c r="F195" s="54" t="inlineStr">
        <is>
          <t>stjt2C1R</t>
        </is>
      </c>
      <c r="G195" s="54" t="inlineStr">
        <is>
          <t>3 BD / 1 BA - A</t>
        </is>
      </c>
      <c r="I195" s="54" t="inlineStr">
        <is>
          <t>Yes</t>
        </is>
      </c>
      <c r="J195" s="54" t="inlineStr">
        <is>
          <t>Full</t>
        </is>
      </c>
      <c r="K195" s="36" t="inlineStr">
        <is>
          <t>Sonne Steel Inc.</t>
        </is>
      </c>
      <c r="L195" s="55" t="n">
        <v>1075</v>
      </c>
      <c r="M195" s="56" t="n">
        <v>3</v>
      </c>
      <c r="N195" s="56" t="n">
        <v>1</v>
      </c>
      <c r="Q195" s="57" t="inlineStr">
        <is>
          <t>Occ</t>
        </is>
      </c>
      <c r="U195" s="58" t="n">
        <v>1365</v>
      </c>
      <c r="V195" s="58" t="n">
        <v>1190</v>
      </c>
      <c r="W195" s="58" t="n">
        <v>0</v>
      </c>
      <c r="X195" s="58" t="n">
        <v>0</v>
      </c>
      <c r="Y195" s="58" t="n">
        <v>0</v>
      </c>
      <c r="Z195" s="59" t="n">
        <v>46009</v>
      </c>
      <c r="AA195" s="59" t="n">
        <v>46009</v>
      </c>
      <c r="AB195" s="59" t="n">
        <v>46373</v>
      </c>
    </row>
    <row r="196">
      <c r="D196" s="36" t="inlineStr">
        <is>
          <t>Station J Town</t>
        </is>
      </c>
      <c r="E196" s="54" t="inlineStr">
        <is>
          <t>F33</t>
        </is>
      </c>
      <c r="F196" s="54" t="inlineStr">
        <is>
          <t>stjt2A1</t>
        </is>
      </c>
      <c r="G196" s="54" t="inlineStr">
        <is>
          <t>1 BD / 1 BA</t>
        </is>
      </c>
      <c r="K196" s="36" t="inlineStr">
        <is>
          <t>Liss Reymond Cedeno</t>
        </is>
      </c>
      <c r="L196" s="55" t="n">
        <v>850</v>
      </c>
      <c r="M196" s="56" t="n">
        <v>1</v>
      </c>
      <c r="N196" s="56" t="n">
        <v>1</v>
      </c>
      <c r="Q196" s="57" t="inlineStr">
        <is>
          <t>Occ</t>
        </is>
      </c>
      <c r="U196" s="58" t="n">
        <v>990</v>
      </c>
      <c r="V196" s="58" t="n">
        <v>975</v>
      </c>
      <c r="W196" s="58" t="n">
        <v>0</v>
      </c>
      <c r="X196" s="58" t="n">
        <v>0</v>
      </c>
      <c r="Y196" s="58" t="n">
        <v>0</v>
      </c>
      <c r="Z196" s="59" t="n">
        <v>45884</v>
      </c>
      <c r="AA196" s="59" t="n">
        <v>45884</v>
      </c>
      <c r="AB196" s="59" t="n">
        <v>46248</v>
      </c>
    </row>
    <row r="197">
      <c r="D197" s="36" t="inlineStr">
        <is>
          <t>Station J Town</t>
        </is>
      </c>
      <c r="E197" s="54" t="inlineStr">
        <is>
          <t>F34</t>
        </is>
      </c>
      <c r="F197" s="54" t="inlineStr">
        <is>
          <t>stjt2C1</t>
        </is>
      </c>
      <c r="G197" s="54" t="inlineStr">
        <is>
          <t>3 BD / 1 BA - A</t>
        </is>
      </c>
      <c r="K197" s="36" t="inlineStr">
        <is>
          <t>Mark Espin~</t>
        </is>
      </c>
      <c r="L197" s="55" t="n">
        <v>1075</v>
      </c>
      <c r="M197" s="56" t="n">
        <v>3</v>
      </c>
      <c r="N197" s="56" t="n">
        <v>1</v>
      </c>
      <c r="Q197" s="57" t="inlineStr">
        <is>
          <t>Occ</t>
        </is>
      </c>
      <c r="U197" s="58" t="n">
        <v>1205</v>
      </c>
      <c r="V197" s="58" t="n">
        <v>1180</v>
      </c>
      <c r="W197" s="58" t="n">
        <v>0</v>
      </c>
      <c r="X197" s="58" t="n">
        <v>0</v>
      </c>
      <c r="Y197" s="58" t="n">
        <v>0</v>
      </c>
      <c r="Z197" s="59" t="n">
        <v>45374</v>
      </c>
      <c r="AA197" s="59" t="n">
        <v>45374</v>
      </c>
      <c r="AB197" s="59" t="n">
        <v>45738</v>
      </c>
    </row>
    <row r="198">
      <c r="D198" s="36" t="inlineStr">
        <is>
          <t>Station J Town</t>
        </is>
      </c>
      <c r="E198" s="54" t="inlineStr">
        <is>
          <t>F35</t>
        </is>
      </c>
      <c r="F198" s="54" t="inlineStr">
        <is>
          <t>stjt2A1</t>
        </is>
      </c>
      <c r="G198" s="54" t="inlineStr">
        <is>
          <t>1 BD / 1 BA</t>
        </is>
      </c>
      <c r="K198" s="36" t="inlineStr">
        <is>
          <t>VACANT</t>
        </is>
      </c>
      <c r="L198" s="55" t="n">
        <v>850</v>
      </c>
      <c r="M198" s="56" t="n">
        <v>1</v>
      </c>
      <c r="N198" s="56" t="n">
        <v>1</v>
      </c>
      <c r="Q198" s="57" t="inlineStr">
        <is>
          <t>Vac</t>
        </is>
      </c>
      <c r="U198" s="58" t="n">
        <v>990</v>
      </c>
      <c r="V198" s="58" t="n">
        <v>0</v>
      </c>
      <c r="W198" s="58" t="n">
        <v>0</v>
      </c>
      <c r="X198" s="58" t="n">
        <v>0</v>
      </c>
      <c r="Y198" s="58" t="n">
        <v>0</v>
      </c>
    </row>
    <row r="199">
      <c r="D199" s="36" t="inlineStr">
        <is>
          <t>Station J Town</t>
        </is>
      </c>
      <c r="E199" s="54" t="inlineStr">
        <is>
          <t>F36</t>
        </is>
      </c>
      <c r="F199" s="54" t="inlineStr">
        <is>
          <t>stjt2C2R</t>
        </is>
      </c>
      <c r="G199" s="54" t="inlineStr">
        <is>
          <t>3 BD / 1.5 BA</t>
        </is>
      </c>
      <c r="I199" s="54" t="inlineStr">
        <is>
          <t>Yes</t>
        </is>
      </c>
      <c r="J199" s="54" t="inlineStr">
        <is>
          <t>Full</t>
        </is>
      </c>
      <c r="K199" s="36" t="inlineStr">
        <is>
          <t>Ibrahim Ahmed</t>
        </is>
      </c>
      <c r="L199" s="55" t="n">
        <v>1075</v>
      </c>
      <c r="M199" s="56" t="n">
        <v>3</v>
      </c>
      <c r="N199" s="56" t="n">
        <v>1.5</v>
      </c>
      <c r="Q199" s="57" t="inlineStr">
        <is>
          <t>Occ</t>
        </is>
      </c>
      <c r="U199" s="58" t="n">
        <v>1414</v>
      </c>
      <c r="V199" s="58" t="n">
        <v>1350</v>
      </c>
      <c r="W199" s="58" t="n">
        <v>0</v>
      </c>
      <c r="X199" s="58" t="n">
        <v>0</v>
      </c>
      <c r="Y199" s="58" t="n">
        <v>0</v>
      </c>
      <c r="Z199" s="59" t="n">
        <v>45873</v>
      </c>
      <c r="AA199" s="59" t="n">
        <v>45873</v>
      </c>
      <c r="AB199" s="59" t="n">
        <v>46268</v>
      </c>
    </row>
    <row r="200">
      <c r="D200" s="36" t="inlineStr">
        <is>
          <t>Station J Town</t>
        </is>
      </c>
      <c r="E200" s="54" t="inlineStr">
        <is>
          <t>G01</t>
        </is>
      </c>
      <c r="F200" s="54" t="inlineStr">
        <is>
          <t>stjt2B1</t>
        </is>
      </c>
      <c r="G200" s="54" t="inlineStr">
        <is>
          <t>2 BD / 1 BA</t>
        </is>
      </c>
      <c r="K200" s="36" t="inlineStr">
        <is>
          <t>Diemai Mwayuma</t>
        </is>
      </c>
      <c r="L200" s="55" t="n">
        <v>950</v>
      </c>
      <c r="M200" s="56" t="n">
        <v>2</v>
      </c>
      <c r="N200" s="56" t="n">
        <v>1</v>
      </c>
      <c r="Q200" s="57" t="inlineStr">
        <is>
          <t>Occ</t>
        </is>
      </c>
      <c r="U200" s="58" t="n">
        <v>975</v>
      </c>
      <c r="V200" s="58" t="n">
        <v>975</v>
      </c>
      <c r="W200" s="58" t="n">
        <v>0</v>
      </c>
      <c r="X200" s="58" t="n">
        <v>0</v>
      </c>
      <c r="Y200" s="58" t="n">
        <v>0</v>
      </c>
      <c r="Z200" s="59" t="n">
        <v>46107</v>
      </c>
      <c r="AA200" s="59" t="n">
        <v>46107</v>
      </c>
      <c r="AB200" s="59" t="n">
        <v>46471</v>
      </c>
    </row>
    <row r="201">
      <c r="D201" s="36" t="inlineStr">
        <is>
          <t>Station J Town</t>
        </is>
      </c>
      <c r="E201" s="54" t="inlineStr">
        <is>
          <t>G02</t>
        </is>
      </c>
      <c r="F201" s="54" t="inlineStr">
        <is>
          <t>stjt2B1</t>
        </is>
      </c>
      <c r="G201" s="54" t="inlineStr">
        <is>
          <t>2 BD / 1 BA</t>
        </is>
      </c>
      <c r="K201" s="36" t="inlineStr">
        <is>
          <t>Erika Moore</t>
        </is>
      </c>
      <c r="L201" s="55" t="n">
        <v>950</v>
      </c>
      <c r="M201" s="56" t="n">
        <v>2</v>
      </c>
      <c r="N201" s="56" t="n">
        <v>1</v>
      </c>
      <c r="Q201" s="57" t="inlineStr">
        <is>
          <t>Occ</t>
        </is>
      </c>
      <c r="U201" s="58" t="n">
        <v>1020</v>
      </c>
      <c r="V201" s="58" t="n">
        <v>953</v>
      </c>
      <c r="W201" s="58" t="n">
        <v>0</v>
      </c>
      <c r="X201" s="58" t="n">
        <v>0</v>
      </c>
      <c r="Y201" s="58" t="n">
        <v>0</v>
      </c>
      <c r="Z201" s="59" t="n">
        <v>42479</v>
      </c>
      <c r="AA201" s="59" t="n">
        <v>42479</v>
      </c>
      <c r="AB201" s="59" t="n">
        <v>46160</v>
      </c>
    </row>
    <row r="202">
      <c r="D202" s="36" t="inlineStr">
        <is>
          <t>Station J Town</t>
        </is>
      </c>
      <c r="E202" s="54" t="inlineStr">
        <is>
          <t>G03</t>
        </is>
      </c>
      <c r="F202" s="54" t="inlineStr">
        <is>
          <t>stjt2B2R</t>
        </is>
      </c>
      <c r="G202" s="54" t="inlineStr">
        <is>
          <t>2 BD / 1.5 BA</t>
        </is>
      </c>
      <c r="I202" s="54" t="inlineStr">
        <is>
          <t>Yes</t>
        </is>
      </c>
      <c r="J202" s="54" t="inlineStr">
        <is>
          <t>Full</t>
        </is>
      </c>
      <c r="K202" s="36" t="inlineStr">
        <is>
          <t>Marion Lance</t>
        </is>
      </c>
      <c r="L202" s="55" t="n">
        <v>950</v>
      </c>
      <c r="M202" s="56" t="n">
        <v>2</v>
      </c>
      <c r="N202" s="56" t="n">
        <v>1.5</v>
      </c>
      <c r="Q202" s="57" t="inlineStr">
        <is>
          <t>Occ</t>
        </is>
      </c>
      <c r="U202" s="58" t="n">
        <v>1199</v>
      </c>
      <c r="V202" s="58" t="n">
        <v>1175</v>
      </c>
      <c r="W202" s="58" t="n">
        <v>0</v>
      </c>
      <c r="X202" s="58" t="n">
        <v>0</v>
      </c>
      <c r="Y202" s="58" t="n">
        <v>0</v>
      </c>
      <c r="Z202" s="59" t="n">
        <v>45464</v>
      </c>
      <c r="AA202" s="59" t="n">
        <v>45464</v>
      </c>
      <c r="AB202" s="59" t="n">
        <v>46179</v>
      </c>
    </row>
    <row r="203">
      <c r="D203" s="36" t="inlineStr">
        <is>
          <t>Station J Town</t>
        </is>
      </c>
      <c r="E203" s="54" t="inlineStr">
        <is>
          <t>G04</t>
        </is>
      </c>
      <c r="F203" s="54" t="inlineStr">
        <is>
          <t>stjt2B1</t>
        </is>
      </c>
      <c r="G203" s="54" t="inlineStr">
        <is>
          <t>2 BD / 1 BA</t>
        </is>
      </c>
      <c r="K203" s="36" t="inlineStr">
        <is>
          <t>Melaysia Adams</t>
        </is>
      </c>
      <c r="L203" s="55" t="n">
        <v>950</v>
      </c>
      <c r="M203" s="56" t="n">
        <v>2</v>
      </c>
      <c r="N203" s="56" t="n">
        <v>1</v>
      </c>
      <c r="Q203" s="57" t="inlineStr">
        <is>
          <t>Occ</t>
        </is>
      </c>
      <c r="U203" s="58" t="n">
        <v>1020</v>
      </c>
      <c r="V203" s="58" t="n">
        <v>999</v>
      </c>
      <c r="W203" s="58" t="n">
        <v>0</v>
      </c>
      <c r="X203" s="58" t="n">
        <v>0</v>
      </c>
      <c r="Y203" s="58" t="n">
        <v>0</v>
      </c>
      <c r="Z203" s="59" t="n">
        <v>45775</v>
      </c>
      <c r="AA203" s="59" t="n">
        <v>45775</v>
      </c>
      <c r="AB203" s="59" t="n">
        <v>46322</v>
      </c>
    </row>
    <row r="204">
      <c r="D204" s="36" t="inlineStr">
        <is>
          <t>Station J Town</t>
        </is>
      </c>
      <c r="E204" s="54" t="inlineStr">
        <is>
          <t>G05</t>
        </is>
      </c>
      <c r="F204" s="54" t="inlineStr">
        <is>
          <t>stjt2B1R</t>
        </is>
      </c>
      <c r="G204" s="54" t="inlineStr">
        <is>
          <t>2 BD / 1 BA</t>
        </is>
      </c>
      <c r="I204" s="54" t="inlineStr">
        <is>
          <t>Yes</t>
        </is>
      </c>
      <c r="J204" s="54" t="inlineStr">
        <is>
          <t>Full</t>
        </is>
      </c>
      <c r="K204" s="36" t="inlineStr">
        <is>
          <t>Manuel Robles</t>
        </is>
      </c>
      <c r="L204" s="55" t="n">
        <v>950</v>
      </c>
      <c r="M204" s="56" t="n">
        <v>2</v>
      </c>
      <c r="N204" s="56" t="n">
        <v>1</v>
      </c>
      <c r="Q204" s="57" t="inlineStr">
        <is>
          <t>Occ</t>
        </is>
      </c>
      <c r="U204" s="58" t="n">
        <v>1135</v>
      </c>
      <c r="V204" s="58" t="n">
        <v>1095</v>
      </c>
      <c r="W204" s="58" t="n">
        <v>0</v>
      </c>
      <c r="X204" s="58" t="n">
        <v>0</v>
      </c>
      <c r="Y204" s="58" t="n">
        <v>0</v>
      </c>
      <c r="Z204" s="59" t="n">
        <v>45938</v>
      </c>
      <c r="AA204" s="59" t="n">
        <v>45938</v>
      </c>
      <c r="AB204" s="59" t="n">
        <v>46302</v>
      </c>
    </row>
    <row r="205">
      <c r="D205" s="36" t="inlineStr">
        <is>
          <t>Station J Town</t>
        </is>
      </c>
      <c r="E205" s="54" t="inlineStr">
        <is>
          <t>G06</t>
        </is>
      </c>
      <c r="F205" s="54" t="inlineStr">
        <is>
          <t>stjt2B1</t>
        </is>
      </c>
      <c r="G205" s="54" t="inlineStr">
        <is>
          <t>2 BD / 1 BA</t>
        </is>
      </c>
      <c r="K205" s="36" t="inlineStr">
        <is>
          <t>Eric Westenhofer</t>
        </is>
      </c>
      <c r="L205" s="55" t="n">
        <v>950</v>
      </c>
      <c r="M205" s="56" t="n">
        <v>2</v>
      </c>
      <c r="N205" s="56" t="n">
        <v>1</v>
      </c>
      <c r="Q205" s="57" t="inlineStr">
        <is>
          <t>Occ</t>
        </is>
      </c>
      <c r="U205" s="58" t="n">
        <v>1035</v>
      </c>
      <c r="V205" s="58" t="n">
        <v>1000</v>
      </c>
      <c r="W205" s="58" t="n">
        <v>0</v>
      </c>
      <c r="X205" s="58" t="n">
        <v>0</v>
      </c>
      <c r="Y205" s="58" t="n">
        <v>0</v>
      </c>
      <c r="Z205" s="59" t="n">
        <v>42793</v>
      </c>
      <c r="AA205" s="59" t="n">
        <v>42793</v>
      </c>
      <c r="AB205" s="59" t="n">
        <v>46498</v>
      </c>
    </row>
    <row r="206">
      <c r="D206" s="36" t="inlineStr">
        <is>
          <t>Station J Town</t>
        </is>
      </c>
      <c r="E206" s="54" t="inlineStr">
        <is>
          <t>G07</t>
        </is>
      </c>
      <c r="F206" s="54" t="inlineStr">
        <is>
          <t>stjt2B2</t>
        </is>
      </c>
      <c r="G206" s="54" t="inlineStr">
        <is>
          <t>2 BD / 1.5 BA</t>
        </is>
      </c>
      <c r="K206" s="36" t="inlineStr">
        <is>
          <t>Ashley Simpson</t>
        </is>
      </c>
      <c r="L206" s="55" t="n">
        <v>950</v>
      </c>
      <c r="M206" s="56" t="n">
        <v>2</v>
      </c>
      <c r="N206" s="56" t="n">
        <v>1.5</v>
      </c>
      <c r="Q206" s="57" t="inlineStr">
        <is>
          <t>Occ</t>
        </is>
      </c>
      <c r="U206" s="58" t="n">
        <v>1075</v>
      </c>
      <c r="V206" s="58" t="n">
        <v>1030</v>
      </c>
      <c r="W206" s="58" t="n">
        <v>0</v>
      </c>
      <c r="X206" s="58" t="n">
        <v>0</v>
      </c>
      <c r="Y206" s="58" t="n">
        <v>0</v>
      </c>
      <c r="Z206" s="59" t="n">
        <v>45848</v>
      </c>
      <c r="AA206" s="59" t="n">
        <v>45848</v>
      </c>
      <c r="AB206" s="59" t="n">
        <v>46212</v>
      </c>
    </row>
    <row r="207">
      <c r="D207" s="36" t="inlineStr">
        <is>
          <t>Station J Town</t>
        </is>
      </c>
      <c r="E207" s="54" t="inlineStr">
        <is>
          <t>G08</t>
        </is>
      </c>
      <c r="F207" s="54" t="inlineStr">
        <is>
          <t>stjt2B2</t>
        </is>
      </c>
      <c r="G207" s="54" t="inlineStr">
        <is>
          <t>2 BD / 1.5 BA</t>
        </is>
      </c>
      <c r="K207" s="36" t="inlineStr">
        <is>
          <t>VACANT</t>
        </is>
      </c>
      <c r="L207" s="55" t="n">
        <v>950</v>
      </c>
      <c r="M207" s="56" t="n">
        <v>2</v>
      </c>
      <c r="N207" s="56" t="n">
        <v>1.5</v>
      </c>
      <c r="Q207" s="57" t="inlineStr">
        <is>
          <t>Vac</t>
        </is>
      </c>
      <c r="U207" s="58" t="n">
        <v>1075</v>
      </c>
      <c r="V207" s="58" t="n">
        <v>0</v>
      </c>
      <c r="W207" s="58" t="n">
        <v>0</v>
      </c>
      <c r="X207" s="58" t="n">
        <v>0</v>
      </c>
      <c r="Y207" s="58" t="n">
        <v>0</v>
      </c>
    </row>
    <row r="208">
      <c r="D208" s="36" t="inlineStr">
        <is>
          <t>Station J Town</t>
        </is>
      </c>
      <c r="E208" s="54" t="inlineStr">
        <is>
          <t>G09</t>
        </is>
      </c>
      <c r="F208" s="54" t="inlineStr">
        <is>
          <t>stjt2B1</t>
        </is>
      </c>
      <c r="G208" s="54" t="inlineStr">
        <is>
          <t>2 BD / 1 BA</t>
        </is>
      </c>
      <c r="K208" s="36" t="inlineStr">
        <is>
          <t>Dalia Naftaliyeva</t>
        </is>
      </c>
      <c r="L208" s="55" t="n">
        <v>950</v>
      </c>
      <c r="M208" s="56" t="n">
        <v>2</v>
      </c>
      <c r="N208" s="56" t="n">
        <v>1</v>
      </c>
      <c r="Q208" s="57" t="inlineStr">
        <is>
          <t>Occ</t>
        </is>
      </c>
      <c r="U208" s="58" t="n">
        <v>1035</v>
      </c>
      <c r="V208" s="58" t="n">
        <v>965</v>
      </c>
      <c r="W208" s="58" t="n">
        <v>0</v>
      </c>
      <c r="X208" s="58" t="n">
        <v>0</v>
      </c>
      <c r="Y208" s="58" t="n">
        <v>0</v>
      </c>
      <c r="Z208" s="59" t="n">
        <v>40928</v>
      </c>
      <c r="AA208" s="59" t="n">
        <v>40928</v>
      </c>
      <c r="AB208" s="59" t="n">
        <v>46173</v>
      </c>
    </row>
    <row r="209">
      <c r="D209" s="36" t="inlineStr">
        <is>
          <t>Station J Town</t>
        </is>
      </c>
      <c r="E209" s="54" t="inlineStr">
        <is>
          <t>G10</t>
        </is>
      </c>
      <c r="F209" s="54" t="inlineStr">
        <is>
          <t>stjt2B1</t>
        </is>
      </c>
      <c r="G209" s="54" t="inlineStr">
        <is>
          <t>2 BD / 1 BA</t>
        </is>
      </c>
      <c r="K209" s="36" t="inlineStr">
        <is>
          <t>Luis Rodriguez</t>
        </is>
      </c>
      <c r="L209" s="55" t="n">
        <v>950</v>
      </c>
      <c r="M209" s="56" t="n">
        <v>2</v>
      </c>
      <c r="N209" s="56" t="n">
        <v>1</v>
      </c>
      <c r="Q209" s="57" t="inlineStr">
        <is>
          <t>Occ</t>
        </is>
      </c>
      <c r="U209" s="58" t="n">
        <v>1035</v>
      </c>
      <c r="V209" s="58" t="n">
        <v>1054</v>
      </c>
      <c r="W209" s="58" t="n">
        <v>0</v>
      </c>
      <c r="X209" s="58" t="n">
        <v>0</v>
      </c>
      <c r="Y209" s="58" t="n">
        <v>0</v>
      </c>
      <c r="Z209" s="59" t="n">
        <v>43981</v>
      </c>
      <c r="AA209" s="59" t="n">
        <v>43981</v>
      </c>
      <c r="AB209" s="59" t="n">
        <v>46284</v>
      </c>
    </row>
    <row r="210">
      <c r="D210" s="36" t="inlineStr">
        <is>
          <t>Station J Town</t>
        </is>
      </c>
      <c r="E210" s="54" t="inlineStr">
        <is>
          <t>G11</t>
        </is>
      </c>
      <c r="F210" s="54" t="inlineStr">
        <is>
          <t>stjt2B2</t>
        </is>
      </c>
      <c r="G210" s="54" t="inlineStr">
        <is>
          <t>2 BD / 1.5 BA</t>
        </is>
      </c>
      <c r="K210" s="36" t="inlineStr">
        <is>
          <t>Marlene Fregozo</t>
        </is>
      </c>
      <c r="L210" s="55" t="n">
        <v>950</v>
      </c>
      <c r="M210" s="56" t="n">
        <v>2</v>
      </c>
      <c r="N210" s="56" t="n">
        <v>1.5</v>
      </c>
      <c r="Q210" s="57" t="inlineStr">
        <is>
          <t>Occ</t>
        </is>
      </c>
      <c r="U210" s="58" t="n">
        <v>1140</v>
      </c>
      <c r="V210" s="58" t="n">
        <v>1080</v>
      </c>
      <c r="W210" s="58" t="n">
        <v>0</v>
      </c>
      <c r="X210" s="58" t="n">
        <v>0</v>
      </c>
      <c r="Y210" s="58" t="n">
        <v>0</v>
      </c>
      <c r="Z210" s="59" t="n">
        <v>45836</v>
      </c>
      <c r="AA210" s="59" t="n">
        <v>45836</v>
      </c>
      <c r="AB210" s="59" t="n">
        <v>46200</v>
      </c>
    </row>
    <row r="211">
      <c r="D211" s="36" t="inlineStr">
        <is>
          <t>Station J Town</t>
        </is>
      </c>
      <c r="E211" s="54" t="inlineStr">
        <is>
          <t>G12</t>
        </is>
      </c>
      <c r="F211" s="54" t="inlineStr">
        <is>
          <t>stjt2B2R</t>
        </is>
      </c>
      <c r="G211" s="54" t="inlineStr">
        <is>
          <t>2 BD / 1.5 BA</t>
        </is>
      </c>
      <c r="I211" s="54" t="inlineStr">
        <is>
          <t>Yes</t>
        </is>
      </c>
      <c r="J211" s="54" t="inlineStr">
        <is>
          <t>Full</t>
        </is>
      </c>
      <c r="K211" s="36" t="inlineStr">
        <is>
          <t>Deven Chadwick</t>
        </is>
      </c>
      <c r="L211" s="55" t="n">
        <v>950</v>
      </c>
      <c r="M211" s="56" t="n">
        <v>2</v>
      </c>
      <c r="N211" s="56" t="n">
        <v>1.5</v>
      </c>
      <c r="Q211" s="57" t="inlineStr">
        <is>
          <t>Occ</t>
        </is>
      </c>
      <c r="U211" s="58" t="n">
        <v>1214</v>
      </c>
      <c r="V211" s="58" t="n">
        <v>1190</v>
      </c>
      <c r="W211" s="58" t="n">
        <v>0</v>
      </c>
      <c r="X211" s="58" t="n">
        <v>0</v>
      </c>
      <c r="Y211" s="58" t="n">
        <v>0</v>
      </c>
      <c r="Z211" s="59" t="n">
        <v>46094</v>
      </c>
      <c r="AA211" s="59" t="n">
        <v>46094</v>
      </c>
      <c r="AB211" s="59" t="n">
        <v>46825</v>
      </c>
    </row>
    <row r="212">
      <c r="D212" s="36" t="inlineStr">
        <is>
          <t>Station J Town</t>
        </is>
      </c>
      <c r="E212" s="54" t="inlineStr">
        <is>
          <t>G13</t>
        </is>
      </c>
      <c r="F212" s="54" t="inlineStr">
        <is>
          <t>stjt2B1</t>
        </is>
      </c>
      <c r="G212" s="54" t="inlineStr">
        <is>
          <t>2 BD / 1 BA</t>
        </is>
      </c>
      <c r="K212" s="36" t="inlineStr">
        <is>
          <t>Nicholas Stone</t>
        </is>
      </c>
      <c r="L212" s="55" t="n">
        <v>950</v>
      </c>
      <c r="M212" s="56" t="n">
        <v>2</v>
      </c>
      <c r="N212" s="56" t="n">
        <v>1</v>
      </c>
      <c r="Q212" s="57" t="inlineStr">
        <is>
          <t>Occ</t>
        </is>
      </c>
      <c r="U212" s="58" t="n">
        <v>1020</v>
      </c>
      <c r="V212" s="58" t="n">
        <v>999</v>
      </c>
      <c r="W212" s="58" t="n">
        <v>0</v>
      </c>
      <c r="X212" s="58" t="n">
        <v>0</v>
      </c>
      <c r="Y212" s="58" t="n">
        <v>0</v>
      </c>
      <c r="Z212" s="59" t="n">
        <v>45836</v>
      </c>
      <c r="AA212" s="59" t="n">
        <v>45836</v>
      </c>
      <c r="AB212" s="59" t="n">
        <v>46200</v>
      </c>
    </row>
    <row r="213">
      <c r="D213" s="36" t="inlineStr">
        <is>
          <t>Station J Town</t>
        </is>
      </c>
      <c r="E213" s="54" t="inlineStr">
        <is>
          <t>G14</t>
        </is>
      </c>
      <c r="F213" s="54" t="inlineStr">
        <is>
          <t>stjt2B1</t>
        </is>
      </c>
      <c r="G213" s="54" t="inlineStr">
        <is>
          <t>2 BD / 1 BA</t>
        </is>
      </c>
      <c r="K213" s="36" t="inlineStr">
        <is>
          <t>Alexander Fernandez Roman</t>
        </is>
      </c>
      <c r="L213" s="55" t="n">
        <v>950</v>
      </c>
      <c r="M213" s="56" t="n">
        <v>2</v>
      </c>
      <c r="N213" s="56" t="n">
        <v>1</v>
      </c>
      <c r="Q213" s="57" t="inlineStr">
        <is>
          <t>Occ</t>
        </is>
      </c>
      <c r="U213" s="58" t="n">
        <v>1020</v>
      </c>
      <c r="V213" s="58" t="n">
        <v>999</v>
      </c>
      <c r="W213" s="58" t="n">
        <v>0</v>
      </c>
      <c r="X213" s="58" t="n">
        <v>0</v>
      </c>
      <c r="Y213" s="58" t="n">
        <v>0</v>
      </c>
      <c r="Z213" s="59" t="n">
        <v>45528</v>
      </c>
      <c r="AA213" s="59" t="n">
        <v>45528</v>
      </c>
      <c r="AB213" s="59" t="n">
        <v>46256</v>
      </c>
    </row>
    <row r="214">
      <c r="D214" s="36" t="inlineStr">
        <is>
          <t>Station J Town</t>
        </is>
      </c>
      <c r="E214" s="54" t="inlineStr">
        <is>
          <t>G15</t>
        </is>
      </c>
      <c r="F214" s="54" t="inlineStr">
        <is>
          <t>stjt2B2R</t>
        </is>
      </c>
      <c r="G214" s="54" t="inlineStr">
        <is>
          <t>2 BD / 1.5 BA</t>
        </is>
      </c>
      <c r="I214" s="54" t="inlineStr">
        <is>
          <t>Yes</t>
        </is>
      </c>
      <c r="J214" s="54" t="inlineStr">
        <is>
          <t>Full</t>
        </is>
      </c>
      <c r="K214" s="36" t="inlineStr">
        <is>
          <t>John Geisler Jr</t>
        </is>
      </c>
      <c r="L214" s="55" t="n">
        <v>950</v>
      </c>
      <c r="M214" s="56" t="n">
        <v>2</v>
      </c>
      <c r="N214" s="56" t="n">
        <v>1.5</v>
      </c>
      <c r="Q214" s="57" t="inlineStr">
        <is>
          <t>Occ</t>
        </is>
      </c>
      <c r="U214" s="58" t="n">
        <v>1199</v>
      </c>
      <c r="V214" s="58" t="n">
        <v>975</v>
      </c>
      <c r="W214" s="58" t="n">
        <v>0</v>
      </c>
      <c r="X214" s="58" t="n">
        <v>0</v>
      </c>
      <c r="Y214" s="58" t="n">
        <v>0</v>
      </c>
      <c r="Z214" s="59" t="n">
        <v>45612</v>
      </c>
      <c r="AA214" s="59" t="n">
        <v>45612</v>
      </c>
      <c r="AB214" s="59" t="n">
        <v>46157</v>
      </c>
    </row>
    <row r="215">
      <c r="D215" s="36" t="inlineStr">
        <is>
          <t>Station J Town</t>
        </is>
      </c>
      <c r="E215" s="54" t="inlineStr">
        <is>
          <t>G16</t>
        </is>
      </c>
      <c r="F215" s="54" t="inlineStr">
        <is>
          <t>stjt2B2</t>
        </is>
      </c>
      <c r="G215" s="54" t="inlineStr">
        <is>
          <t>2 BD / 1.5 BA</t>
        </is>
      </c>
      <c r="K215" s="36" t="inlineStr">
        <is>
          <t>Raikayla Ewing</t>
        </is>
      </c>
      <c r="L215" s="55" t="n">
        <v>950</v>
      </c>
      <c r="M215" s="56" t="n">
        <v>2</v>
      </c>
      <c r="N215" s="56" t="n">
        <v>1.5</v>
      </c>
      <c r="Q215" s="57" t="inlineStr">
        <is>
          <t>Occ</t>
        </is>
      </c>
      <c r="U215" s="58" t="n">
        <v>1060</v>
      </c>
      <c r="V215" s="58" t="n">
        <v>1035</v>
      </c>
      <c r="W215" s="58" t="n">
        <v>0</v>
      </c>
      <c r="X215" s="58" t="n">
        <v>0</v>
      </c>
      <c r="Y215" s="58" t="n">
        <v>0</v>
      </c>
      <c r="Z215" s="59" t="n">
        <v>45457</v>
      </c>
      <c r="AA215" s="59" t="n">
        <v>45457</v>
      </c>
      <c r="AB215" s="59" t="n">
        <v>46186</v>
      </c>
    </row>
    <row r="216">
      <c r="D216" s="36" t="inlineStr">
        <is>
          <t>Station J Town</t>
        </is>
      </c>
      <c r="E216" s="54" t="inlineStr">
        <is>
          <t>G17</t>
        </is>
      </c>
      <c r="F216" s="54" t="inlineStr">
        <is>
          <t>stjt2B1</t>
        </is>
      </c>
      <c r="G216" s="54" t="inlineStr">
        <is>
          <t>2 BD / 1 BA</t>
        </is>
      </c>
      <c r="K216" s="36" t="inlineStr">
        <is>
          <t>Oliver Mendoza</t>
        </is>
      </c>
      <c r="L216" s="55" t="n">
        <v>950</v>
      </c>
      <c r="M216" s="56" t="n">
        <v>2</v>
      </c>
      <c r="N216" s="56" t="n">
        <v>1</v>
      </c>
      <c r="Q216" s="57" t="inlineStr">
        <is>
          <t>Occ</t>
        </is>
      </c>
      <c r="U216" s="58" t="n">
        <v>1035</v>
      </c>
      <c r="V216" s="58" t="n">
        <v>1035</v>
      </c>
      <c r="W216" s="58" t="n">
        <v>0</v>
      </c>
      <c r="X216" s="58" t="n">
        <v>0</v>
      </c>
      <c r="Y216" s="58" t="n">
        <v>0</v>
      </c>
      <c r="Z216" s="59" t="n">
        <v>46112</v>
      </c>
      <c r="AA216" s="59" t="n">
        <v>46112</v>
      </c>
      <c r="AB216" s="59" t="n">
        <v>46476</v>
      </c>
    </row>
    <row r="217">
      <c r="D217" s="36" t="inlineStr">
        <is>
          <t>Station J Town</t>
        </is>
      </c>
      <c r="E217" s="54" t="inlineStr">
        <is>
          <t>G18</t>
        </is>
      </c>
      <c r="F217" s="54" t="inlineStr">
        <is>
          <t>stjt2B1</t>
        </is>
      </c>
      <c r="G217" s="54" t="inlineStr">
        <is>
          <t>2 BD / 1 BA</t>
        </is>
      </c>
      <c r="K217" s="36" t="inlineStr">
        <is>
          <t>Ron Furjes</t>
        </is>
      </c>
      <c r="L217" s="55" t="n">
        <v>950</v>
      </c>
      <c r="M217" s="56" t="n">
        <v>2</v>
      </c>
      <c r="N217" s="56" t="n">
        <v>1</v>
      </c>
      <c r="Q217" s="57" t="inlineStr">
        <is>
          <t>Occ</t>
        </is>
      </c>
      <c r="U217" s="58" t="n">
        <v>1055</v>
      </c>
      <c r="V217" s="58" t="n">
        <v>1034</v>
      </c>
      <c r="W217" s="58" t="n">
        <v>0</v>
      </c>
      <c r="X217" s="58" t="n">
        <v>0</v>
      </c>
      <c r="Y217" s="58" t="n">
        <v>0</v>
      </c>
      <c r="Z217" s="59" t="n">
        <v>45514</v>
      </c>
      <c r="AA217" s="59" t="n">
        <v>45514</v>
      </c>
      <c r="AB217" s="59" t="n">
        <v>46243</v>
      </c>
    </row>
    <row r="218">
      <c r="D218" s="36" t="inlineStr">
        <is>
          <t>Station J Town</t>
        </is>
      </c>
      <c r="E218" s="54" t="inlineStr">
        <is>
          <t>G19</t>
        </is>
      </c>
      <c r="F218" s="54" t="inlineStr">
        <is>
          <t>stjt2B2</t>
        </is>
      </c>
      <c r="G218" s="54" t="inlineStr">
        <is>
          <t>2 BD / 1.5 BA</t>
        </is>
      </c>
      <c r="K218" s="36" t="inlineStr">
        <is>
          <t>Earl Thorpe</t>
        </is>
      </c>
      <c r="L218" s="55" t="n">
        <v>950</v>
      </c>
      <c r="M218" s="56" t="n">
        <v>2</v>
      </c>
      <c r="N218" s="56" t="n">
        <v>1.5</v>
      </c>
      <c r="Q218" s="57" t="inlineStr">
        <is>
          <t>Occ</t>
        </is>
      </c>
      <c r="U218" s="58" t="n">
        <v>1075</v>
      </c>
      <c r="V218" s="58" t="n">
        <v>1045</v>
      </c>
      <c r="W218" s="58" t="n">
        <v>0</v>
      </c>
      <c r="X218" s="58" t="n">
        <v>0</v>
      </c>
      <c r="Y218" s="58" t="n">
        <v>0</v>
      </c>
      <c r="Z218" s="59" t="n">
        <v>45877</v>
      </c>
      <c r="AA218" s="59" t="n">
        <v>45877</v>
      </c>
      <c r="AB218" s="59" t="n">
        <v>46272</v>
      </c>
    </row>
    <row r="219">
      <c r="D219" s="36" t="inlineStr">
        <is>
          <t>Station J Town</t>
        </is>
      </c>
      <c r="E219" s="54" t="inlineStr">
        <is>
          <t>G20</t>
        </is>
      </c>
      <c r="F219" s="54" t="inlineStr">
        <is>
          <t>stjt2B2</t>
        </is>
      </c>
      <c r="G219" s="54" t="inlineStr">
        <is>
          <t>2 BD / 1.5 BA</t>
        </is>
      </c>
      <c r="K219" s="36" t="inlineStr">
        <is>
          <t>Brandon Josey</t>
        </is>
      </c>
      <c r="L219" s="55" t="n">
        <v>950</v>
      </c>
      <c r="M219" s="56" t="n">
        <v>2</v>
      </c>
      <c r="N219" s="56" t="n">
        <v>1.5</v>
      </c>
      <c r="Q219" s="57" t="inlineStr">
        <is>
          <t>Occ</t>
        </is>
      </c>
      <c r="U219" s="58" t="n">
        <v>1075</v>
      </c>
      <c r="V219" s="58" t="n">
        <v>1045</v>
      </c>
      <c r="W219" s="58" t="n">
        <v>0</v>
      </c>
      <c r="X219" s="58" t="n">
        <v>0</v>
      </c>
      <c r="Y219" s="58" t="n">
        <v>0</v>
      </c>
      <c r="Z219" s="59" t="n">
        <v>44179</v>
      </c>
      <c r="AA219" s="59" t="n">
        <v>44179</v>
      </c>
      <c r="AB219" s="59" t="n">
        <v>44681</v>
      </c>
    </row>
    <row r="220">
      <c r="D220" s="36" t="inlineStr">
        <is>
          <t>Station J Town</t>
        </is>
      </c>
      <c r="E220" s="54" t="inlineStr">
        <is>
          <t>G21</t>
        </is>
      </c>
      <c r="F220" s="54" t="inlineStr">
        <is>
          <t>stjt2B1R</t>
        </is>
      </c>
      <c r="G220" s="54" t="inlineStr">
        <is>
          <t>2 BD / 1 BA</t>
        </is>
      </c>
      <c r="I220" s="54" t="inlineStr">
        <is>
          <t>Yes</t>
        </is>
      </c>
      <c r="J220" s="54" t="inlineStr">
        <is>
          <t>Full</t>
        </is>
      </c>
      <c r="K220" s="36" t="inlineStr">
        <is>
          <t>Kelvonte Grant</t>
        </is>
      </c>
      <c r="L220" s="55" t="n">
        <v>950</v>
      </c>
      <c r="M220" s="56" t="n">
        <v>2</v>
      </c>
      <c r="N220" s="56" t="n">
        <v>1</v>
      </c>
      <c r="Q220" s="57" t="inlineStr">
        <is>
          <t>Occ</t>
        </is>
      </c>
      <c r="U220" s="58" t="n">
        <v>1135</v>
      </c>
      <c r="V220" s="58" t="n">
        <v>1085</v>
      </c>
      <c r="W220" s="58" t="n">
        <v>0</v>
      </c>
      <c r="X220" s="58" t="n">
        <v>0</v>
      </c>
      <c r="Y220" s="58" t="n">
        <v>0</v>
      </c>
      <c r="Z220" s="59" t="n">
        <v>45296</v>
      </c>
      <c r="AA220" s="59" t="n">
        <v>45296</v>
      </c>
      <c r="AB220" s="59" t="n">
        <v>46207</v>
      </c>
    </row>
    <row r="221">
      <c r="D221" s="36" t="inlineStr">
        <is>
          <t>Station J Town</t>
        </is>
      </c>
      <c r="E221" s="54" t="inlineStr">
        <is>
          <t>G22</t>
        </is>
      </c>
      <c r="F221" s="54" t="inlineStr">
        <is>
          <t>stjt2B1</t>
        </is>
      </c>
      <c r="G221" s="54" t="inlineStr">
        <is>
          <t>2 BD / 1 BA</t>
        </is>
      </c>
      <c r="K221" s="36" t="inlineStr">
        <is>
          <t>Bahaa Jibrini</t>
        </is>
      </c>
      <c r="L221" s="55" t="n">
        <v>950</v>
      </c>
      <c r="M221" s="56" t="n">
        <v>2</v>
      </c>
      <c r="N221" s="56" t="n">
        <v>1</v>
      </c>
      <c r="Q221" s="57" t="inlineStr">
        <is>
          <t>Occ</t>
        </is>
      </c>
      <c r="U221" s="58" t="n">
        <v>1035</v>
      </c>
      <c r="V221" s="58" t="n">
        <v>1025</v>
      </c>
      <c r="W221" s="58" t="n">
        <v>0</v>
      </c>
      <c r="X221" s="58" t="n">
        <v>0</v>
      </c>
      <c r="Y221" s="58" t="n">
        <v>0</v>
      </c>
      <c r="Z221" s="59" t="n">
        <v>45857</v>
      </c>
      <c r="AA221" s="59" t="n">
        <v>45857</v>
      </c>
      <c r="AB221" s="59" t="n">
        <v>46252</v>
      </c>
    </row>
    <row r="222">
      <c r="D222" s="36" t="inlineStr">
        <is>
          <t>Station J Town</t>
        </is>
      </c>
      <c r="E222" s="54" t="inlineStr">
        <is>
          <t>G23</t>
        </is>
      </c>
      <c r="F222" s="54" t="inlineStr">
        <is>
          <t>stjt2B2R</t>
        </is>
      </c>
      <c r="G222" s="54" t="inlineStr">
        <is>
          <t>2 BD / 1.5 BA</t>
        </is>
      </c>
      <c r="I222" s="54" t="inlineStr">
        <is>
          <t>Yes</t>
        </is>
      </c>
      <c r="J222" s="54" t="inlineStr">
        <is>
          <t>Full</t>
        </is>
      </c>
      <c r="K222" s="36" t="inlineStr">
        <is>
          <t>Antwon Delaney</t>
        </is>
      </c>
      <c r="L222" s="55" t="n">
        <v>950</v>
      </c>
      <c r="M222" s="56" t="n">
        <v>2</v>
      </c>
      <c r="N222" s="56" t="n">
        <v>1.5</v>
      </c>
      <c r="Q222" s="57" t="inlineStr">
        <is>
          <t>Occ</t>
        </is>
      </c>
      <c r="U222" s="58" t="n">
        <v>1214</v>
      </c>
      <c r="V222" s="58" t="n">
        <v>965</v>
      </c>
      <c r="W222" s="58" t="n">
        <v>0</v>
      </c>
      <c r="X222" s="58" t="n">
        <v>0</v>
      </c>
      <c r="Y222" s="58" t="n">
        <v>0</v>
      </c>
      <c r="Z222" s="59" t="n">
        <v>45632</v>
      </c>
      <c r="AA222" s="59" t="n">
        <v>45632</v>
      </c>
      <c r="AB222" s="59" t="n">
        <v>46178</v>
      </c>
    </row>
    <row r="223">
      <c r="D223" s="36" t="inlineStr">
        <is>
          <t>Station J Town</t>
        </is>
      </c>
      <c r="E223" s="54" t="inlineStr">
        <is>
          <t>G24</t>
        </is>
      </c>
      <c r="F223" s="54" t="inlineStr">
        <is>
          <t>stjt2B2R</t>
        </is>
      </c>
      <c r="G223" s="54" t="inlineStr">
        <is>
          <t>2 BD / 1.5 BA</t>
        </is>
      </c>
      <c r="I223" s="54" t="inlineStr">
        <is>
          <t>Yes</t>
        </is>
      </c>
      <c r="J223" s="54" t="inlineStr">
        <is>
          <t>Full</t>
        </is>
      </c>
      <c r="K223" s="36" t="inlineStr">
        <is>
          <t>Teofilo Gaspar</t>
        </is>
      </c>
      <c r="L223" s="55" t="n">
        <v>950</v>
      </c>
      <c r="M223" s="56" t="n">
        <v>2</v>
      </c>
      <c r="N223" s="56" t="n">
        <v>1.5</v>
      </c>
      <c r="Q223" s="57" t="inlineStr">
        <is>
          <t>Occ</t>
        </is>
      </c>
      <c r="U223" s="58" t="n">
        <v>1214</v>
      </c>
      <c r="V223" s="58" t="n">
        <v>1125</v>
      </c>
      <c r="W223" s="58" t="n">
        <v>0</v>
      </c>
      <c r="X223" s="58" t="n">
        <v>0</v>
      </c>
      <c r="Y223" s="58" t="n">
        <v>0</v>
      </c>
      <c r="Z223" s="59" t="n">
        <v>44911</v>
      </c>
      <c r="AA223" s="59" t="n">
        <v>44911</v>
      </c>
      <c r="AB223" s="59" t="n">
        <v>46188</v>
      </c>
    </row>
    <row r="224">
      <c r="D224" s="36" t="inlineStr">
        <is>
          <t>Station J Town</t>
        </is>
      </c>
      <c r="E224" s="54" t="inlineStr">
        <is>
          <t>G25</t>
        </is>
      </c>
      <c r="F224" s="54" t="inlineStr">
        <is>
          <t>stjt2B1R</t>
        </is>
      </c>
      <c r="G224" s="54" t="inlineStr">
        <is>
          <t>2 BD / 1 BA</t>
        </is>
      </c>
      <c r="I224" s="54" t="inlineStr">
        <is>
          <t>Yes</t>
        </is>
      </c>
      <c r="J224" s="54" t="inlineStr">
        <is>
          <t>Full</t>
        </is>
      </c>
      <c r="K224" s="36" t="inlineStr">
        <is>
          <t>Aly Palacio</t>
        </is>
      </c>
      <c r="L224" s="55" t="n">
        <v>950</v>
      </c>
      <c r="M224" s="56" t="n">
        <v>2</v>
      </c>
      <c r="N224" s="56" t="n">
        <v>1</v>
      </c>
      <c r="Q224" s="57" t="inlineStr">
        <is>
          <t>Occ</t>
        </is>
      </c>
      <c r="U224" s="58" t="n">
        <v>1120</v>
      </c>
      <c r="V224" s="58" t="n">
        <v>1070</v>
      </c>
      <c r="W224" s="58" t="n">
        <v>0</v>
      </c>
      <c r="X224" s="58" t="n">
        <v>0</v>
      </c>
      <c r="Y224" s="58" t="n">
        <v>0</v>
      </c>
      <c r="Z224" s="59" t="n">
        <v>44929</v>
      </c>
      <c r="AA224" s="59" t="n">
        <v>44929</v>
      </c>
      <c r="AB224" s="59" t="n">
        <v>46479</v>
      </c>
    </row>
    <row r="225">
      <c r="D225" s="36" t="inlineStr">
        <is>
          <t>Station J Town</t>
        </is>
      </c>
      <c r="E225" s="54" t="inlineStr">
        <is>
          <t>G26</t>
        </is>
      </c>
      <c r="F225" s="54" t="inlineStr">
        <is>
          <t>stjt2B1</t>
        </is>
      </c>
      <c r="G225" s="54" t="inlineStr">
        <is>
          <t>2 BD / 1 BA</t>
        </is>
      </c>
      <c r="K225" s="36" t="inlineStr">
        <is>
          <t>Mason Schenck</t>
        </is>
      </c>
      <c r="L225" s="55" t="n">
        <v>950</v>
      </c>
      <c r="M225" s="56" t="n">
        <v>2</v>
      </c>
      <c r="N225" s="56" t="n">
        <v>1</v>
      </c>
      <c r="Q225" s="57" t="inlineStr">
        <is>
          <t>Occ</t>
        </is>
      </c>
      <c r="U225" s="58" t="n">
        <v>1020</v>
      </c>
      <c r="V225" s="58" t="n">
        <v>999</v>
      </c>
      <c r="W225" s="58" t="n">
        <v>0</v>
      </c>
      <c r="X225" s="58" t="n">
        <v>0</v>
      </c>
      <c r="Y225" s="58" t="n">
        <v>0</v>
      </c>
      <c r="Z225" s="59" t="n">
        <v>43826</v>
      </c>
      <c r="AA225" s="59" t="n">
        <v>43826</v>
      </c>
      <c r="AB225" s="59" t="n">
        <v>46199</v>
      </c>
    </row>
    <row r="226">
      <c r="D226" s="36" t="inlineStr">
        <is>
          <t>Station J Town</t>
        </is>
      </c>
      <c r="E226" s="54" t="inlineStr">
        <is>
          <t>G27</t>
        </is>
      </c>
      <c r="F226" s="54" t="inlineStr">
        <is>
          <t>stjt2B2R</t>
        </is>
      </c>
      <c r="G226" s="54" t="inlineStr">
        <is>
          <t>2 BD / 1.5 BA</t>
        </is>
      </c>
      <c r="I226" s="54" t="inlineStr">
        <is>
          <t>Yes</t>
        </is>
      </c>
      <c r="J226" s="54" t="inlineStr">
        <is>
          <t>Full</t>
        </is>
      </c>
      <c r="K226" s="36" t="inlineStr">
        <is>
          <t>VACANT</t>
        </is>
      </c>
      <c r="L226" s="55" t="n">
        <v>950</v>
      </c>
      <c r="M226" s="56" t="n">
        <v>2</v>
      </c>
      <c r="N226" s="56" t="n">
        <v>1.5</v>
      </c>
      <c r="Q226" s="57" t="inlineStr">
        <is>
          <t>Vac</t>
        </is>
      </c>
      <c r="U226" s="58" t="n">
        <v>1190</v>
      </c>
      <c r="V226" s="58" t="n">
        <v>0</v>
      </c>
      <c r="W226" s="58" t="n">
        <v>0</v>
      </c>
      <c r="X226" s="58" t="n">
        <v>0</v>
      </c>
      <c r="Y226" s="58" t="n">
        <v>0</v>
      </c>
    </row>
    <row r="227">
      <c r="D227" s="36" t="inlineStr">
        <is>
          <t>Station J Town</t>
        </is>
      </c>
      <c r="E227" s="54" t="inlineStr">
        <is>
          <t>G28</t>
        </is>
      </c>
      <c r="F227" s="54" t="inlineStr">
        <is>
          <t>stjt2B2R</t>
        </is>
      </c>
      <c r="G227" s="54" t="inlineStr">
        <is>
          <t>2 BD / 1.5 BA</t>
        </is>
      </c>
      <c r="I227" s="54" t="inlineStr">
        <is>
          <t>Yes</t>
        </is>
      </c>
      <c r="J227" s="54" t="inlineStr">
        <is>
          <t>Full</t>
        </is>
      </c>
      <c r="K227" s="36" t="inlineStr">
        <is>
          <t>Victoria Chamberlain</t>
        </is>
      </c>
      <c r="L227" s="55" t="n">
        <v>950</v>
      </c>
      <c r="M227" s="56" t="n">
        <v>2</v>
      </c>
      <c r="N227" s="56" t="n">
        <v>1.5</v>
      </c>
      <c r="Q227" s="57" t="inlineStr">
        <is>
          <t>Occ</t>
        </is>
      </c>
      <c r="U227" s="58" t="n">
        <v>1199</v>
      </c>
      <c r="V227" s="58" t="n">
        <v>1015</v>
      </c>
      <c r="W227" s="58" t="n">
        <v>0</v>
      </c>
      <c r="X227" s="58" t="n">
        <v>0</v>
      </c>
      <c r="Y227" s="58" t="n">
        <v>0</v>
      </c>
      <c r="Z227" s="59" t="n">
        <v>45773</v>
      </c>
      <c r="AA227" s="59" t="n">
        <v>45773</v>
      </c>
      <c r="AB227" s="59" t="n">
        <v>46502</v>
      </c>
    </row>
    <row r="228">
      <c r="D228" s="36" t="inlineStr">
        <is>
          <t>Station J Town</t>
        </is>
      </c>
      <c r="E228" s="54" t="inlineStr">
        <is>
          <t>G29</t>
        </is>
      </c>
      <c r="F228" s="54" t="inlineStr">
        <is>
          <t>stjt2B1R</t>
        </is>
      </c>
      <c r="G228" s="54" t="inlineStr">
        <is>
          <t>2 BD / 1 BA</t>
        </is>
      </c>
      <c r="I228" s="54" t="inlineStr">
        <is>
          <t>Yes</t>
        </is>
      </c>
      <c r="J228" s="54" t="inlineStr">
        <is>
          <t>Full</t>
        </is>
      </c>
      <c r="K228" s="36" t="inlineStr">
        <is>
          <t>Brianna Johnson</t>
        </is>
      </c>
      <c r="L228" s="55" t="n">
        <v>950</v>
      </c>
      <c r="M228" s="56" t="n">
        <v>2</v>
      </c>
      <c r="N228" s="56" t="n">
        <v>1</v>
      </c>
      <c r="Q228" s="57" t="inlineStr">
        <is>
          <t>Occ</t>
        </is>
      </c>
      <c r="U228" s="58" t="n">
        <v>1135</v>
      </c>
      <c r="V228" s="58" t="n">
        <v>1060</v>
      </c>
      <c r="W228" s="58" t="n">
        <v>0</v>
      </c>
      <c r="X228" s="58" t="n">
        <v>0</v>
      </c>
      <c r="Y228" s="58" t="n">
        <v>0</v>
      </c>
      <c r="Z228" s="59" t="n">
        <v>45793</v>
      </c>
      <c r="AA228" s="59" t="n">
        <v>45793</v>
      </c>
      <c r="AB228" s="59" t="n">
        <v>46157</v>
      </c>
    </row>
    <row r="229">
      <c r="D229" s="36" t="inlineStr">
        <is>
          <t>Station J Town</t>
        </is>
      </c>
      <c r="E229" s="54" t="inlineStr">
        <is>
          <t>G30</t>
        </is>
      </c>
      <c r="F229" s="54" t="inlineStr">
        <is>
          <t>stjt2B1</t>
        </is>
      </c>
      <c r="G229" s="54" t="inlineStr">
        <is>
          <t>2 BD / 1 BA</t>
        </is>
      </c>
      <c r="K229" s="36" t="inlineStr">
        <is>
          <t>Phillip Mcelroy</t>
        </is>
      </c>
      <c r="L229" s="55" t="n">
        <v>950</v>
      </c>
      <c r="M229" s="56" t="n">
        <v>2</v>
      </c>
      <c r="N229" s="56" t="n">
        <v>1</v>
      </c>
      <c r="Q229" s="57" t="inlineStr">
        <is>
          <t>Occ</t>
        </is>
      </c>
      <c r="U229" s="58" t="n">
        <v>1035</v>
      </c>
      <c r="V229" s="58" t="n">
        <v>1025</v>
      </c>
      <c r="W229" s="58" t="n">
        <v>0</v>
      </c>
      <c r="X229" s="58" t="n">
        <v>0</v>
      </c>
      <c r="Y229" s="58" t="n">
        <v>0</v>
      </c>
      <c r="Z229" s="59" t="n">
        <v>46088</v>
      </c>
      <c r="AA229" s="59" t="n">
        <v>46088</v>
      </c>
      <c r="AB229" s="59" t="n">
        <v>46452</v>
      </c>
    </row>
    <row r="230">
      <c r="D230" s="36" t="inlineStr">
        <is>
          <t>Station J Town</t>
        </is>
      </c>
      <c r="E230" s="54" t="inlineStr">
        <is>
          <t>G31</t>
        </is>
      </c>
      <c r="F230" s="54" t="inlineStr">
        <is>
          <t>stjt2B2</t>
        </is>
      </c>
      <c r="G230" s="54" t="inlineStr">
        <is>
          <t>2 BD / 1.5 BA</t>
        </is>
      </c>
      <c r="K230" s="36" t="inlineStr">
        <is>
          <t>Pedro Melesio-Macias</t>
        </is>
      </c>
      <c r="L230" s="55" t="n">
        <v>950</v>
      </c>
      <c r="M230" s="56" t="n">
        <v>2</v>
      </c>
      <c r="N230" s="56" t="n">
        <v>1.5</v>
      </c>
      <c r="Q230" s="57" t="inlineStr">
        <is>
          <t>Occ</t>
        </is>
      </c>
      <c r="U230" s="58" t="n">
        <v>1075</v>
      </c>
      <c r="V230" s="58" t="n">
        <v>1017</v>
      </c>
      <c r="W230" s="58" t="n">
        <v>0</v>
      </c>
      <c r="X230" s="58" t="n">
        <v>0</v>
      </c>
      <c r="Y230" s="58" t="n">
        <v>0</v>
      </c>
      <c r="Z230" s="59" t="n">
        <v>44436</v>
      </c>
      <c r="AA230" s="59" t="n">
        <v>44436</v>
      </c>
      <c r="AB230" s="59" t="n">
        <v>46292</v>
      </c>
    </row>
    <row r="231">
      <c r="D231" s="36" t="inlineStr">
        <is>
          <t>Station J Town</t>
        </is>
      </c>
      <c r="E231" s="54" t="inlineStr">
        <is>
          <t>G32</t>
        </is>
      </c>
      <c r="F231" s="54" t="inlineStr">
        <is>
          <t>stjt2B2R</t>
        </is>
      </c>
      <c r="G231" s="54" t="inlineStr">
        <is>
          <t>2 BD / 1.5 BA</t>
        </is>
      </c>
      <c r="I231" s="54" t="inlineStr">
        <is>
          <t>Yes</t>
        </is>
      </c>
      <c r="J231" s="54" t="inlineStr">
        <is>
          <t>Full</t>
        </is>
      </c>
      <c r="K231" s="36" t="inlineStr">
        <is>
          <t>Demarcus Sowell</t>
        </is>
      </c>
      <c r="L231" s="55" t="n">
        <v>950</v>
      </c>
      <c r="M231" s="56" t="n">
        <v>2</v>
      </c>
      <c r="N231" s="56" t="n">
        <v>1.5</v>
      </c>
      <c r="Q231" s="57" t="inlineStr">
        <is>
          <t>Occ</t>
        </is>
      </c>
      <c r="U231" s="58" t="n">
        <v>1214</v>
      </c>
      <c r="V231" s="58" t="n">
        <v>1190</v>
      </c>
      <c r="W231" s="58" t="n">
        <v>0</v>
      </c>
      <c r="X231" s="58" t="n">
        <v>0</v>
      </c>
      <c r="Y231" s="58" t="n">
        <v>0</v>
      </c>
      <c r="Z231" s="59" t="n">
        <v>45499</v>
      </c>
      <c r="AA231" s="59" t="n">
        <v>45499</v>
      </c>
      <c r="AB231" s="59" t="n">
        <v>46228</v>
      </c>
    </row>
    <row r="232">
      <c r="D232" s="36" t="inlineStr">
        <is>
          <t>Station J Town</t>
        </is>
      </c>
      <c r="E232" s="54" t="inlineStr">
        <is>
          <t>G33</t>
        </is>
      </c>
      <c r="F232" s="54" t="inlineStr">
        <is>
          <t>stjt2B1R</t>
        </is>
      </c>
      <c r="G232" s="54" t="inlineStr">
        <is>
          <t>2 BD / 1 BA</t>
        </is>
      </c>
      <c r="I232" s="54" t="inlineStr">
        <is>
          <t>Yes</t>
        </is>
      </c>
      <c r="J232" s="54" t="inlineStr">
        <is>
          <t>Full</t>
        </is>
      </c>
      <c r="K232" s="36" t="inlineStr">
        <is>
          <t>Maddie Douglas</t>
        </is>
      </c>
      <c r="L232" s="55" t="n">
        <v>950</v>
      </c>
      <c r="M232" s="56" t="n">
        <v>2</v>
      </c>
      <c r="N232" s="56" t="n">
        <v>1</v>
      </c>
      <c r="Q232" s="57" t="inlineStr">
        <is>
          <t>Occ</t>
        </is>
      </c>
      <c r="U232" s="58" t="n">
        <v>1135</v>
      </c>
      <c r="V232" s="58" t="n">
        <v>1060</v>
      </c>
      <c r="W232" s="58" t="n">
        <v>0</v>
      </c>
      <c r="X232" s="58" t="n">
        <v>0</v>
      </c>
      <c r="Y232" s="58" t="n">
        <v>0</v>
      </c>
      <c r="Z232" s="59" t="n">
        <v>45716</v>
      </c>
      <c r="AA232" s="59" t="n">
        <v>45716</v>
      </c>
      <c r="AB232" s="59" t="n">
        <v>46169</v>
      </c>
    </row>
    <row r="233">
      <c r="D233" s="36" t="inlineStr">
        <is>
          <t>Station J Town</t>
        </is>
      </c>
      <c r="E233" s="54" t="inlineStr">
        <is>
          <t>G34</t>
        </is>
      </c>
      <c r="F233" s="54" t="inlineStr">
        <is>
          <t>stjt2B1R</t>
        </is>
      </c>
      <c r="G233" s="54" t="inlineStr">
        <is>
          <t>2 BD / 1 BA</t>
        </is>
      </c>
      <c r="I233" s="54" t="inlineStr">
        <is>
          <t>Yes</t>
        </is>
      </c>
      <c r="J233" s="54" t="inlineStr">
        <is>
          <t>Full</t>
        </is>
      </c>
      <c r="K233" s="36" t="inlineStr">
        <is>
          <t>Yailen Cespedes</t>
        </is>
      </c>
      <c r="L233" s="55" t="n">
        <v>950</v>
      </c>
      <c r="M233" s="56" t="n">
        <v>2</v>
      </c>
      <c r="N233" s="56" t="n">
        <v>1</v>
      </c>
      <c r="Q233" s="57" t="inlineStr">
        <is>
          <t>Occ</t>
        </is>
      </c>
      <c r="U233" s="58" t="n">
        <v>1135</v>
      </c>
      <c r="V233" s="58" t="n">
        <v>1095</v>
      </c>
      <c r="W233" s="58" t="n">
        <v>0</v>
      </c>
      <c r="X233" s="58" t="n">
        <v>0</v>
      </c>
      <c r="Y233" s="58" t="n">
        <v>0</v>
      </c>
      <c r="Z233" s="59" t="n">
        <v>44909</v>
      </c>
      <c r="AA233" s="59" t="n">
        <v>44909</v>
      </c>
      <c r="AB233" s="59" t="n">
        <v>46216</v>
      </c>
    </row>
    <row r="234">
      <c r="D234" s="36" t="inlineStr">
        <is>
          <t>Station J Town</t>
        </is>
      </c>
      <c r="E234" s="54" t="inlineStr">
        <is>
          <t>G35</t>
        </is>
      </c>
      <c r="F234" s="54" t="inlineStr">
        <is>
          <t>stjt2B2R</t>
        </is>
      </c>
      <c r="G234" s="54" t="inlineStr">
        <is>
          <t>2 BD / 1.5 BA</t>
        </is>
      </c>
      <c r="I234" s="54" t="inlineStr">
        <is>
          <t>Yes</t>
        </is>
      </c>
      <c r="J234" s="54" t="inlineStr">
        <is>
          <t>Full</t>
        </is>
      </c>
      <c r="K234" s="36" t="inlineStr">
        <is>
          <t>Lusaidi Acosta Olivares</t>
        </is>
      </c>
      <c r="L234" s="55" t="n">
        <v>950</v>
      </c>
      <c r="M234" s="56" t="n">
        <v>2</v>
      </c>
      <c r="N234" s="56" t="n">
        <v>1.5</v>
      </c>
      <c r="Q234" s="57" t="inlineStr">
        <is>
          <t>Occ</t>
        </is>
      </c>
      <c r="U234" s="58" t="n">
        <v>1214</v>
      </c>
      <c r="V234" s="58" t="n">
        <v>1225</v>
      </c>
      <c r="W234" s="58" t="n">
        <v>0</v>
      </c>
      <c r="X234" s="58" t="n">
        <v>0</v>
      </c>
      <c r="Y234" s="58" t="n">
        <v>0</v>
      </c>
      <c r="Z234" s="59" t="n">
        <v>45076</v>
      </c>
      <c r="AA234" s="59" t="n">
        <v>45076</v>
      </c>
      <c r="AB234" s="59" t="n">
        <v>46202</v>
      </c>
    </row>
    <row r="235">
      <c r="D235" s="36" t="inlineStr">
        <is>
          <t>Station J Town</t>
        </is>
      </c>
      <c r="E235" s="54" t="inlineStr">
        <is>
          <t>G36</t>
        </is>
      </c>
      <c r="F235" s="54" t="inlineStr">
        <is>
          <t>stjt2B2</t>
        </is>
      </c>
      <c r="G235" s="54" t="inlineStr">
        <is>
          <t>2 BD / 1.5 BA</t>
        </is>
      </c>
      <c r="K235" s="36" t="inlineStr">
        <is>
          <t>Jasmin Jordan</t>
        </is>
      </c>
      <c r="L235" s="55" t="n">
        <v>950</v>
      </c>
      <c r="M235" s="56" t="n">
        <v>2</v>
      </c>
      <c r="N235" s="56" t="n">
        <v>1.5</v>
      </c>
      <c r="Q235" s="57" t="inlineStr">
        <is>
          <t>Occ</t>
        </is>
      </c>
      <c r="U235" s="58" t="n">
        <v>1075</v>
      </c>
      <c r="V235" s="58" t="n">
        <v>1015</v>
      </c>
      <c r="W235" s="58" t="n">
        <v>0</v>
      </c>
      <c r="X235" s="58" t="n">
        <v>0</v>
      </c>
      <c r="Y235" s="58" t="n">
        <v>0</v>
      </c>
      <c r="Z235" s="59" t="n">
        <v>44316</v>
      </c>
      <c r="AA235" s="59" t="n">
        <v>44316</v>
      </c>
      <c r="AB235" s="59" t="n">
        <v>46202</v>
      </c>
    </row>
    <row r="236">
      <c r="D236" s="36" t="inlineStr">
        <is>
          <t>Station J Town</t>
        </is>
      </c>
      <c r="E236" s="54" t="inlineStr">
        <is>
          <t>H01</t>
        </is>
      </c>
      <c r="F236" s="54" t="inlineStr">
        <is>
          <t>stjt2B1</t>
        </is>
      </c>
      <c r="G236" s="54" t="inlineStr">
        <is>
          <t>2 BD / 1 BA</t>
        </is>
      </c>
      <c r="K236" s="36" t="inlineStr">
        <is>
          <t>Joshua Rhea</t>
        </is>
      </c>
      <c r="L236" s="55" t="n">
        <v>950</v>
      </c>
      <c r="M236" s="56" t="n">
        <v>2</v>
      </c>
      <c r="N236" s="56" t="n">
        <v>1</v>
      </c>
      <c r="Q236" s="57" t="inlineStr">
        <is>
          <t>Occ</t>
        </is>
      </c>
      <c r="U236" s="58" t="n">
        <v>1020</v>
      </c>
      <c r="V236" s="58" t="n">
        <v>980</v>
      </c>
      <c r="W236" s="58" t="n">
        <v>0</v>
      </c>
      <c r="X236" s="58" t="n">
        <v>0</v>
      </c>
      <c r="Y236" s="58" t="n">
        <v>0</v>
      </c>
      <c r="Z236" s="59" t="n">
        <v>40398</v>
      </c>
      <c r="AA236" s="59" t="n">
        <v>40398</v>
      </c>
      <c r="AB236" s="59" t="n">
        <v>46295</v>
      </c>
    </row>
    <row r="237">
      <c r="D237" s="36" t="inlineStr">
        <is>
          <t>Station J Town</t>
        </is>
      </c>
      <c r="E237" s="54" t="inlineStr">
        <is>
          <t>H02</t>
        </is>
      </c>
      <c r="F237" s="54" t="inlineStr">
        <is>
          <t>stjt2B1</t>
        </is>
      </c>
      <c r="G237" s="54" t="inlineStr">
        <is>
          <t>2 BD / 1 BA</t>
        </is>
      </c>
      <c r="K237" s="36" t="inlineStr">
        <is>
          <t>William Osborne</t>
        </is>
      </c>
      <c r="L237" s="55" t="n">
        <v>950</v>
      </c>
      <c r="M237" s="56" t="n">
        <v>2</v>
      </c>
      <c r="N237" s="56" t="n">
        <v>1</v>
      </c>
      <c r="Q237" s="57" t="inlineStr">
        <is>
          <t>Occ</t>
        </is>
      </c>
      <c r="U237" s="58" t="n">
        <v>1020</v>
      </c>
      <c r="V237" s="58" t="n">
        <v>985</v>
      </c>
      <c r="W237" s="58" t="n">
        <v>0</v>
      </c>
      <c r="X237" s="58" t="n">
        <v>0</v>
      </c>
      <c r="Y237" s="58" t="n">
        <v>0</v>
      </c>
      <c r="Z237" s="59" t="n">
        <v>44103</v>
      </c>
      <c r="AA237" s="59" t="n">
        <v>44103</v>
      </c>
      <c r="AB237" s="59" t="n">
        <v>46293</v>
      </c>
    </row>
    <row r="238">
      <c r="D238" s="36" t="inlineStr">
        <is>
          <t>Station J Town</t>
        </is>
      </c>
      <c r="E238" s="54" t="inlineStr">
        <is>
          <t>H03</t>
        </is>
      </c>
      <c r="F238" s="54" t="inlineStr">
        <is>
          <t>stjt2B1R</t>
        </is>
      </c>
      <c r="G238" s="54" t="inlineStr">
        <is>
          <t>2 BD / 1 BA</t>
        </is>
      </c>
      <c r="I238" s="54" t="inlineStr">
        <is>
          <t>Yes</t>
        </is>
      </c>
      <c r="J238" s="54" t="inlineStr">
        <is>
          <t>Full</t>
        </is>
      </c>
      <c r="K238" s="36" t="inlineStr">
        <is>
          <t>Giovanni Ramon Virla</t>
        </is>
      </c>
      <c r="L238" s="55" t="n">
        <v>950</v>
      </c>
      <c r="M238" s="56" t="n">
        <v>2</v>
      </c>
      <c r="N238" s="56" t="n">
        <v>1</v>
      </c>
      <c r="Q238" s="57" t="inlineStr">
        <is>
          <t>Occ</t>
        </is>
      </c>
      <c r="U238" s="58" t="n">
        <v>1120</v>
      </c>
      <c r="V238" s="58" t="n">
        <v>1035</v>
      </c>
      <c r="W238" s="58" t="n">
        <v>0</v>
      </c>
      <c r="X238" s="58" t="n">
        <v>0</v>
      </c>
      <c r="Y238" s="58" t="n">
        <v>0</v>
      </c>
      <c r="Z238" s="59" t="n">
        <v>45322</v>
      </c>
      <c r="AA238" s="59" t="n">
        <v>45322</v>
      </c>
      <c r="AB238" s="59" t="n">
        <v>46142</v>
      </c>
    </row>
    <row r="239">
      <c r="D239" s="36" t="inlineStr">
        <is>
          <t>Station J Town</t>
        </is>
      </c>
      <c r="E239" s="54" t="inlineStr">
        <is>
          <t>H04</t>
        </is>
      </c>
      <c r="F239" s="54" t="inlineStr">
        <is>
          <t>stjt2B1</t>
        </is>
      </c>
      <c r="G239" s="54" t="inlineStr">
        <is>
          <t>2 BD / 1 BA</t>
        </is>
      </c>
      <c r="K239" s="36" t="inlineStr">
        <is>
          <t>Lorena Campos Perez</t>
        </is>
      </c>
      <c r="L239" s="55" t="n">
        <v>950</v>
      </c>
      <c r="M239" s="56" t="n">
        <v>2</v>
      </c>
      <c r="N239" s="56" t="n">
        <v>1</v>
      </c>
      <c r="Q239" s="57" t="inlineStr">
        <is>
          <t>Occ</t>
        </is>
      </c>
      <c r="U239" s="58" t="n">
        <v>1020</v>
      </c>
      <c r="V239" s="58" t="n">
        <v>1034</v>
      </c>
      <c r="W239" s="58" t="n">
        <v>0</v>
      </c>
      <c r="X239" s="58" t="n">
        <v>0</v>
      </c>
      <c r="Y239" s="58" t="n">
        <v>0</v>
      </c>
      <c r="Z239" s="59" t="n">
        <v>45927</v>
      </c>
      <c r="AA239" s="59" t="n">
        <v>45927</v>
      </c>
      <c r="AB239" s="59" t="n">
        <v>46473</v>
      </c>
    </row>
    <row r="240">
      <c r="D240" s="36" t="inlineStr">
        <is>
          <t>Station J Town</t>
        </is>
      </c>
      <c r="E240" s="54" t="inlineStr">
        <is>
          <t>H05</t>
        </is>
      </c>
      <c r="F240" s="54" t="inlineStr">
        <is>
          <t>stjt2B1R</t>
        </is>
      </c>
      <c r="G240" s="54" t="inlineStr">
        <is>
          <t>2 BD / 1 BA</t>
        </is>
      </c>
      <c r="I240" s="54" t="inlineStr">
        <is>
          <t>Yes</t>
        </is>
      </c>
      <c r="J240" s="54" t="inlineStr">
        <is>
          <t>Full</t>
        </is>
      </c>
      <c r="K240" s="36" t="inlineStr">
        <is>
          <t>Angela Strobel</t>
        </is>
      </c>
      <c r="L240" s="55" t="n">
        <v>950</v>
      </c>
      <c r="M240" s="56" t="n">
        <v>2</v>
      </c>
      <c r="N240" s="56" t="n">
        <v>1</v>
      </c>
      <c r="Q240" s="57" t="inlineStr">
        <is>
          <t>Occ</t>
        </is>
      </c>
      <c r="U240" s="58" t="n">
        <v>1135</v>
      </c>
      <c r="V240" s="58" t="n">
        <v>1050</v>
      </c>
      <c r="W240" s="58" t="n">
        <v>0</v>
      </c>
      <c r="X240" s="58" t="n">
        <v>0</v>
      </c>
      <c r="Y240" s="58" t="n">
        <v>0</v>
      </c>
      <c r="Z240" s="59" t="n">
        <v>45442</v>
      </c>
      <c r="AA240" s="59" t="n">
        <v>45442</v>
      </c>
      <c r="AB240" s="59" t="n">
        <v>46171</v>
      </c>
    </row>
    <row r="241">
      <c r="D241" s="36" t="inlineStr">
        <is>
          <t>Station J Town</t>
        </is>
      </c>
      <c r="E241" s="54" t="inlineStr">
        <is>
          <t>H06</t>
        </is>
      </c>
      <c r="F241" s="54" t="inlineStr">
        <is>
          <t>stjt2B1R</t>
        </is>
      </c>
      <c r="G241" s="54" t="inlineStr">
        <is>
          <t>2 BD / 1 BA</t>
        </is>
      </c>
      <c r="I241" s="54" t="inlineStr">
        <is>
          <t>Yes</t>
        </is>
      </c>
      <c r="J241" s="54" t="inlineStr">
        <is>
          <t>Full</t>
        </is>
      </c>
      <c r="K241" s="36" t="inlineStr">
        <is>
          <t>Aaron Stinson</t>
        </is>
      </c>
      <c r="L241" s="55" t="n">
        <v>950</v>
      </c>
      <c r="M241" s="56" t="n">
        <v>2</v>
      </c>
      <c r="N241" s="56" t="n">
        <v>1</v>
      </c>
      <c r="Q241" s="57" t="inlineStr">
        <is>
          <t>Occ</t>
        </is>
      </c>
      <c r="U241" s="58" t="n">
        <v>1135</v>
      </c>
      <c r="V241" s="58" t="n">
        <v>1125</v>
      </c>
      <c r="W241" s="58" t="n">
        <v>0</v>
      </c>
      <c r="X241" s="58" t="n">
        <v>0</v>
      </c>
      <c r="Y241" s="58" t="n">
        <v>0</v>
      </c>
      <c r="Z241" s="59" t="n">
        <v>46101</v>
      </c>
      <c r="AA241" s="59" t="n">
        <v>46101</v>
      </c>
      <c r="AB241" s="59" t="n">
        <v>46465</v>
      </c>
    </row>
    <row r="242">
      <c r="D242" s="36" t="inlineStr">
        <is>
          <t>Station J Town</t>
        </is>
      </c>
      <c r="E242" s="54" t="inlineStr">
        <is>
          <t>H07</t>
        </is>
      </c>
      <c r="F242" s="54" t="inlineStr">
        <is>
          <t>stjt2B1</t>
        </is>
      </c>
      <c r="G242" s="54" t="inlineStr">
        <is>
          <t>2 BD / 1 BA</t>
        </is>
      </c>
      <c r="K242" s="36" t="inlineStr">
        <is>
          <t>Ivonne Rodriguez</t>
        </is>
      </c>
      <c r="L242" s="55" t="n">
        <v>950</v>
      </c>
      <c r="M242" s="56" t="n">
        <v>2</v>
      </c>
      <c r="N242" s="56" t="n">
        <v>1</v>
      </c>
      <c r="Q242" s="57" t="inlineStr">
        <is>
          <t>Occ</t>
        </is>
      </c>
      <c r="U242" s="58" t="n">
        <v>1035</v>
      </c>
      <c r="V242" s="58" t="n">
        <v>965</v>
      </c>
      <c r="W242" s="58" t="n">
        <v>0</v>
      </c>
      <c r="X242" s="58" t="n">
        <v>0</v>
      </c>
      <c r="Y242" s="58" t="n">
        <v>0</v>
      </c>
      <c r="Z242" s="59" t="n">
        <v>45457</v>
      </c>
      <c r="AA242" s="59" t="n">
        <v>45457</v>
      </c>
      <c r="AB242" s="59" t="n">
        <v>46186</v>
      </c>
    </row>
    <row r="243">
      <c r="D243" s="36" t="inlineStr">
        <is>
          <t>Station J Town</t>
        </is>
      </c>
      <c r="E243" s="54" t="inlineStr">
        <is>
          <t>H08</t>
        </is>
      </c>
      <c r="F243" s="54" t="inlineStr">
        <is>
          <t>stjt2B1</t>
        </is>
      </c>
      <c r="G243" s="54" t="inlineStr">
        <is>
          <t>2 BD / 1 BA</t>
        </is>
      </c>
      <c r="K243" s="36" t="inlineStr">
        <is>
          <t>Jose Cecena Castro</t>
        </is>
      </c>
      <c r="L243" s="55" t="n">
        <v>950</v>
      </c>
      <c r="M243" s="56" t="n">
        <v>2</v>
      </c>
      <c r="N243" s="56" t="n">
        <v>1</v>
      </c>
      <c r="Q243" s="57" t="inlineStr">
        <is>
          <t>Occ</t>
        </is>
      </c>
      <c r="U243" s="58" t="n">
        <v>1035</v>
      </c>
      <c r="V243" s="58" t="n">
        <v>1013</v>
      </c>
      <c r="W243" s="58" t="n">
        <v>0</v>
      </c>
      <c r="X243" s="58" t="n">
        <v>0</v>
      </c>
      <c r="Y243" s="58" t="n">
        <v>0</v>
      </c>
      <c r="Z243" s="59" t="n">
        <v>44352</v>
      </c>
      <c r="AA243" s="59" t="n">
        <v>44352</v>
      </c>
      <c r="AB243" s="59" t="n">
        <v>46207</v>
      </c>
    </row>
    <row r="244">
      <c r="D244" s="36" t="inlineStr">
        <is>
          <t>Station J Town</t>
        </is>
      </c>
      <c r="E244" s="54" t="inlineStr">
        <is>
          <t>H09</t>
        </is>
      </c>
      <c r="F244" s="54" t="inlineStr">
        <is>
          <t>stjt2B1</t>
        </is>
      </c>
      <c r="G244" s="54" t="inlineStr">
        <is>
          <t>2 BD / 1 BA</t>
        </is>
      </c>
      <c r="K244" s="36" t="inlineStr">
        <is>
          <t>Claire Huffman</t>
        </is>
      </c>
      <c r="L244" s="55" t="n">
        <v>950</v>
      </c>
      <c r="M244" s="56" t="n">
        <v>2</v>
      </c>
      <c r="N244" s="56" t="n">
        <v>1</v>
      </c>
      <c r="Q244" s="57" t="inlineStr">
        <is>
          <t>Occ</t>
        </is>
      </c>
      <c r="U244" s="58" t="n">
        <v>1035</v>
      </c>
      <c r="V244" s="58" t="n">
        <v>1014</v>
      </c>
      <c r="W244" s="58" t="n">
        <v>0</v>
      </c>
      <c r="X244" s="58" t="n">
        <v>0</v>
      </c>
      <c r="Y244" s="58" t="n">
        <v>0</v>
      </c>
      <c r="Z244" s="59" t="n">
        <v>45800</v>
      </c>
      <c r="AA244" s="59" t="n">
        <v>45800</v>
      </c>
      <c r="AB244" s="59" t="n">
        <v>46164</v>
      </c>
    </row>
    <row r="245">
      <c r="D245" s="36" t="inlineStr">
        <is>
          <t>Station J Town</t>
        </is>
      </c>
      <c r="E245" s="54" t="inlineStr">
        <is>
          <t>H10</t>
        </is>
      </c>
      <c r="F245" s="54" t="inlineStr">
        <is>
          <t>stjt2B1</t>
        </is>
      </c>
      <c r="G245" s="54" t="inlineStr">
        <is>
          <t>2 BD / 1 BA</t>
        </is>
      </c>
      <c r="K245" s="36" t="inlineStr">
        <is>
          <t>John Bell</t>
        </is>
      </c>
      <c r="L245" s="55" t="n">
        <v>950</v>
      </c>
      <c r="M245" s="56" t="n">
        <v>2</v>
      </c>
      <c r="N245" s="56" t="n">
        <v>1</v>
      </c>
      <c r="Q245" s="57" t="inlineStr">
        <is>
          <t>Occ</t>
        </is>
      </c>
      <c r="U245" s="58" t="n">
        <v>1085</v>
      </c>
      <c r="V245" s="58" t="n">
        <v>1075</v>
      </c>
      <c r="W245" s="58" t="n">
        <v>0</v>
      </c>
      <c r="X245" s="58" t="n">
        <v>0</v>
      </c>
      <c r="Y245" s="58" t="n">
        <v>0</v>
      </c>
      <c r="Z245" s="59" t="n">
        <v>45869</v>
      </c>
      <c r="AA245" s="59" t="n">
        <v>45869</v>
      </c>
      <c r="AB245" s="59" t="n">
        <v>46264</v>
      </c>
    </row>
    <row r="246">
      <c r="D246" s="36" t="inlineStr">
        <is>
          <t>Station J Town</t>
        </is>
      </c>
      <c r="E246" s="54" t="inlineStr">
        <is>
          <t>H11</t>
        </is>
      </c>
      <c r="F246" s="54" t="inlineStr">
        <is>
          <t>stjt2B1R</t>
        </is>
      </c>
      <c r="G246" s="54" t="inlineStr">
        <is>
          <t>2 BD / 1 BA</t>
        </is>
      </c>
      <c r="I246" s="54" t="inlineStr">
        <is>
          <t>Yes</t>
        </is>
      </c>
      <c r="J246" s="54" t="inlineStr">
        <is>
          <t>Full</t>
        </is>
      </c>
      <c r="K246" s="36" t="inlineStr">
        <is>
          <t>Timothy Embry</t>
        </is>
      </c>
      <c r="L246" s="55" t="n">
        <v>950</v>
      </c>
      <c r="M246" s="56" t="n">
        <v>2</v>
      </c>
      <c r="N246" s="56" t="n">
        <v>1</v>
      </c>
      <c r="Q246" s="57" t="inlineStr">
        <is>
          <t>Occ</t>
        </is>
      </c>
      <c r="U246" s="58" t="n">
        <v>1135</v>
      </c>
      <c r="V246" s="58" t="n">
        <v>1130</v>
      </c>
      <c r="W246" s="58" t="n">
        <v>0</v>
      </c>
      <c r="X246" s="58" t="n">
        <v>0</v>
      </c>
      <c r="Y246" s="58" t="n">
        <v>0</v>
      </c>
      <c r="Z246" s="59" t="n">
        <v>44975</v>
      </c>
      <c r="AA246" s="59" t="n">
        <v>44975</v>
      </c>
      <c r="AB246" s="59" t="n">
        <v>46890</v>
      </c>
    </row>
    <row r="247">
      <c r="D247" s="36" t="inlineStr">
        <is>
          <t>Station J Town</t>
        </is>
      </c>
      <c r="E247" s="54" t="inlineStr">
        <is>
          <t>H12</t>
        </is>
      </c>
      <c r="F247" s="54" t="inlineStr">
        <is>
          <t>stjt2B1</t>
        </is>
      </c>
      <c r="G247" s="54" t="inlineStr">
        <is>
          <t>2 BD / 1 BA</t>
        </is>
      </c>
      <c r="K247" s="36" t="inlineStr">
        <is>
          <t>Olivia Joiner</t>
        </is>
      </c>
      <c r="L247" s="55" t="n">
        <v>950</v>
      </c>
      <c r="M247" s="56" t="n">
        <v>2</v>
      </c>
      <c r="N247" s="56" t="n">
        <v>1</v>
      </c>
      <c r="Q247" s="57" t="inlineStr">
        <is>
          <t>Occ</t>
        </is>
      </c>
      <c r="U247" s="58" t="n">
        <v>1035</v>
      </c>
      <c r="V247" s="58" t="n">
        <v>1025</v>
      </c>
      <c r="W247" s="58" t="n">
        <v>0</v>
      </c>
      <c r="X247" s="58" t="n">
        <v>0</v>
      </c>
      <c r="Y247" s="58" t="n">
        <v>0</v>
      </c>
      <c r="Z247" s="59" t="n">
        <v>45908</v>
      </c>
      <c r="AA247" s="59" t="n">
        <v>45908</v>
      </c>
      <c r="AB247" s="59" t="n">
        <v>46272</v>
      </c>
    </row>
    <row r="248">
      <c r="D248" s="36" t="inlineStr">
        <is>
          <t>Station J Town</t>
        </is>
      </c>
      <c r="E248" s="54" t="inlineStr">
        <is>
          <t>H13</t>
        </is>
      </c>
      <c r="F248" s="54" t="inlineStr">
        <is>
          <t>stjt2B1</t>
        </is>
      </c>
      <c r="G248" s="54" t="inlineStr">
        <is>
          <t>2 BD / 1 BA</t>
        </is>
      </c>
      <c r="K248" s="36" t="inlineStr">
        <is>
          <t>Rodney Broughton</t>
        </is>
      </c>
      <c r="L248" s="55" t="n">
        <v>950</v>
      </c>
      <c r="M248" s="56" t="n">
        <v>2</v>
      </c>
      <c r="N248" s="56" t="n">
        <v>1</v>
      </c>
      <c r="Q248" s="57" t="inlineStr">
        <is>
          <t>Occ</t>
        </is>
      </c>
      <c r="U248" s="58" t="n">
        <v>1020</v>
      </c>
      <c r="V248" s="58" t="n">
        <v>925</v>
      </c>
      <c r="W248" s="58" t="n">
        <v>0</v>
      </c>
      <c r="X248" s="58" t="n">
        <v>0</v>
      </c>
      <c r="Y248" s="58" t="n">
        <v>0</v>
      </c>
      <c r="Z248" s="59" t="n">
        <v>46010</v>
      </c>
      <c r="AA248" s="59" t="n">
        <v>46010</v>
      </c>
      <c r="AB248" s="59" t="n">
        <v>46374</v>
      </c>
    </row>
    <row r="249">
      <c r="D249" s="36" t="inlineStr">
        <is>
          <t>Station J Town</t>
        </is>
      </c>
      <c r="E249" s="54" t="inlineStr">
        <is>
          <t>H14</t>
        </is>
      </c>
      <c r="F249" s="54" t="inlineStr">
        <is>
          <t>stjt2B1</t>
        </is>
      </c>
      <c r="G249" s="54" t="inlineStr">
        <is>
          <t>2 BD / 1 BA</t>
        </is>
      </c>
      <c r="K249" s="36" t="inlineStr">
        <is>
          <t>Joseph Bechard</t>
        </is>
      </c>
      <c r="L249" s="55" t="n">
        <v>950</v>
      </c>
      <c r="M249" s="56" t="n">
        <v>2</v>
      </c>
      <c r="N249" s="56" t="n">
        <v>1</v>
      </c>
      <c r="Q249" s="57" t="inlineStr">
        <is>
          <t>Occ</t>
        </is>
      </c>
      <c r="U249" s="58" t="n">
        <v>1020</v>
      </c>
      <c r="V249" s="58" t="n">
        <v>1010</v>
      </c>
      <c r="W249" s="58" t="n">
        <v>0</v>
      </c>
      <c r="X249" s="58" t="n">
        <v>0</v>
      </c>
      <c r="Y249" s="58" t="n">
        <v>0</v>
      </c>
      <c r="Z249" s="59" t="n">
        <v>45869</v>
      </c>
      <c r="AA249" s="59" t="n">
        <v>45869</v>
      </c>
      <c r="AB249" s="59" t="n">
        <v>46417</v>
      </c>
    </row>
    <row r="250">
      <c r="D250" s="36" t="inlineStr">
        <is>
          <t>Station J Town</t>
        </is>
      </c>
      <c r="E250" s="54" t="inlineStr">
        <is>
          <t>H15</t>
        </is>
      </c>
      <c r="F250" s="54" t="inlineStr">
        <is>
          <t>stjt2B1R</t>
        </is>
      </c>
      <c r="G250" s="54" t="inlineStr">
        <is>
          <t>2 BD / 1 BA</t>
        </is>
      </c>
      <c r="I250" s="54" t="inlineStr">
        <is>
          <t>Yes</t>
        </is>
      </c>
      <c r="J250" s="54" t="inlineStr">
        <is>
          <t>Full</t>
        </is>
      </c>
      <c r="K250" s="36" t="inlineStr">
        <is>
          <t>Joseph Schmidt</t>
        </is>
      </c>
      <c r="L250" s="55" t="n">
        <v>950</v>
      </c>
      <c r="M250" s="56" t="n">
        <v>2</v>
      </c>
      <c r="N250" s="56" t="n">
        <v>1</v>
      </c>
      <c r="Q250" s="57" t="inlineStr">
        <is>
          <t>Occ</t>
        </is>
      </c>
      <c r="U250" s="58" t="n">
        <v>1120</v>
      </c>
      <c r="V250" s="58" t="n">
        <v>1140</v>
      </c>
      <c r="W250" s="58" t="n">
        <v>0</v>
      </c>
      <c r="X250" s="58" t="n">
        <v>0</v>
      </c>
      <c r="Y250" s="58" t="n">
        <v>0</v>
      </c>
      <c r="Z250" s="59" t="n">
        <v>46111</v>
      </c>
      <c r="AA250" s="59" t="n">
        <v>46111</v>
      </c>
      <c r="AB250" s="59" t="n">
        <v>46475</v>
      </c>
    </row>
    <row r="251">
      <c r="D251" s="36" t="inlineStr">
        <is>
          <t>Station J Town</t>
        </is>
      </c>
      <c r="E251" s="54" t="inlineStr">
        <is>
          <t>H16</t>
        </is>
      </c>
      <c r="F251" s="54" t="inlineStr">
        <is>
          <t>stjt2B1R</t>
        </is>
      </c>
      <c r="G251" s="54" t="inlineStr">
        <is>
          <t>2 BD / 1 BA</t>
        </is>
      </c>
      <c r="I251" s="54" t="inlineStr">
        <is>
          <t>Yes</t>
        </is>
      </c>
      <c r="J251" s="54" t="inlineStr">
        <is>
          <t>Full</t>
        </is>
      </c>
      <c r="K251" s="36" t="inlineStr">
        <is>
          <t>Sabin White</t>
        </is>
      </c>
      <c r="L251" s="55" t="n">
        <v>950</v>
      </c>
      <c r="M251" s="56" t="n">
        <v>2</v>
      </c>
      <c r="N251" s="56" t="n">
        <v>1</v>
      </c>
      <c r="Q251" s="57" t="inlineStr">
        <is>
          <t>Occ</t>
        </is>
      </c>
      <c r="U251" s="58" t="n">
        <v>1120</v>
      </c>
      <c r="V251" s="58" t="n">
        <v>1120</v>
      </c>
      <c r="W251" s="58" t="n">
        <v>0</v>
      </c>
      <c r="X251" s="58" t="n">
        <v>0</v>
      </c>
      <c r="Y251" s="58" t="n">
        <v>0</v>
      </c>
      <c r="Z251" s="59" t="n">
        <v>46158</v>
      </c>
      <c r="AA251" s="59" t="n">
        <v>46158</v>
      </c>
      <c r="AB251" s="59" t="n">
        <v>46583</v>
      </c>
    </row>
    <row r="252">
      <c r="D252" s="36" t="inlineStr">
        <is>
          <t>Station J Town</t>
        </is>
      </c>
      <c r="E252" s="54" t="inlineStr">
        <is>
          <t>H17</t>
        </is>
      </c>
      <c r="F252" s="54" t="inlineStr">
        <is>
          <t>stjt2B1R</t>
        </is>
      </c>
      <c r="G252" s="54" t="inlineStr">
        <is>
          <t>2 BD / 1 BA</t>
        </is>
      </c>
      <c r="I252" s="54" t="inlineStr">
        <is>
          <t>Yes</t>
        </is>
      </c>
      <c r="J252" s="54" t="inlineStr">
        <is>
          <t>Full</t>
        </is>
      </c>
      <c r="K252" s="36" t="inlineStr">
        <is>
          <t>Antonio Alfaro</t>
        </is>
      </c>
      <c r="L252" s="55" t="n">
        <v>950</v>
      </c>
      <c r="M252" s="56" t="n">
        <v>2</v>
      </c>
      <c r="N252" s="56" t="n">
        <v>1</v>
      </c>
      <c r="Q252" s="57" t="inlineStr">
        <is>
          <t>Occ</t>
        </is>
      </c>
      <c r="U252" s="58" t="n">
        <v>1135</v>
      </c>
      <c r="V252" s="58" t="n">
        <v>1095</v>
      </c>
      <c r="W252" s="58" t="n">
        <v>0</v>
      </c>
      <c r="X252" s="58" t="n">
        <v>0</v>
      </c>
      <c r="Y252" s="58" t="n">
        <v>0</v>
      </c>
      <c r="Z252" s="59" t="n">
        <v>45929</v>
      </c>
      <c r="AA252" s="59" t="n">
        <v>45929</v>
      </c>
      <c r="AB252" s="59" t="n">
        <v>46658</v>
      </c>
    </row>
    <row r="253">
      <c r="D253" s="36" t="inlineStr">
        <is>
          <t>Station J Town</t>
        </is>
      </c>
      <c r="E253" s="54" t="inlineStr">
        <is>
          <t>H18</t>
        </is>
      </c>
      <c r="F253" s="54" t="inlineStr">
        <is>
          <t>stjt2B1</t>
        </is>
      </c>
      <c r="G253" s="54" t="inlineStr">
        <is>
          <t>2 BD / 1 BA</t>
        </is>
      </c>
      <c r="K253" s="36" t="inlineStr">
        <is>
          <t>Vanecelandia Futi</t>
        </is>
      </c>
      <c r="L253" s="55" t="n">
        <v>950</v>
      </c>
      <c r="M253" s="56" t="n">
        <v>2</v>
      </c>
      <c r="N253" s="56" t="n">
        <v>1</v>
      </c>
      <c r="Q253" s="57" t="inlineStr">
        <is>
          <t>Occ</t>
        </is>
      </c>
      <c r="U253" s="58" t="n">
        <v>1055</v>
      </c>
      <c r="V253" s="58" t="n">
        <v>1045</v>
      </c>
      <c r="W253" s="58" t="n">
        <v>0</v>
      </c>
      <c r="X253" s="58" t="n">
        <v>0</v>
      </c>
      <c r="Y253" s="58" t="n">
        <v>0</v>
      </c>
      <c r="Z253" s="59" t="n">
        <v>45735</v>
      </c>
      <c r="AA253" s="59" t="n">
        <v>45735</v>
      </c>
      <c r="AB253" s="59" t="n">
        <v>46099</v>
      </c>
    </row>
    <row r="254">
      <c r="D254" s="36" t="inlineStr">
        <is>
          <t>Station J Town</t>
        </is>
      </c>
      <c r="E254" s="54" t="inlineStr">
        <is>
          <t>H19</t>
        </is>
      </c>
      <c r="F254" s="54" t="inlineStr">
        <is>
          <t>stjt2B1</t>
        </is>
      </c>
      <c r="G254" s="54" t="inlineStr">
        <is>
          <t>2 BD / 1 BA</t>
        </is>
      </c>
      <c r="K254" s="36" t="inlineStr">
        <is>
          <t>Kennedy Metcalf</t>
        </is>
      </c>
      <c r="L254" s="55" t="n">
        <v>950</v>
      </c>
      <c r="M254" s="56" t="n">
        <v>2</v>
      </c>
      <c r="N254" s="56" t="n">
        <v>1</v>
      </c>
      <c r="Q254" s="57" t="inlineStr">
        <is>
          <t>Occ</t>
        </is>
      </c>
      <c r="U254" s="58" t="n">
        <v>1035</v>
      </c>
      <c r="V254" s="58" t="n">
        <v>950</v>
      </c>
      <c r="W254" s="58" t="n">
        <v>0</v>
      </c>
      <c r="X254" s="58" t="n">
        <v>0</v>
      </c>
      <c r="Y254" s="58" t="n">
        <v>0</v>
      </c>
      <c r="Z254" s="59" t="n">
        <v>45696</v>
      </c>
      <c r="AA254" s="59" t="n">
        <v>45696</v>
      </c>
      <c r="AB254" s="59" t="n">
        <v>46241</v>
      </c>
    </row>
    <row r="255">
      <c r="D255" s="36" t="inlineStr">
        <is>
          <t>Station J Town</t>
        </is>
      </c>
      <c r="E255" s="54" t="inlineStr">
        <is>
          <t>H20</t>
        </is>
      </c>
      <c r="F255" s="54" t="inlineStr">
        <is>
          <t>stjt2B1R</t>
        </is>
      </c>
      <c r="G255" s="54" t="inlineStr">
        <is>
          <t>2 BD / 1 BA</t>
        </is>
      </c>
      <c r="I255" s="54" t="inlineStr">
        <is>
          <t>Yes</t>
        </is>
      </c>
      <c r="J255" s="54" t="inlineStr">
        <is>
          <t>Full</t>
        </is>
      </c>
      <c r="K255" s="36" t="inlineStr">
        <is>
          <t>Wilnairy Bravo~</t>
        </is>
      </c>
      <c r="L255" s="55" t="n">
        <v>950</v>
      </c>
      <c r="M255" s="56" t="n">
        <v>2</v>
      </c>
      <c r="N255" s="56" t="n">
        <v>1</v>
      </c>
      <c r="Q255" s="57" t="inlineStr">
        <is>
          <t>Occ</t>
        </is>
      </c>
      <c r="U255" s="58" t="n">
        <v>1135</v>
      </c>
      <c r="V255" s="58" t="n">
        <v>1120</v>
      </c>
      <c r="W255" s="58" t="n">
        <v>0</v>
      </c>
      <c r="X255" s="58" t="n">
        <v>0</v>
      </c>
      <c r="Y255" s="58" t="n">
        <v>0</v>
      </c>
      <c r="Z255" s="59" t="n">
        <v>45240</v>
      </c>
      <c r="AA255" s="59" t="n">
        <v>45240</v>
      </c>
      <c r="AB255" s="59" t="n">
        <v>46212</v>
      </c>
    </row>
    <row r="256">
      <c r="D256" s="36" t="inlineStr">
        <is>
          <t>Station J Town</t>
        </is>
      </c>
      <c r="E256" s="54" t="inlineStr">
        <is>
          <t>H21</t>
        </is>
      </c>
      <c r="F256" s="54" t="inlineStr">
        <is>
          <t>stjt2B1</t>
        </is>
      </c>
      <c r="G256" s="54" t="inlineStr">
        <is>
          <t>2 BD / 1 BA</t>
        </is>
      </c>
      <c r="K256" s="36" t="inlineStr">
        <is>
          <t>VACANT</t>
        </is>
      </c>
      <c r="L256" s="55" t="n">
        <v>950</v>
      </c>
      <c r="M256" s="56" t="n">
        <v>2</v>
      </c>
      <c r="N256" s="56" t="n">
        <v>1</v>
      </c>
      <c r="Q256" s="57" t="inlineStr">
        <is>
          <t>Vac</t>
        </is>
      </c>
      <c r="U256" s="58" t="n">
        <v>965</v>
      </c>
      <c r="V256" s="58" t="n">
        <v>0</v>
      </c>
      <c r="W256" s="58" t="n">
        <v>0</v>
      </c>
      <c r="X256" s="58" t="n">
        <v>0</v>
      </c>
      <c r="Y256" s="58" t="n">
        <v>0</v>
      </c>
    </row>
    <row r="257">
      <c r="D257" s="36" t="inlineStr">
        <is>
          <t>Station J Town</t>
        </is>
      </c>
      <c r="E257" s="54" t="inlineStr">
        <is>
          <t>H22</t>
        </is>
      </c>
      <c r="F257" s="54" t="inlineStr">
        <is>
          <t>stjt2B1</t>
        </is>
      </c>
      <c r="G257" s="54" t="inlineStr">
        <is>
          <t>2 BD / 1 BA</t>
        </is>
      </c>
      <c r="K257" s="36" t="inlineStr">
        <is>
          <t>Lynn Harris</t>
        </is>
      </c>
      <c r="L257" s="55" t="n">
        <v>950</v>
      </c>
      <c r="M257" s="56" t="n">
        <v>2</v>
      </c>
      <c r="N257" s="56" t="n">
        <v>1</v>
      </c>
      <c r="Q257" s="57" t="inlineStr">
        <is>
          <t>Occ</t>
        </is>
      </c>
      <c r="U257" s="58" t="n">
        <v>1035</v>
      </c>
      <c r="V257" s="58" t="n">
        <v>1025</v>
      </c>
      <c r="W257" s="58" t="n">
        <v>0</v>
      </c>
      <c r="X257" s="58" t="n">
        <v>0</v>
      </c>
      <c r="Y257" s="58" t="n">
        <v>0</v>
      </c>
      <c r="Z257" s="59" t="n">
        <v>45884</v>
      </c>
      <c r="AA257" s="59" t="n">
        <v>45884</v>
      </c>
      <c r="AB257" s="59" t="n">
        <v>46248</v>
      </c>
    </row>
    <row r="258">
      <c r="D258" s="36" t="inlineStr">
        <is>
          <t>Station J Town</t>
        </is>
      </c>
      <c r="E258" s="54" t="inlineStr">
        <is>
          <t>H23</t>
        </is>
      </c>
      <c r="F258" s="54" t="inlineStr">
        <is>
          <t>stjt2B1</t>
        </is>
      </c>
      <c r="G258" s="54" t="inlineStr">
        <is>
          <t>2 BD / 1 BA</t>
        </is>
      </c>
      <c r="K258" s="36" t="inlineStr">
        <is>
          <t>Dashawna Boyd-Johns</t>
        </is>
      </c>
      <c r="L258" s="55" t="n">
        <v>950</v>
      </c>
      <c r="M258" s="56" t="n">
        <v>2</v>
      </c>
      <c r="N258" s="56" t="n">
        <v>1</v>
      </c>
      <c r="Q258" s="57" t="inlineStr">
        <is>
          <t>Occ</t>
        </is>
      </c>
      <c r="U258" s="58" t="n">
        <v>1035</v>
      </c>
      <c r="V258" s="58" t="n">
        <v>965</v>
      </c>
      <c r="W258" s="58" t="n">
        <v>0</v>
      </c>
      <c r="X258" s="58" t="n">
        <v>0</v>
      </c>
      <c r="Y258" s="58" t="n">
        <v>0</v>
      </c>
      <c r="Z258" s="59" t="n">
        <v>45352</v>
      </c>
      <c r="AA258" s="59" t="n">
        <v>45352</v>
      </c>
      <c r="AB258" s="59" t="n">
        <v>46178</v>
      </c>
    </row>
    <row r="259">
      <c r="D259" s="36" t="inlineStr">
        <is>
          <t>Station J Town</t>
        </is>
      </c>
      <c r="E259" s="54" t="inlineStr">
        <is>
          <t>H24</t>
        </is>
      </c>
      <c r="F259" s="54" t="inlineStr">
        <is>
          <t>stjt2B1</t>
        </is>
      </c>
      <c r="G259" s="54" t="inlineStr">
        <is>
          <t>2 BD / 1 BA</t>
        </is>
      </c>
      <c r="K259" s="36" t="inlineStr">
        <is>
          <t>Gabriella Davis</t>
        </is>
      </c>
      <c r="L259" s="55" t="n">
        <v>950</v>
      </c>
      <c r="M259" s="56" t="n">
        <v>2</v>
      </c>
      <c r="N259" s="56" t="n">
        <v>1</v>
      </c>
      <c r="Q259" s="57" t="inlineStr">
        <is>
          <t>Occ</t>
        </is>
      </c>
      <c r="U259" s="58" t="n">
        <v>1035</v>
      </c>
      <c r="V259" s="58" t="n">
        <v>1014</v>
      </c>
      <c r="W259" s="58" t="n">
        <v>0</v>
      </c>
      <c r="X259" s="58" t="n">
        <v>0</v>
      </c>
      <c r="Y259" s="58" t="n">
        <v>0</v>
      </c>
      <c r="Z259" s="59" t="n">
        <v>45807</v>
      </c>
      <c r="AA259" s="59" t="n">
        <v>45807</v>
      </c>
      <c r="AB259" s="59" t="n">
        <v>46171</v>
      </c>
    </row>
    <row r="260">
      <c r="D260" s="36" t="inlineStr">
        <is>
          <t>Station J Town</t>
        </is>
      </c>
      <c r="E260" s="54" t="inlineStr">
        <is>
          <t>I01</t>
        </is>
      </c>
      <c r="F260" s="54" t="inlineStr">
        <is>
          <t>stjt2B1</t>
        </is>
      </c>
      <c r="G260" s="54" t="inlineStr">
        <is>
          <t>2 BD / 1 BA</t>
        </is>
      </c>
      <c r="K260" s="36" t="inlineStr">
        <is>
          <t>Lawrence Omeara</t>
        </is>
      </c>
      <c r="L260" s="55" t="n">
        <v>950</v>
      </c>
      <c r="M260" s="56" t="n">
        <v>2</v>
      </c>
      <c r="N260" s="56" t="n">
        <v>1</v>
      </c>
      <c r="Q260" s="57" t="inlineStr">
        <is>
          <t>Occ</t>
        </is>
      </c>
      <c r="U260" s="58" t="n">
        <v>1020</v>
      </c>
      <c r="V260" s="58" t="n">
        <v>1000</v>
      </c>
      <c r="W260" s="58" t="n">
        <v>0</v>
      </c>
      <c r="X260" s="58" t="n">
        <v>0</v>
      </c>
      <c r="Y260" s="58" t="n">
        <v>0</v>
      </c>
      <c r="Z260" s="59" t="n">
        <v>46097</v>
      </c>
      <c r="AA260" s="59" t="n">
        <v>46097</v>
      </c>
      <c r="AB260" s="59" t="n">
        <v>46465</v>
      </c>
    </row>
    <row r="261">
      <c r="D261" s="36" t="inlineStr">
        <is>
          <t>Station J Town</t>
        </is>
      </c>
      <c r="E261" s="54" t="inlineStr">
        <is>
          <t>I02</t>
        </is>
      </c>
      <c r="F261" s="54" t="inlineStr">
        <is>
          <t>stjt2B1R</t>
        </is>
      </c>
      <c r="G261" s="54" t="inlineStr">
        <is>
          <t>2 BD / 1 BA</t>
        </is>
      </c>
      <c r="I261" s="54" t="inlineStr">
        <is>
          <t>Yes</t>
        </is>
      </c>
      <c r="J261" s="54" t="inlineStr">
        <is>
          <t>Full</t>
        </is>
      </c>
      <c r="K261" s="36" t="inlineStr">
        <is>
          <t>VACANT</t>
        </is>
      </c>
      <c r="L261" s="55" t="n">
        <v>950</v>
      </c>
      <c r="M261" s="56" t="n">
        <v>2</v>
      </c>
      <c r="N261" s="56" t="n">
        <v>1</v>
      </c>
      <c r="Q261" s="57" t="inlineStr">
        <is>
          <t>Vac</t>
        </is>
      </c>
      <c r="U261" s="58" t="n">
        <v>1120</v>
      </c>
      <c r="V261" s="58" t="n">
        <v>0</v>
      </c>
      <c r="W261" s="58" t="n">
        <v>0</v>
      </c>
      <c r="X261" s="58" t="n">
        <v>0</v>
      </c>
      <c r="Y261" s="58" t="n">
        <v>0</v>
      </c>
    </row>
    <row r="262">
      <c r="D262" s="36" t="inlineStr">
        <is>
          <t>Station J Town</t>
        </is>
      </c>
      <c r="E262" s="54" t="inlineStr">
        <is>
          <t>I03</t>
        </is>
      </c>
      <c r="F262" s="54" t="inlineStr">
        <is>
          <t>stjt2B1R</t>
        </is>
      </c>
      <c r="G262" s="54" t="inlineStr">
        <is>
          <t>2 BD / 1 BA</t>
        </is>
      </c>
      <c r="I262" s="54" t="inlineStr">
        <is>
          <t>Yes</t>
        </is>
      </c>
      <c r="J262" s="54" t="inlineStr">
        <is>
          <t>Full</t>
        </is>
      </c>
      <c r="K262" s="36" t="inlineStr">
        <is>
          <t>Stephen Board</t>
        </is>
      </c>
      <c r="L262" s="55" t="n">
        <v>950</v>
      </c>
      <c r="M262" s="56" t="n">
        <v>2</v>
      </c>
      <c r="N262" s="56" t="n">
        <v>1</v>
      </c>
      <c r="Q262" s="57" t="inlineStr">
        <is>
          <t>Occ</t>
        </is>
      </c>
      <c r="U262" s="58" t="n">
        <v>1120</v>
      </c>
      <c r="V262" s="58" t="n">
        <v>1110</v>
      </c>
      <c r="W262" s="58" t="n">
        <v>0</v>
      </c>
      <c r="X262" s="58" t="n">
        <v>0</v>
      </c>
      <c r="Y262" s="58" t="n">
        <v>0</v>
      </c>
      <c r="Z262" s="59" t="n">
        <v>45890</v>
      </c>
      <c r="AA262" s="59" t="n">
        <v>45890</v>
      </c>
      <c r="AB262" s="59" t="n">
        <v>46438</v>
      </c>
    </row>
    <row r="263">
      <c r="D263" s="36" t="inlineStr">
        <is>
          <t>Station J Town</t>
        </is>
      </c>
      <c r="E263" s="54" t="inlineStr">
        <is>
          <t>I04</t>
        </is>
      </c>
      <c r="F263" s="54" t="inlineStr">
        <is>
          <t>stjt2B1R</t>
        </is>
      </c>
      <c r="G263" s="54" t="inlineStr">
        <is>
          <t>2 BD / 1 BA</t>
        </is>
      </c>
      <c r="I263" s="54" t="inlineStr">
        <is>
          <t>Yes</t>
        </is>
      </c>
      <c r="J263" s="54" t="inlineStr">
        <is>
          <t>Full</t>
        </is>
      </c>
      <c r="K263" s="36" t="inlineStr">
        <is>
          <t>Alberta Williams</t>
        </is>
      </c>
      <c r="L263" s="55" t="n">
        <v>950</v>
      </c>
      <c r="M263" s="56" t="n">
        <v>2</v>
      </c>
      <c r="N263" s="56" t="n">
        <v>1</v>
      </c>
      <c r="Q263" s="57" t="inlineStr">
        <is>
          <t>Occ</t>
        </is>
      </c>
      <c r="U263" s="58" t="n">
        <v>1120</v>
      </c>
      <c r="V263" s="58" t="n">
        <v>1110</v>
      </c>
      <c r="W263" s="58" t="n">
        <v>0</v>
      </c>
      <c r="X263" s="58" t="n">
        <v>0</v>
      </c>
      <c r="Y263" s="58" t="n">
        <v>0</v>
      </c>
      <c r="Z263" s="59" t="n">
        <v>46052</v>
      </c>
      <c r="AA263" s="59" t="n">
        <v>46052</v>
      </c>
      <c r="AB263" s="59" t="n">
        <v>46416</v>
      </c>
    </row>
    <row r="264">
      <c r="D264" s="36" t="inlineStr">
        <is>
          <t>Station J Town</t>
        </is>
      </c>
      <c r="E264" s="54" t="inlineStr">
        <is>
          <t>I05</t>
        </is>
      </c>
      <c r="F264" s="54" t="inlineStr">
        <is>
          <t>stjt2B1R</t>
        </is>
      </c>
      <c r="G264" s="54" t="inlineStr">
        <is>
          <t>2 BD / 1 BA</t>
        </is>
      </c>
      <c r="I264" s="54" t="inlineStr">
        <is>
          <t>Yes</t>
        </is>
      </c>
      <c r="J264" s="54" t="inlineStr">
        <is>
          <t>Full</t>
        </is>
      </c>
      <c r="K264" s="36" t="inlineStr">
        <is>
          <t>Maikel Leandro Machin Alvarez</t>
        </is>
      </c>
      <c r="L264" s="55" t="n">
        <v>950</v>
      </c>
      <c r="M264" s="56" t="n">
        <v>2</v>
      </c>
      <c r="N264" s="56" t="n">
        <v>1</v>
      </c>
      <c r="Q264" s="57" t="inlineStr">
        <is>
          <t>Occ</t>
        </is>
      </c>
      <c r="U264" s="58" t="n">
        <v>1135</v>
      </c>
      <c r="V264" s="58" t="n">
        <v>1060</v>
      </c>
      <c r="W264" s="58" t="n">
        <v>0</v>
      </c>
      <c r="X264" s="58" t="n">
        <v>0</v>
      </c>
      <c r="Y264" s="58" t="n">
        <v>0</v>
      </c>
      <c r="Z264" s="59" t="n">
        <v>45687</v>
      </c>
      <c r="AA264" s="59" t="n">
        <v>45687</v>
      </c>
      <c r="AB264" s="59" t="n">
        <v>46232</v>
      </c>
    </row>
    <row r="265">
      <c r="D265" s="36" t="inlineStr">
        <is>
          <t>Station J Town</t>
        </is>
      </c>
      <c r="E265" s="54" t="inlineStr">
        <is>
          <t>I06</t>
        </is>
      </c>
      <c r="F265" s="54" t="inlineStr">
        <is>
          <t>stjt2B1R</t>
        </is>
      </c>
      <c r="G265" s="54" t="inlineStr">
        <is>
          <t>2 BD / 1 BA</t>
        </is>
      </c>
      <c r="I265" s="54" t="inlineStr">
        <is>
          <t>Yes</t>
        </is>
      </c>
      <c r="J265" s="54" t="inlineStr">
        <is>
          <t>Full</t>
        </is>
      </c>
      <c r="K265" s="36" t="inlineStr">
        <is>
          <t>Danielle Sprowles</t>
        </is>
      </c>
      <c r="L265" s="55" t="n">
        <v>950</v>
      </c>
      <c r="M265" s="56" t="n">
        <v>2</v>
      </c>
      <c r="N265" s="56" t="n">
        <v>1</v>
      </c>
      <c r="Q265" s="57" t="inlineStr">
        <is>
          <t>Occ</t>
        </is>
      </c>
      <c r="U265" s="58" t="n">
        <v>1135</v>
      </c>
      <c r="V265" s="58" t="n">
        <v>1095</v>
      </c>
      <c r="W265" s="58" t="n">
        <v>0</v>
      </c>
      <c r="X265" s="58" t="n">
        <v>0</v>
      </c>
      <c r="Y265" s="58" t="n">
        <v>0</v>
      </c>
      <c r="Z265" s="59" t="n">
        <v>45931</v>
      </c>
      <c r="AA265" s="59" t="n">
        <v>45931</v>
      </c>
      <c r="AB265" s="59" t="n">
        <v>46155</v>
      </c>
    </row>
    <row r="266">
      <c r="D266" s="36" t="inlineStr">
        <is>
          <t>Station J Town</t>
        </is>
      </c>
      <c r="E266" s="54" t="inlineStr">
        <is>
          <t>I07</t>
        </is>
      </c>
      <c r="F266" s="54" t="inlineStr">
        <is>
          <t>stjt2B1</t>
        </is>
      </c>
      <c r="G266" s="54" t="inlineStr">
        <is>
          <t>2 BD / 1 BA</t>
        </is>
      </c>
      <c r="K266" s="36" t="inlineStr">
        <is>
          <t>Lucero Chavez</t>
        </is>
      </c>
      <c r="L266" s="55" t="n">
        <v>950</v>
      </c>
      <c r="M266" s="56" t="n">
        <v>2</v>
      </c>
      <c r="N266" s="56" t="n">
        <v>1</v>
      </c>
      <c r="Q266" s="57" t="inlineStr">
        <is>
          <t>Occ</t>
        </is>
      </c>
      <c r="U266" s="58" t="n">
        <v>1035</v>
      </c>
      <c r="V266" s="58" t="n">
        <v>916</v>
      </c>
      <c r="W266" s="58" t="n">
        <v>0</v>
      </c>
      <c r="X266" s="58" t="n">
        <v>0</v>
      </c>
      <c r="Y266" s="58" t="n">
        <v>0</v>
      </c>
      <c r="Z266" s="59" t="n">
        <v>43090</v>
      </c>
      <c r="AA266" s="59" t="n">
        <v>43090</v>
      </c>
      <c r="AB266" s="59" t="n">
        <v>46223</v>
      </c>
    </row>
    <row r="267">
      <c r="D267" s="36" t="inlineStr">
        <is>
          <t>Station J Town</t>
        </is>
      </c>
      <c r="E267" s="54" t="inlineStr">
        <is>
          <t>I08</t>
        </is>
      </c>
      <c r="F267" s="54" t="inlineStr">
        <is>
          <t>stjt2B1</t>
        </is>
      </c>
      <c r="G267" s="54" t="inlineStr">
        <is>
          <t>2 BD / 1 BA</t>
        </is>
      </c>
      <c r="K267" s="36" t="inlineStr">
        <is>
          <t>Bernadette Fox</t>
        </is>
      </c>
      <c r="L267" s="55" t="n">
        <v>950</v>
      </c>
      <c r="M267" s="56" t="n">
        <v>2</v>
      </c>
      <c r="N267" s="56" t="n">
        <v>1</v>
      </c>
      <c r="Q267" s="57" t="inlineStr">
        <is>
          <t>Occ</t>
        </is>
      </c>
      <c r="U267" s="58" t="n">
        <v>1035</v>
      </c>
      <c r="V267" s="58" t="n">
        <v>965</v>
      </c>
      <c r="W267" s="58" t="n">
        <v>0</v>
      </c>
      <c r="X267" s="58" t="n">
        <v>0</v>
      </c>
      <c r="Y267" s="58" t="n">
        <v>0</v>
      </c>
      <c r="Z267" s="59" t="n">
        <v>45324</v>
      </c>
      <c r="AA267" s="59" t="n">
        <v>45324</v>
      </c>
      <c r="AB267" s="59" t="n">
        <v>46508</v>
      </c>
    </row>
    <row r="268">
      <c r="D268" s="36" t="inlineStr">
        <is>
          <t>Station J Town</t>
        </is>
      </c>
      <c r="E268" s="54" t="inlineStr">
        <is>
          <t>I09</t>
        </is>
      </c>
      <c r="F268" s="54" t="inlineStr">
        <is>
          <t>stjt2B1</t>
        </is>
      </c>
      <c r="G268" s="54" t="inlineStr">
        <is>
          <t>2 BD / 1 BA</t>
        </is>
      </c>
      <c r="K268" s="36" t="inlineStr">
        <is>
          <t>Alissa Ulery</t>
        </is>
      </c>
      <c r="L268" s="55" t="n">
        <v>950</v>
      </c>
      <c r="M268" s="56" t="n">
        <v>2</v>
      </c>
      <c r="N268" s="56" t="n">
        <v>1</v>
      </c>
      <c r="Q268" s="57" t="inlineStr">
        <is>
          <t>Occ</t>
        </is>
      </c>
      <c r="U268" s="58" t="n">
        <v>1035</v>
      </c>
      <c r="V268" s="58" t="n">
        <v>1020</v>
      </c>
      <c r="W268" s="58" t="n">
        <v>0</v>
      </c>
      <c r="X268" s="58" t="n">
        <v>0</v>
      </c>
      <c r="Y268" s="58" t="n">
        <v>0</v>
      </c>
      <c r="Z268" s="59" t="n">
        <v>43567</v>
      </c>
      <c r="AA268" s="59" t="n">
        <v>43567</v>
      </c>
      <c r="AB268" s="59" t="n">
        <v>46242</v>
      </c>
    </row>
    <row r="269">
      <c r="D269" s="36" t="inlineStr">
        <is>
          <t>Station J Town</t>
        </is>
      </c>
      <c r="E269" s="54" t="inlineStr">
        <is>
          <t>I10</t>
        </is>
      </c>
      <c r="F269" s="54" t="inlineStr">
        <is>
          <t>stjt2B1</t>
        </is>
      </c>
      <c r="G269" s="54" t="inlineStr">
        <is>
          <t>2 BD / 1 BA</t>
        </is>
      </c>
      <c r="K269" s="36" t="inlineStr">
        <is>
          <t>VACANT</t>
        </is>
      </c>
      <c r="L269" s="55" t="n">
        <v>950</v>
      </c>
      <c r="M269" s="56" t="n">
        <v>2</v>
      </c>
      <c r="N269" s="56" t="n">
        <v>1</v>
      </c>
      <c r="Q269" s="57" t="inlineStr">
        <is>
          <t>Vac</t>
        </is>
      </c>
      <c r="U269" s="58" t="n">
        <v>965</v>
      </c>
      <c r="V269" s="58" t="n">
        <v>0</v>
      </c>
      <c r="W269" s="58" t="n">
        <v>0</v>
      </c>
      <c r="X269" s="58" t="n">
        <v>0</v>
      </c>
      <c r="Y269" s="58" t="n">
        <v>0</v>
      </c>
    </row>
    <row r="270">
      <c r="D270" s="36" t="inlineStr">
        <is>
          <t>Station J Town</t>
        </is>
      </c>
      <c r="E270" s="54" t="inlineStr">
        <is>
          <t>I11</t>
        </is>
      </c>
      <c r="F270" s="54" t="inlineStr">
        <is>
          <t>stjt2B1R</t>
        </is>
      </c>
      <c r="G270" s="54" t="inlineStr">
        <is>
          <t>2 BD / 1 BA</t>
        </is>
      </c>
      <c r="I270" s="54" t="inlineStr">
        <is>
          <t>Yes</t>
        </is>
      </c>
      <c r="J270" s="54" t="inlineStr">
        <is>
          <t>Full</t>
        </is>
      </c>
      <c r="K270" s="36" t="inlineStr">
        <is>
          <t>Forrest Leonard</t>
        </is>
      </c>
      <c r="L270" s="55" t="n">
        <v>950</v>
      </c>
      <c r="M270" s="56" t="n">
        <v>2</v>
      </c>
      <c r="N270" s="56" t="n">
        <v>1</v>
      </c>
      <c r="Q270" s="57" t="inlineStr">
        <is>
          <t>Occ</t>
        </is>
      </c>
      <c r="U270" s="58" t="n">
        <v>1135</v>
      </c>
      <c r="V270" s="58" t="n">
        <v>1050</v>
      </c>
      <c r="W270" s="58" t="n">
        <v>0</v>
      </c>
      <c r="X270" s="58" t="n">
        <v>0</v>
      </c>
      <c r="Y270" s="58" t="n">
        <v>0</v>
      </c>
      <c r="Z270" s="59" t="n">
        <v>45447</v>
      </c>
      <c r="AA270" s="59" t="n">
        <v>45447</v>
      </c>
      <c r="AB270" s="59" t="n">
        <v>46176</v>
      </c>
    </row>
    <row r="271">
      <c r="D271" s="36" t="inlineStr">
        <is>
          <t>Station J Town</t>
        </is>
      </c>
      <c r="E271" s="54" t="inlineStr">
        <is>
          <t>I12</t>
        </is>
      </c>
      <c r="F271" s="54" t="inlineStr">
        <is>
          <t>stjt2B1R</t>
        </is>
      </c>
      <c r="G271" s="54" t="inlineStr">
        <is>
          <t>2 BD / 1 BA</t>
        </is>
      </c>
      <c r="I271" s="54" t="inlineStr">
        <is>
          <t>Yes</t>
        </is>
      </c>
      <c r="J271" s="54" t="inlineStr">
        <is>
          <t>Full</t>
        </is>
      </c>
      <c r="K271" s="36" t="inlineStr">
        <is>
          <t>Sam Borders</t>
        </is>
      </c>
      <c r="L271" s="55" t="n">
        <v>950</v>
      </c>
      <c r="M271" s="56" t="n">
        <v>2</v>
      </c>
      <c r="N271" s="56" t="n">
        <v>1</v>
      </c>
      <c r="Q271" s="57" t="inlineStr">
        <is>
          <t>Occ</t>
        </is>
      </c>
      <c r="U271" s="58" t="n">
        <v>1135</v>
      </c>
      <c r="V271" s="58" t="n">
        <v>1080</v>
      </c>
      <c r="W271" s="58" t="n">
        <v>0</v>
      </c>
      <c r="X271" s="58" t="n">
        <v>0</v>
      </c>
      <c r="Y271" s="58" t="n">
        <v>0</v>
      </c>
      <c r="Z271" s="59" t="n">
        <v>45975</v>
      </c>
      <c r="AA271" s="59" t="n">
        <v>45975</v>
      </c>
      <c r="AB271" s="59" t="n">
        <v>46339</v>
      </c>
    </row>
    <row r="272">
      <c r="D272" s="36" t="inlineStr">
        <is>
          <t>Station J Town</t>
        </is>
      </c>
      <c r="E272" s="54" t="inlineStr">
        <is>
          <t>I13</t>
        </is>
      </c>
      <c r="F272" s="54" t="inlineStr">
        <is>
          <t>stjt2B1R</t>
        </is>
      </c>
      <c r="G272" s="54" t="inlineStr">
        <is>
          <t>2 BD / 1 BA</t>
        </is>
      </c>
      <c r="I272" s="54" t="inlineStr">
        <is>
          <t>Yes</t>
        </is>
      </c>
      <c r="J272" s="54" t="inlineStr">
        <is>
          <t>Full</t>
        </is>
      </c>
      <c r="K272" s="36" t="inlineStr">
        <is>
          <t>Lynnette Woods</t>
        </is>
      </c>
      <c r="L272" s="55" t="n">
        <v>950</v>
      </c>
      <c r="M272" s="56" t="n">
        <v>2</v>
      </c>
      <c r="N272" s="56" t="n">
        <v>1</v>
      </c>
      <c r="Q272" s="57" t="inlineStr">
        <is>
          <t>Occ</t>
        </is>
      </c>
      <c r="U272" s="58" t="n">
        <v>1120</v>
      </c>
      <c r="V272" s="58" t="n">
        <v>1050</v>
      </c>
      <c r="W272" s="58" t="n">
        <v>0</v>
      </c>
      <c r="X272" s="58" t="n">
        <v>0</v>
      </c>
      <c r="Y272" s="58" t="n">
        <v>0</v>
      </c>
      <c r="Z272" s="59" t="n">
        <v>45009</v>
      </c>
      <c r="AA272" s="59" t="n">
        <v>45009</v>
      </c>
      <c r="AB272" s="59" t="n">
        <v>46866</v>
      </c>
    </row>
    <row r="273">
      <c r="D273" s="36" t="inlineStr">
        <is>
          <t>Station J Town</t>
        </is>
      </c>
      <c r="E273" s="54" t="inlineStr">
        <is>
          <t>I14</t>
        </is>
      </c>
      <c r="F273" s="54" t="inlineStr">
        <is>
          <t>stjt2B1R</t>
        </is>
      </c>
      <c r="G273" s="54" t="inlineStr">
        <is>
          <t>2 BD / 1 BA</t>
        </is>
      </c>
      <c r="I273" s="54" t="inlineStr">
        <is>
          <t>Yes</t>
        </is>
      </c>
      <c r="J273" s="54" t="inlineStr">
        <is>
          <t>Full</t>
        </is>
      </c>
      <c r="K273" s="36" t="inlineStr">
        <is>
          <t>Evan Hunt</t>
        </is>
      </c>
      <c r="L273" s="55" t="n">
        <v>950</v>
      </c>
      <c r="M273" s="56" t="n">
        <v>2</v>
      </c>
      <c r="N273" s="56" t="n">
        <v>1</v>
      </c>
      <c r="Q273" s="57" t="inlineStr">
        <is>
          <t>Occ</t>
        </is>
      </c>
      <c r="U273" s="58" t="n">
        <v>1120</v>
      </c>
      <c r="V273" s="58" t="n">
        <v>1045</v>
      </c>
      <c r="W273" s="58" t="n">
        <v>0</v>
      </c>
      <c r="X273" s="58" t="n">
        <v>0</v>
      </c>
      <c r="Y273" s="58" t="n">
        <v>0</v>
      </c>
      <c r="Z273" s="59" t="n">
        <v>45807</v>
      </c>
      <c r="AA273" s="59" t="n">
        <v>45807</v>
      </c>
      <c r="AB273" s="59" t="n">
        <v>46171</v>
      </c>
    </row>
    <row r="274">
      <c r="D274" s="36" t="inlineStr">
        <is>
          <t>Station J Town</t>
        </is>
      </c>
      <c r="E274" s="54" t="inlineStr">
        <is>
          <t>I15</t>
        </is>
      </c>
      <c r="F274" s="54" t="inlineStr">
        <is>
          <t>stjt2B1R</t>
        </is>
      </c>
      <c r="G274" s="54" t="inlineStr">
        <is>
          <t>2 BD / 1 BA</t>
        </is>
      </c>
      <c r="I274" s="54" t="inlineStr">
        <is>
          <t>Yes</t>
        </is>
      </c>
      <c r="J274" s="54" t="inlineStr">
        <is>
          <t>Full</t>
        </is>
      </c>
      <c r="K274" s="36" t="inlineStr">
        <is>
          <t>Nicole Scheer</t>
        </is>
      </c>
      <c r="L274" s="55" t="n">
        <v>950</v>
      </c>
      <c r="M274" s="56" t="n">
        <v>2</v>
      </c>
      <c r="N274" s="56" t="n">
        <v>1</v>
      </c>
      <c r="Q274" s="57" t="inlineStr">
        <is>
          <t>Occ</t>
        </is>
      </c>
      <c r="U274" s="58" t="n">
        <v>1120</v>
      </c>
      <c r="V274" s="58" t="n">
        <v>995</v>
      </c>
      <c r="W274" s="58" t="n">
        <v>0</v>
      </c>
      <c r="X274" s="58" t="n">
        <v>0</v>
      </c>
      <c r="Y274" s="58" t="n">
        <v>0</v>
      </c>
      <c r="Z274" s="59" t="n">
        <v>45954</v>
      </c>
      <c r="AA274" s="59" t="n">
        <v>45954</v>
      </c>
      <c r="AB274" s="59" t="n">
        <v>46318</v>
      </c>
    </row>
    <row r="275">
      <c r="D275" s="36" t="inlineStr">
        <is>
          <t>Station J Town</t>
        </is>
      </c>
      <c r="E275" s="54" t="inlineStr">
        <is>
          <t>I16</t>
        </is>
      </c>
      <c r="F275" s="54" t="inlineStr">
        <is>
          <t>stjt2B1R</t>
        </is>
      </c>
      <c r="G275" s="54" t="inlineStr">
        <is>
          <t>2 BD / 1 BA</t>
        </is>
      </c>
      <c r="I275" s="54" t="inlineStr">
        <is>
          <t>Yes</t>
        </is>
      </c>
      <c r="J275" s="54" t="inlineStr">
        <is>
          <t>Full</t>
        </is>
      </c>
      <c r="K275" s="36" t="inlineStr">
        <is>
          <t>Jasmine Sowell</t>
        </is>
      </c>
      <c r="L275" s="55" t="n">
        <v>950</v>
      </c>
      <c r="M275" s="56" t="n">
        <v>2</v>
      </c>
      <c r="N275" s="56" t="n">
        <v>1</v>
      </c>
      <c r="Q275" s="57" t="inlineStr">
        <is>
          <t>Occ</t>
        </is>
      </c>
      <c r="U275" s="58" t="n">
        <v>1120</v>
      </c>
      <c r="V275" s="58" t="n">
        <v>1035</v>
      </c>
      <c r="W275" s="58" t="n">
        <v>0</v>
      </c>
      <c r="X275" s="58" t="n">
        <v>0</v>
      </c>
      <c r="Y275" s="58" t="n">
        <v>0</v>
      </c>
      <c r="Z275" s="59" t="n">
        <v>45406</v>
      </c>
      <c r="AA275" s="59" t="n">
        <v>45406</v>
      </c>
      <c r="AB275" s="59" t="n">
        <v>46500</v>
      </c>
    </row>
    <row r="276">
      <c r="D276" s="36" t="inlineStr">
        <is>
          <t>Station J Town</t>
        </is>
      </c>
      <c r="E276" s="54" t="inlineStr">
        <is>
          <t>I17</t>
        </is>
      </c>
      <c r="F276" s="54" t="inlineStr">
        <is>
          <t>stjt2B1R</t>
        </is>
      </c>
      <c r="G276" s="54" t="inlineStr">
        <is>
          <t>2 BD / 1 BA</t>
        </is>
      </c>
      <c r="I276" s="54" t="inlineStr">
        <is>
          <t>Yes</t>
        </is>
      </c>
      <c r="J276" s="54" t="inlineStr">
        <is>
          <t>Full</t>
        </is>
      </c>
      <c r="K276" s="36" t="inlineStr">
        <is>
          <t>Sophia Vincent</t>
        </is>
      </c>
      <c r="L276" s="55" t="n">
        <v>950</v>
      </c>
      <c r="M276" s="56" t="n">
        <v>2</v>
      </c>
      <c r="N276" s="56" t="n">
        <v>1</v>
      </c>
      <c r="Q276" s="57" t="inlineStr">
        <is>
          <t>Occ</t>
        </is>
      </c>
      <c r="U276" s="58" t="n">
        <v>1135</v>
      </c>
      <c r="V276" s="58" t="n">
        <v>1060</v>
      </c>
      <c r="W276" s="58" t="n">
        <v>0</v>
      </c>
      <c r="X276" s="58" t="n">
        <v>0</v>
      </c>
      <c r="Y276" s="58" t="n">
        <v>0</v>
      </c>
      <c r="Z276" s="59" t="n">
        <v>45514</v>
      </c>
      <c r="AA276" s="59" t="n">
        <v>45514</v>
      </c>
      <c r="AB276" s="59" t="n">
        <v>46243</v>
      </c>
    </row>
    <row r="277">
      <c r="D277" s="36" t="inlineStr">
        <is>
          <t>Station J Town</t>
        </is>
      </c>
      <c r="E277" s="54" t="inlineStr">
        <is>
          <t>I18</t>
        </is>
      </c>
      <c r="F277" s="54" t="inlineStr">
        <is>
          <t>stjt2B1R</t>
        </is>
      </c>
      <c r="G277" s="54" t="inlineStr">
        <is>
          <t>2 BD / 1 BA</t>
        </is>
      </c>
      <c r="I277" s="54" t="inlineStr">
        <is>
          <t>Yes</t>
        </is>
      </c>
      <c r="J277" s="54" t="inlineStr">
        <is>
          <t>Full</t>
        </is>
      </c>
      <c r="K277" s="36" t="inlineStr">
        <is>
          <t>Alexander Slade</t>
        </is>
      </c>
      <c r="L277" s="55" t="n">
        <v>950</v>
      </c>
      <c r="M277" s="56" t="n">
        <v>2</v>
      </c>
      <c r="N277" s="56" t="n">
        <v>1</v>
      </c>
      <c r="Q277" s="57" t="inlineStr">
        <is>
          <t>Occ</t>
        </is>
      </c>
      <c r="U277" s="58" t="n">
        <v>1135</v>
      </c>
      <c r="V277" s="58" t="n">
        <v>1065</v>
      </c>
      <c r="W277" s="58" t="n">
        <v>0</v>
      </c>
      <c r="X277" s="58" t="n">
        <v>0</v>
      </c>
      <c r="Y277" s="58" t="n">
        <v>0</v>
      </c>
      <c r="Z277" s="59" t="n">
        <v>45009</v>
      </c>
      <c r="AA277" s="59" t="n">
        <v>45009</v>
      </c>
      <c r="AB277" s="59" t="n">
        <v>46866</v>
      </c>
    </row>
    <row r="278">
      <c r="D278" s="36" t="inlineStr">
        <is>
          <t>Station J Town</t>
        </is>
      </c>
      <c r="E278" s="54" t="inlineStr">
        <is>
          <t>I19</t>
        </is>
      </c>
      <c r="F278" s="54" t="inlineStr">
        <is>
          <t>stjt2B1R</t>
        </is>
      </c>
      <c r="G278" s="54" t="inlineStr">
        <is>
          <t>2 BD / 1 BA</t>
        </is>
      </c>
      <c r="I278" s="54" t="inlineStr">
        <is>
          <t>Yes</t>
        </is>
      </c>
      <c r="J278" s="54" t="inlineStr">
        <is>
          <t>Full</t>
        </is>
      </c>
      <c r="K278" s="36" t="inlineStr">
        <is>
          <t>Marki Barks</t>
        </is>
      </c>
      <c r="L278" s="55" t="n">
        <v>950</v>
      </c>
      <c r="M278" s="56" t="n">
        <v>2</v>
      </c>
      <c r="N278" s="56" t="n">
        <v>1</v>
      </c>
      <c r="Q278" s="57" t="inlineStr">
        <is>
          <t>Occ</t>
        </is>
      </c>
      <c r="U278" s="58" t="n">
        <v>1135</v>
      </c>
      <c r="V278" s="58" t="n">
        <v>1060</v>
      </c>
      <c r="W278" s="58" t="n">
        <v>0</v>
      </c>
      <c r="X278" s="58" t="n">
        <v>0</v>
      </c>
      <c r="Y278" s="58" t="n">
        <v>0</v>
      </c>
      <c r="Z278" s="59" t="n">
        <v>45639</v>
      </c>
      <c r="AA278" s="59" t="n">
        <v>45639</v>
      </c>
      <c r="AB278" s="59" t="n">
        <v>46185</v>
      </c>
    </row>
    <row r="279">
      <c r="D279" s="36" t="inlineStr">
        <is>
          <t>Station J Town</t>
        </is>
      </c>
      <c r="E279" s="54" t="inlineStr">
        <is>
          <t>I20</t>
        </is>
      </c>
      <c r="F279" s="54" t="inlineStr">
        <is>
          <t>stjt2B1</t>
        </is>
      </c>
      <c r="G279" s="54" t="inlineStr">
        <is>
          <t>2 BD / 1 BA</t>
        </is>
      </c>
      <c r="K279" s="36" t="inlineStr">
        <is>
          <t>Claribel Henriquez Pena</t>
        </is>
      </c>
      <c r="L279" s="55" t="n">
        <v>950</v>
      </c>
      <c r="M279" s="56" t="n">
        <v>2</v>
      </c>
      <c r="N279" s="56" t="n">
        <v>1</v>
      </c>
      <c r="Q279" s="57" t="inlineStr">
        <is>
          <t>Occ</t>
        </is>
      </c>
      <c r="U279" s="58" t="n">
        <v>1035</v>
      </c>
      <c r="V279" s="58" t="n">
        <v>925</v>
      </c>
      <c r="W279" s="58" t="n">
        <v>0</v>
      </c>
      <c r="X279" s="58" t="n">
        <v>0</v>
      </c>
      <c r="Y279" s="58" t="n">
        <v>0</v>
      </c>
      <c r="Z279" s="59" t="n">
        <v>45968</v>
      </c>
      <c r="AA279" s="59" t="n">
        <v>45968</v>
      </c>
      <c r="AB279" s="59" t="n">
        <v>46513</v>
      </c>
    </row>
    <row r="280">
      <c r="D280" s="36" t="inlineStr">
        <is>
          <t>Station J Town</t>
        </is>
      </c>
      <c r="E280" s="54" t="inlineStr">
        <is>
          <t>I21</t>
        </is>
      </c>
      <c r="F280" s="54" t="inlineStr">
        <is>
          <t>stjt2B1R</t>
        </is>
      </c>
      <c r="G280" s="54" t="inlineStr">
        <is>
          <t>2 BD / 1 BA</t>
        </is>
      </c>
      <c r="I280" s="54" t="inlineStr">
        <is>
          <t>Yes</t>
        </is>
      </c>
      <c r="J280" s="54" t="inlineStr">
        <is>
          <t>Full</t>
        </is>
      </c>
      <c r="K280" s="36" t="inlineStr">
        <is>
          <t>Bryce Dillard</t>
        </is>
      </c>
      <c r="L280" s="55" t="n">
        <v>950</v>
      </c>
      <c r="M280" s="56" t="n">
        <v>2</v>
      </c>
      <c r="N280" s="56" t="n">
        <v>1</v>
      </c>
      <c r="Q280" s="57" t="inlineStr">
        <is>
          <t>Occ</t>
        </is>
      </c>
      <c r="U280" s="58" t="n">
        <v>1135</v>
      </c>
      <c r="V280" s="58" t="n">
        <v>1050</v>
      </c>
      <c r="W280" s="58" t="n">
        <v>0</v>
      </c>
      <c r="X280" s="58" t="n">
        <v>0</v>
      </c>
      <c r="Y280" s="58" t="n">
        <v>0</v>
      </c>
      <c r="Z280" s="59" t="n">
        <v>44732</v>
      </c>
      <c r="AA280" s="59" t="n">
        <v>44732</v>
      </c>
      <c r="AB280" s="59" t="n">
        <v>46205</v>
      </c>
    </row>
    <row r="281">
      <c r="D281" s="36" t="inlineStr">
        <is>
          <t>Station J Town</t>
        </is>
      </c>
      <c r="E281" s="54" t="inlineStr">
        <is>
          <t>I22</t>
        </is>
      </c>
      <c r="F281" s="54" t="inlineStr">
        <is>
          <t>stjt2B1</t>
        </is>
      </c>
      <c r="G281" s="54" t="inlineStr">
        <is>
          <t>2 BD / 1 BA</t>
        </is>
      </c>
      <c r="K281" s="36" t="inlineStr">
        <is>
          <t>yariah armstrong</t>
        </is>
      </c>
      <c r="L281" s="55" t="n">
        <v>950</v>
      </c>
      <c r="M281" s="56" t="n">
        <v>2</v>
      </c>
      <c r="N281" s="56" t="n">
        <v>1</v>
      </c>
      <c r="Q281" s="57" t="inlineStr">
        <is>
          <t>Occ</t>
        </is>
      </c>
      <c r="U281" s="58" t="n">
        <v>1035</v>
      </c>
      <c r="V281" s="58" t="n">
        <v>1000</v>
      </c>
      <c r="W281" s="58" t="n">
        <v>0</v>
      </c>
      <c r="X281" s="58" t="n">
        <v>0</v>
      </c>
      <c r="Y281" s="58" t="n">
        <v>0</v>
      </c>
      <c r="Z281" s="59" t="n">
        <v>45440</v>
      </c>
      <c r="AA281" s="59" t="n">
        <v>45440</v>
      </c>
      <c r="AB281" s="59" t="n">
        <v>46169</v>
      </c>
    </row>
    <row r="282">
      <c r="D282" s="36" t="inlineStr">
        <is>
          <t>Station J Town</t>
        </is>
      </c>
      <c r="E282" s="54" t="inlineStr">
        <is>
          <t>I23</t>
        </is>
      </c>
      <c r="F282" s="54" t="inlineStr">
        <is>
          <t>stjt2B1R</t>
        </is>
      </c>
      <c r="G282" s="54" t="inlineStr">
        <is>
          <t>2 BD / 1 BA</t>
        </is>
      </c>
      <c r="I282" s="54" t="inlineStr">
        <is>
          <t>Yes</t>
        </is>
      </c>
      <c r="J282" s="54" t="inlineStr">
        <is>
          <t>Full</t>
        </is>
      </c>
      <c r="K282" s="36" t="inlineStr">
        <is>
          <t>Andrew Cooper</t>
        </is>
      </c>
      <c r="L282" s="55" t="n">
        <v>950</v>
      </c>
      <c r="M282" s="56" t="n">
        <v>2</v>
      </c>
      <c r="N282" s="56" t="n">
        <v>1</v>
      </c>
      <c r="Q282" s="57" t="inlineStr">
        <is>
          <t>Occ</t>
        </is>
      </c>
      <c r="U282" s="58" t="n">
        <v>1135</v>
      </c>
      <c r="V282" s="58" t="n">
        <v>1008</v>
      </c>
      <c r="W282" s="58" t="n">
        <v>0</v>
      </c>
      <c r="X282" s="58" t="n">
        <v>0</v>
      </c>
      <c r="Y282" s="58" t="n">
        <v>0</v>
      </c>
      <c r="Z282" s="59" t="n">
        <v>46064</v>
      </c>
      <c r="AA282" s="59" t="n">
        <v>46064</v>
      </c>
      <c r="AB282" s="59" t="n">
        <v>46428</v>
      </c>
    </row>
    <row r="283">
      <c r="D283" s="36" t="inlineStr">
        <is>
          <t>Station J Town</t>
        </is>
      </c>
      <c r="E283" s="54" t="inlineStr">
        <is>
          <t>I24</t>
        </is>
      </c>
      <c r="F283" s="54" t="inlineStr">
        <is>
          <t>stjt2B1R</t>
        </is>
      </c>
      <c r="G283" s="54" t="inlineStr">
        <is>
          <t>2 BD / 1 BA</t>
        </is>
      </c>
      <c r="I283" s="54" t="inlineStr">
        <is>
          <t>Yes</t>
        </is>
      </c>
      <c r="J283" s="54" t="inlineStr">
        <is>
          <t>Full</t>
        </is>
      </c>
      <c r="K283" s="36" t="inlineStr">
        <is>
          <t>Gricelda Santiago Galindo</t>
        </is>
      </c>
      <c r="L283" s="55" t="n">
        <v>950</v>
      </c>
      <c r="M283" s="56" t="n">
        <v>2</v>
      </c>
      <c r="N283" s="56" t="n">
        <v>1</v>
      </c>
      <c r="Q283" s="57" t="inlineStr">
        <is>
          <t>Occ</t>
        </is>
      </c>
      <c r="U283" s="58" t="n">
        <v>1135</v>
      </c>
      <c r="V283" s="58" t="n">
        <v>1135</v>
      </c>
      <c r="W283" s="58" t="n">
        <v>0</v>
      </c>
      <c r="X283" s="58" t="n">
        <v>0</v>
      </c>
      <c r="Y283" s="58" t="n">
        <v>0</v>
      </c>
      <c r="Z283" s="59" t="n">
        <v>46139</v>
      </c>
      <c r="AA283" s="59" t="n">
        <v>46139</v>
      </c>
      <c r="AB283" s="59" t="n">
        <v>46564</v>
      </c>
    </row>
    <row r="284">
      <c r="D284" s="36" t="inlineStr">
        <is>
          <t>Station J Town</t>
        </is>
      </c>
      <c r="E284" s="54" t="inlineStr">
        <is>
          <t>J01</t>
        </is>
      </c>
      <c r="F284" s="54" t="inlineStr">
        <is>
          <t>stjt2B1</t>
        </is>
      </c>
      <c r="G284" s="54" t="inlineStr">
        <is>
          <t>2 BD / 1 BA</t>
        </is>
      </c>
      <c r="K284" s="36" t="inlineStr">
        <is>
          <t>VACANT</t>
        </is>
      </c>
      <c r="L284" s="55" t="n">
        <v>950</v>
      </c>
      <c r="M284" s="56" t="n">
        <v>2</v>
      </c>
      <c r="N284" s="56" t="n">
        <v>1</v>
      </c>
      <c r="Q284" s="57" t="inlineStr">
        <is>
          <t>Vac</t>
        </is>
      </c>
      <c r="U284" s="58" t="n">
        <v>965</v>
      </c>
      <c r="V284" s="58" t="n">
        <v>0</v>
      </c>
      <c r="W284" s="58" t="n">
        <v>0</v>
      </c>
      <c r="X284" s="58" t="n">
        <v>0</v>
      </c>
      <c r="Y284" s="58" t="n">
        <v>0</v>
      </c>
    </row>
    <row r="285">
      <c r="D285" s="36" t="inlineStr">
        <is>
          <t>Station J Town</t>
        </is>
      </c>
      <c r="E285" s="54" t="inlineStr">
        <is>
          <t>J02</t>
        </is>
      </c>
      <c r="F285" s="54" t="inlineStr">
        <is>
          <t>stjt2A1</t>
        </is>
      </c>
      <c r="G285" s="54" t="inlineStr">
        <is>
          <t>1 BD / 1 BA</t>
        </is>
      </c>
      <c r="K285" s="36" t="inlineStr">
        <is>
          <t>Crystal Titchenell</t>
        </is>
      </c>
      <c r="L285" s="55" t="n">
        <v>850</v>
      </c>
      <c r="M285" s="56" t="n">
        <v>1</v>
      </c>
      <c r="N285" s="56" t="n">
        <v>1</v>
      </c>
      <c r="Q285" s="57" t="inlineStr">
        <is>
          <t>Occ</t>
        </is>
      </c>
      <c r="U285" s="58" t="n">
        <v>975</v>
      </c>
      <c r="V285" s="58" t="n">
        <v>950</v>
      </c>
      <c r="W285" s="58" t="n">
        <v>0</v>
      </c>
      <c r="X285" s="58" t="n">
        <v>0</v>
      </c>
      <c r="Y285" s="58" t="n">
        <v>0</v>
      </c>
      <c r="Z285" s="59" t="n">
        <v>45539</v>
      </c>
      <c r="AA285" s="59" t="n">
        <v>45539</v>
      </c>
      <c r="AB285" s="59" t="n">
        <v>46268</v>
      </c>
    </row>
    <row r="286">
      <c r="D286" s="36" t="inlineStr">
        <is>
          <t>Station J Town</t>
        </is>
      </c>
      <c r="E286" s="54" t="inlineStr">
        <is>
          <t>J03</t>
        </is>
      </c>
      <c r="F286" s="54" t="inlineStr">
        <is>
          <t>stjt2B1</t>
        </is>
      </c>
      <c r="G286" s="54" t="inlineStr">
        <is>
          <t>2 BD / 1 BA</t>
        </is>
      </c>
      <c r="K286" s="36" t="inlineStr">
        <is>
          <t>Ella Long</t>
        </is>
      </c>
      <c r="L286" s="55" t="n">
        <v>950</v>
      </c>
      <c r="M286" s="56" t="n">
        <v>2</v>
      </c>
      <c r="N286" s="56" t="n">
        <v>1</v>
      </c>
      <c r="Q286" s="57" t="inlineStr">
        <is>
          <t>Occ</t>
        </is>
      </c>
      <c r="U286" s="58" t="n">
        <v>1085</v>
      </c>
      <c r="V286" s="58" t="n">
        <v>1015</v>
      </c>
      <c r="W286" s="58" t="n">
        <v>0</v>
      </c>
      <c r="X286" s="58" t="n">
        <v>0</v>
      </c>
      <c r="Y286" s="58" t="n">
        <v>0</v>
      </c>
      <c r="Z286" s="59" t="n">
        <v>46052</v>
      </c>
      <c r="AA286" s="59" t="n">
        <v>46052</v>
      </c>
      <c r="AB286" s="59" t="n">
        <v>46416</v>
      </c>
    </row>
    <row r="287">
      <c r="D287" s="36" t="inlineStr">
        <is>
          <t>Station J Town</t>
        </is>
      </c>
      <c r="E287" s="54" t="inlineStr">
        <is>
          <t>J04</t>
        </is>
      </c>
      <c r="F287" s="54" t="inlineStr">
        <is>
          <t>stjt2A1</t>
        </is>
      </c>
      <c r="G287" s="54" t="inlineStr">
        <is>
          <t>1 BD / 1 BA</t>
        </is>
      </c>
      <c r="K287" s="36" t="inlineStr">
        <is>
          <t>Fredrick Howard</t>
        </is>
      </c>
      <c r="L287" s="55" t="n">
        <v>850</v>
      </c>
      <c r="M287" s="56" t="n">
        <v>1</v>
      </c>
      <c r="N287" s="56" t="n">
        <v>1</v>
      </c>
      <c r="Q287" s="57" t="inlineStr">
        <is>
          <t>Occ</t>
        </is>
      </c>
      <c r="U287" s="58" t="n">
        <v>975</v>
      </c>
      <c r="V287" s="58" t="n">
        <v>830</v>
      </c>
      <c r="W287" s="58" t="n">
        <v>0</v>
      </c>
      <c r="X287" s="58" t="n">
        <v>0</v>
      </c>
      <c r="Y287" s="58" t="n">
        <v>0</v>
      </c>
      <c r="Z287" s="59" t="n">
        <v>44652</v>
      </c>
      <c r="AA287" s="59" t="n">
        <v>44652</v>
      </c>
      <c r="AB287" s="59" t="n">
        <v>46142</v>
      </c>
    </row>
    <row r="288">
      <c r="D288" s="36" t="inlineStr">
        <is>
          <t>Station J Town</t>
        </is>
      </c>
      <c r="E288" s="54" t="inlineStr">
        <is>
          <t>J05</t>
        </is>
      </c>
      <c r="F288" s="54" t="inlineStr">
        <is>
          <t>stjt2B1R</t>
        </is>
      </c>
      <c r="G288" s="54" t="inlineStr">
        <is>
          <t>2 BD / 1 BA</t>
        </is>
      </c>
      <c r="I288" s="54" t="inlineStr">
        <is>
          <t>Yes</t>
        </is>
      </c>
      <c r="J288" s="54" t="inlineStr">
        <is>
          <t>Full</t>
        </is>
      </c>
      <c r="K288" s="36" t="inlineStr">
        <is>
          <t>Darius Little</t>
        </is>
      </c>
      <c r="L288" s="55" t="n">
        <v>950</v>
      </c>
      <c r="M288" s="56" t="n">
        <v>2</v>
      </c>
      <c r="N288" s="56" t="n">
        <v>1</v>
      </c>
      <c r="Q288" s="57" t="inlineStr">
        <is>
          <t>Occ</t>
        </is>
      </c>
      <c r="U288" s="58" t="n">
        <v>1135</v>
      </c>
      <c r="V288" s="58" t="n">
        <v>1125</v>
      </c>
      <c r="W288" s="58" t="n">
        <v>0</v>
      </c>
      <c r="X288" s="58" t="n">
        <v>0</v>
      </c>
      <c r="Y288" s="58" t="n">
        <v>0</v>
      </c>
      <c r="Z288" s="59" t="n">
        <v>46104</v>
      </c>
      <c r="AA288" s="59" t="n">
        <v>46104</v>
      </c>
      <c r="AB288" s="59" t="n">
        <v>46468</v>
      </c>
    </row>
    <row r="289">
      <c r="D289" s="36" t="inlineStr">
        <is>
          <t>Station J Town</t>
        </is>
      </c>
      <c r="E289" s="54" t="inlineStr">
        <is>
          <t>J06</t>
        </is>
      </c>
      <c r="F289" s="54" t="inlineStr">
        <is>
          <t>stjt2A1</t>
        </is>
      </c>
      <c r="G289" s="54" t="inlineStr">
        <is>
          <t>1 BD / 1 BA</t>
        </is>
      </c>
      <c r="K289" s="36" t="inlineStr">
        <is>
          <t>Jordan Smith</t>
        </is>
      </c>
      <c r="L289" s="55" t="n">
        <v>850</v>
      </c>
      <c r="M289" s="56" t="n">
        <v>1</v>
      </c>
      <c r="N289" s="56" t="n">
        <v>1</v>
      </c>
      <c r="Q289" s="57" t="inlineStr">
        <is>
          <t>Occ</t>
        </is>
      </c>
      <c r="U289" s="58" t="n">
        <v>1010</v>
      </c>
      <c r="V289" s="58" t="n">
        <v>910</v>
      </c>
      <c r="W289" s="58" t="n">
        <v>0</v>
      </c>
      <c r="X289" s="58" t="n">
        <v>0</v>
      </c>
      <c r="Y289" s="58" t="n">
        <v>0</v>
      </c>
      <c r="Z289" s="59" t="n">
        <v>45463</v>
      </c>
      <c r="AA289" s="59" t="n">
        <v>45463</v>
      </c>
      <c r="AB289" s="59" t="n">
        <v>46192</v>
      </c>
    </row>
    <row r="290">
      <c r="D290" s="36" t="inlineStr">
        <is>
          <t>Station J Town</t>
        </is>
      </c>
      <c r="E290" s="54" t="inlineStr">
        <is>
          <t>J07</t>
        </is>
      </c>
      <c r="F290" s="54" t="inlineStr">
        <is>
          <t>stjt2B1R</t>
        </is>
      </c>
      <c r="G290" s="54" t="inlineStr">
        <is>
          <t>2 BD / 1 BA</t>
        </is>
      </c>
      <c r="I290" s="54" t="inlineStr">
        <is>
          <t>Yes</t>
        </is>
      </c>
      <c r="J290" s="54" t="inlineStr">
        <is>
          <t>Full</t>
        </is>
      </c>
      <c r="K290" s="36" t="inlineStr">
        <is>
          <t>Rafael Gurrola</t>
        </is>
      </c>
      <c r="L290" s="55" t="n">
        <v>950</v>
      </c>
      <c r="M290" s="56" t="n">
        <v>2</v>
      </c>
      <c r="N290" s="56" t="n">
        <v>1</v>
      </c>
      <c r="Q290" s="57" t="inlineStr">
        <is>
          <t>Occ</t>
        </is>
      </c>
      <c r="U290" s="58" t="n">
        <v>1135</v>
      </c>
      <c r="V290" s="58" t="n">
        <v>1110</v>
      </c>
      <c r="W290" s="58" t="n">
        <v>0</v>
      </c>
      <c r="X290" s="58" t="n">
        <v>0</v>
      </c>
      <c r="Y290" s="58" t="n">
        <v>0</v>
      </c>
      <c r="Z290" s="59" t="n">
        <v>45686</v>
      </c>
      <c r="AA290" s="59" t="n">
        <v>45686</v>
      </c>
      <c r="AB290" s="59" t="n">
        <v>46165</v>
      </c>
    </row>
    <row r="291">
      <c r="D291" s="36" t="inlineStr">
        <is>
          <t>Station J Town</t>
        </is>
      </c>
      <c r="E291" s="54" t="inlineStr">
        <is>
          <t>J08</t>
        </is>
      </c>
      <c r="F291" s="54" t="inlineStr">
        <is>
          <t>stjt2A1</t>
        </is>
      </c>
      <c r="G291" s="54" t="inlineStr">
        <is>
          <t>1 BD / 1 BA</t>
        </is>
      </c>
      <c r="K291" s="36" t="inlineStr">
        <is>
          <t>VACANT</t>
        </is>
      </c>
      <c r="L291" s="55" t="n">
        <v>850</v>
      </c>
      <c r="M291" s="56" t="n">
        <v>1</v>
      </c>
      <c r="N291" s="56" t="n">
        <v>1</v>
      </c>
      <c r="Q291" s="57" t="inlineStr">
        <is>
          <t>Vac</t>
        </is>
      </c>
      <c r="U291" s="58" t="n">
        <v>990</v>
      </c>
      <c r="V291" s="58" t="n">
        <v>0</v>
      </c>
      <c r="W291" s="58" t="n">
        <v>0</v>
      </c>
      <c r="X291" s="58" t="n">
        <v>0</v>
      </c>
      <c r="Y291" s="58" t="n">
        <v>0</v>
      </c>
    </row>
    <row r="292">
      <c r="D292" s="36" t="inlineStr">
        <is>
          <t>Station J Town</t>
        </is>
      </c>
      <c r="E292" s="54" t="inlineStr">
        <is>
          <t>J09</t>
        </is>
      </c>
      <c r="F292" s="54" t="inlineStr">
        <is>
          <t>stjt2B1</t>
        </is>
      </c>
      <c r="G292" s="54" t="inlineStr">
        <is>
          <t>2 BD / 1 BA</t>
        </is>
      </c>
      <c r="K292" s="36" t="inlineStr">
        <is>
          <t>Armando Torres Torres</t>
        </is>
      </c>
      <c r="L292" s="55" t="n">
        <v>950</v>
      </c>
      <c r="M292" s="56" t="n">
        <v>2</v>
      </c>
      <c r="N292" s="56" t="n">
        <v>1</v>
      </c>
      <c r="Q292" s="57" t="inlineStr">
        <is>
          <t>Occ</t>
        </is>
      </c>
      <c r="U292" s="58" t="n">
        <v>1035</v>
      </c>
      <c r="V292" s="58" t="n">
        <v>1044</v>
      </c>
      <c r="W292" s="58" t="n">
        <v>0</v>
      </c>
      <c r="X292" s="58" t="n">
        <v>0</v>
      </c>
      <c r="Y292" s="58" t="n">
        <v>0</v>
      </c>
      <c r="Z292" s="59" t="n">
        <v>45590</v>
      </c>
      <c r="AA292" s="59" t="n">
        <v>45590</v>
      </c>
      <c r="AB292" s="59" t="n">
        <v>46319</v>
      </c>
    </row>
    <row r="293">
      <c r="D293" s="36" t="inlineStr">
        <is>
          <t>Station J Town</t>
        </is>
      </c>
      <c r="E293" s="54" t="inlineStr">
        <is>
          <t>J10</t>
        </is>
      </c>
      <c r="F293" s="54" t="inlineStr">
        <is>
          <t>stjt2A1R</t>
        </is>
      </c>
      <c r="G293" s="54" t="inlineStr">
        <is>
          <t>1 BD / 1 BA</t>
        </is>
      </c>
      <c r="I293" s="54" t="inlineStr">
        <is>
          <t>Yes</t>
        </is>
      </c>
      <c r="J293" s="54" t="inlineStr">
        <is>
          <t>Full</t>
        </is>
      </c>
      <c r="K293" s="36" t="inlineStr">
        <is>
          <t>Joel Swiatkowski</t>
        </is>
      </c>
      <c r="L293" s="55" t="n">
        <v>850</v>
      </c>
      <c r="M293" s="56" t="n">
        <v>1</v>
      </c>
      <c r="N293" s="56" t="n">
        <v>1</v>
      </c>
      <c r="Q293" s="57" t="inlineStr">
        <is>
          <t>Occ</t>
        </is>
      </c>
      <c r="U293" s="58" t="n">
        <v>1055</v>
      </c>
      <c r="V293" s="58" t="n">
        <v>1015</v>
      </c>
      <c r="W293" s="58" t="n">
        <v>0</v>
      </c>
      <c r="X293" s="58" t="n">
        <v>0</v>
      </c>
      <c r="Y293" s="58" t="n">
        <v>0</v>
      </c>
      <c r="Z293" s="59" t="n">
        <v>45688</v>
      </c>
      <c r="AA293" s="59" t="n">
        <v>45688</v>
      </c>
      <c r="AB293" s="59" t="n">
        <v>46233</v>
      </c>
    </row>
    <row r="294">
      <c r="D294" s="36" t="inlineStr">
        <is>
          <t>Station J Town</t>
        </is>
      </c>
      <c r="E294" s="54" t="inlineStr">
        <is>
          <t>J11</t>
        </is>
      </c>
      <c r="F294" s="54" t="inlineStr">
        <is>
          <t>stjt2B1R</t>
        </is>
      </c>
      <c r="G294" s="54" t="inlineStr">
        <is>
          <t>2 BD / 1 BA</t>
        </is>
      </c>
      <c r="I294" s="54" t="inlineStr">
        <is>
          <t>Yes</t>
        </is>
      </c>
      <c r="J294" s="54" t="inlineStr">
        <is>
          <t>Full</t>
        </is>
      </c>
      <c r="K294" s="36" t="inlineStr">
        <is>
          <t>Kyla Smith</t>
        </is>
      </c>
      <c r="L294" s="55" t="n">
        <v>950</v>
      </c>
      <c r="M294" s="56" t="n">
        <v>2</v>
      </c>
      <c r="N294" s="56" t="n">
        <v>1</v>
      </c>
      <c r="Q294" s="57" t="inlineStr">
        <is>
          <t>Occ</t>
        </is>
      </c>
      <c r="U294" s="58" t="n">
        <v>1135</v>
      </c>
      <c r="V294" s="58" t="n">
        <v>1075</v>
      </c>
      <c r="W294" s="58" t="n">
        <v>0</v>
      </c>
      <c r="X294" s="58" t="n">
        <v>0</v>
      </c>
      <c r="Y294" s="58" t="n">
        <v>0</v>
      </c>
      <c r="Z294" s="59" t="n">
        <v>45920</v>
      </c>
      <c r="AA294" s="59" t="n">
        <v>45920</v>
      </c>
      <c r="AB294" s="59" t="n">
        <v>46465</v>
      </c>
    </row>
    <row r="295">
      <c r="D295" s="36" t="inlineStr">
        <is>
          <t>Station J Town</t>
        </is>
      </c>
      <c r="E295" s="54" t="inlineStr">
        <is>
          <t>J12</t>
        </is>
      </c>
      <c r="F295" s="54" t="inlineStr">
        <is>
          <t>stjt2A1R</t>
        </is>
      </c>
      <c r="G295" s="54" t="inlineStr">
        <is>
          <t>1 BD / 1 BA</t>
        </is>
      </c>
      <c r="I295" s="54" t="inlineStr">
        <is>
          <t>Yes</t>
        </is>
      </c>
      <c r="J295" s="54" t="inlineStr">
        <is>
          <t>Full</t>
        </is>
      </c>
      <c r="K295" s="36" t="inlineStr">
        <is>
          <t>Jermeisha Gardner</t>
        </is>
      </c>
      <c r="L295" s="55" t="n">
        <v>850</v>
      </c>
      <c r="M295" s="56" t="n">
        <v>1</v>
      </c>
      <c r="N295" s="56" t="n">
        <v>1</v>
      </c>
      <c r="Q295" s="57" t="inlineStr">
        <is>
          <t>Occ</t>
        </is>
      </c>
      <c r="U295" s="58" t="n">
        <v>1055</v>
      </c>
      <c r="V295" s="58" t="n">
        <v>1040</v>
      </c>
      <c r="W295" s="58" t="n">
        <v>0</v>
      </c>
      <c r="X295" s="58" t="n">
        <v>0</v>
      </c>
      <c r="Y295" s="58" t="n">
        <v>0</v>
      </c>
      <c r="Z295" s="59" t="n">
        <v>45833</v>
      </c>
      <c r="AA295" s="59" t="n">
        <v>45833</v>
      </c>
      <c r="AB295" s="59" t="n">
        <v>46380</v>
      </c>
    </row>
    <row r="296">
      <c r="D296" s="36" t="inlineStr">
        <is>
          <t>Station J Town</t>
        </is>
      </c>
      <c r="E296" s="54" t="inlineStr">
        <is>
          <t>J13</t>
        </is>
      </c>
      <c r="F296" s="54" t="inlineStr">
        <is>
          <t>stjt2B1R</t>
        </is>
      </c>
      <c r="G296" s="54" t="inlineStr">
        <is>
          <t>2 BD / 1 BA</t>
        </is>
      </c>
      <c r="I296" s="54" t="inlineStr">
        <is>
          <t>Yes</t>
        </is>
      </c>
      <c r="J296" s="54" t="inlineStr">
        <is>
          <t>Full</t>
        </is>
      </c>
      <c r="K296" s="36" t="inlineStr">
        <is>
          <t>Vincent Brown</t>
        </is>
      </c>
      <c r="L296" s="55" t="n">
        <v>950</v>
      </c>
      <c r="M296" s="56" t="n">
        <v>2</v>
      </c>
      <c r="N296" s="56" t="n">
        <v>1</v>
      </c>
      <c r="Q296" s="57" t="inlineStr">
        <is>
          <t>Occ</t>
        </is>
      </c>
      <c r="U296" s="58" t="n">
        <v>1120</v>
      </c>
      <c r="V296" s="58" t="n">
        <v>1070</v>
      </c>
      <c r="W296" s="58" t="n">
        <v>0</v>
      </c>
      <c r="X296" s="58" t="n">
        <v>0</v>
      </c>
      <c r="Y296" s="58" t="n">
        <v>0</v>
      </c>
      <c r="Z296" s="59" t="n">
        <v>45120</v>
      </c>
      <c r="AA296" s="59" t="n">
        <v>45120</v>
      </c>
      <c r="AB296" s="59" t="n">
        <v>46215</v>
      </c>
    </row>
    <row r="297">
      <c r="D297" s="36" t="inlineStr">
        <is>
          <t>Station J Town</t>
        </is>
      </c>
      <c r="E297" s="54" t="inlineStr">
        <is>
          <t>J14</t>
        </is>
      </c>
      <c r="F297" s="54" t="inlineStr">
        <is>
          <t>stjt2B1R</t>
        </is>
      </c>
      <c r="G297" s="54" t="inlineStr">
        <is>
          <t>2 BD / 1 BA</t>
        </is>
      </c>
      <c r="I297" s="54" t="inlineStr">
        <is>
          <t>Yes</t>
        </is>
      </c>
      <c r="J297" s="54" t="inlineStr">
        <is>
          <t>Full</t>
        </is>
      </c>
      <c r="K297" s="36" t="inlineStr">
        <is>
          <t>Micah Williams-Witt</t>
        </is>
      </c>
      <c r="L297" s="55" t="n">
        <v>950</v>
      </c>
      <c r="M297" s="56" t="n">
        <v>2</v>
      </c>
      <c r="N297" s="56" t="n">
        <v>1</v>
      </c>
      <c r="Q297" s="57" t="inlineStr">
        <is>
          <t>Occ</t>
        </is>
      </c>
      <c r="U297" s="58" t="n">
        <v>1120</v>
      </c>
      <c r="V297" s="58" t="n">
        <v>1080</v>
      </c>
      <c r="W297" s="58" t="n">
        <v>0</v>
      </c>
      <c r="X297" s="58" t="n">
        <v>0</v>
      </c>
      <c r="Y297" s="58" t="n">
        <v>0</v>
      </c>
      <c r="Z297" s="59" t="n">
        <v>45575</v>
      </c>
      <c r="AA297" s="59" t="n">
        <v>45575</v>
      </c>
      <c r="AB297" s="59" t="n">
        <v>46304</v>
      </c>
    </row>
    <row r="298">
      <c r="D298" s="36" t="inlineStr">
        <is>
          <t>Station J Town</t>
        </is>
      </c>
      <c r="E298" s="54" t="inlineStr">
        <is>
          <t>J15</t>
        </is>
      </c>
      <c r="F298" s="54" t="inlineStr">
        <is>
          <t>stjt2B1R</t>
        </is>
      </c>
      <c r="G298" s="54" t="inlineStr">
        <is>
          <t>2 BD / 1 BA</t>
        </is>
      </c>
      <c r="I298" s="54" t="inlineStr">
        <is>
          <t>Yes</t>
        </is>
      </c>
      <c r="J298" s="54" t="inlineStr">
        <is>
          <t>Full</t>
        </is>
      </c>
      <c r="K298" s="36" t="inlineStr">
        <is>
          <t>Jose Aguilar</t>
        </is>
      </c>
      <c r="L298" s="55" t="n">
        <v>950</v>
      </c>
      <c r="M298" s="56" t="n">
        <v>2</v>
      </c>
      <c r="N298" s="56" t="n">
        <v>1</v>
      </c>
      <c r="Q298" s="57" t="inlineStr">
        <is>
          <t>Occ</t>
        </is>
      </c>
      <c r="U298" s="58" t="n">
        <v>1185</v>
      </c>
      <c r="V298" s="58" t="n">
        <v>1185</v>
      </c>
      <c r="W298" s="58" t="n">
        <v>0</v>
      </c>
      <c r="X298" s="58" t="n">
        <v>0</v>
      </c>
      <c r="Y298" s="58" t="n">
        <v>0</v>
      </c>
      <c r="Z298" s="59" t="n">
        <v>46112</v>
      </c>
      <c r="AA298" s="59" t="n">
        <v>46112</v>
      </c>
      <c r="AB298" s="59" t="n">
        <v>46476</v>
      </c>
    </row>
    <row r="299">
      <c r="D299" s="36" t="inlineStr">
        <is>
          <t>Station J Town</t>
        </is>
      </c>
      <c r="E299" s="54" t="inlineStr">
        <is>
          <t>J16</t>
        </is>
      </c>
      <c r="F299" s="54" t="inlineStr">
        <is>
          <t>stjt2B1</t>
        </is>
      </c>
      <c r="G299" s="54" t="inlineStr">
        <is>
          <t>2 BD / 1 BA</t>
        </is>
      </c>
      <c r="K299" s="36" t="inlineStr">
        <is>
          <t>Adam Flach</t>
        </is>
      </c>
      <c r="L299" s="55" t="n">
        <v>950</v>
      </c>
      <c r="M299" s="56" t="n">
        <v>2</v>
      </c>
      <c r="N299" s="56" t="n">
        <v>1</v>
      </c>
      <c r="Q299" s="57" t="inlineStr">
        <is>
          <t>Occ</t>
        </is>
      </c>
      <c r="U299" s="58" t="n">
        <v>1085</v>
      </c>
      <c r="V299" s="58" t="n">
        <v>944</v>
      </c>
      <c r="W299" s="58" t="n">
        <v>0</v>
      </c>
      <c r="X299" s="58" t="n">
        <v>0</v>
      </c>
      <c r="Y299" s="58" t="n">
        <v>0</v>
      </c>
      <c r="Z299" s="59" t="n">
        <v>46053</v>
      </c>
      <c r="AA299" s="59" t="n">
        <v>46053</v>
      </c>
      <c r="AB299" s="59" t="n">
        <v>46417</v>
      </c>
    </row>
    <row r="300">
      <c r="D300" s="36" t="inlineStr">
        <is>
          <t>Station J Town</t>
        </is>
      </c>
      <c r="E300" s="54" t="inlineStr">
        <is>
          <t>J17</t>
        </is>
      </c>
      <c r="F300" s="54" t="inlineStr">
        <is>
          <t>stjt2B1R</t>
        </is>
      </c>
      <c r="G300" s="54" t="inlineStr">
        <is>
          <t>2 BD / 1 BA</t>
        </is>
      </c>
      <c r="I300" s="54" t="inlineStr">
        <is>
          <t>Yes</t>
        </is>
      </c>
      <c r="J300" s="54" t="inlineStr">
        <is>
          <t>Full</t>
        </is>
      </c>
      <c r="K300" s="36" t="inlineStr">
        <is>
          <t>Matthew Warrener</t>
        </is>
      </c>
      <c r="L300" s="55" t="n">
        <v>950</v>
      </c>
      <c r="M300" s="56" t="n">
        <v>2</v>
      </c>
      <c r="N300" s="56" t="n">
        <v>1</v>
      </c>
      <c r="Q300" s="57" t="inlineStr">
        <is>
          <t>Occ</t>
        </is>
      </c>
      <c r="U300" s="58" t="n">
        <v>1135</v>
      </c>
      <c r="V300" s="58" t="n">
        <v>1080</v>
      </c>
      <c r="W300" s="58" t="n">
        <v>0</v>
      </c>
      <c r="X300" s="58" t="n">
        <v>0</v>
      </c>
      <c r="Y300" s="58" t="n">
        <v>0</v>
      </c>
      <c r="Z300" s="59" t="n">
        <v>45786</v>
      </c>
      <c r="AA300" s="59" t="n">
        <v>45786</v>
      </c>
      <c r="AB300" s="59" t="n">
        <v>46515</v>
      </c>
    </row>
    <row r="301">
      <c r="D301" s="36" t="inlineStr">
        <is>
          <t>Station J Town</t>
        </is>
      </c>
      <c r="E301" s="54" t="inlineStr">
        <is>
          <t>J18</t>
        </is>
      </c>
      <c r="F301" s="54" t="inlineStr">
        <is>
          <t>stjt2B1R</t>
        </is>
      </c>
      <c r="G301" s="54" t="inlineStr">
        <is>
          <t>2 BD / 1 BA</t>
        </is>
      </c>
      <c r="I301" s="54" t="inlineStr">
        <is>
          <t>Yes</t>
        </is>
      </c>
      <c r="J301" s="54" t="inlineStr">
        <is>
          <t>Full</t>
        </is>
      </c>
      <c r="K301" s="36" t="inlineStr">
        <is>
          <t>Jacqueline Hudson</t>
        </is>
      </c>
      <c r="L301" s="55" t="n">
        <v>950</v>
      </c>
      <c r="M301" s="56" t="n">
        <v>2</v>
      </c>
      <c r="N301" s="56" t="n">
        <v>1</v>
      </c>
      <c r="Q301" s="57" t="inlineStr">
        <is>
          <t>Occ</t>
        </is>
      </c>
      <c r="U301" s="58" t="n">
        <v>1135</v>
      </c>
      <c r="V301" s="58" t="n">
        <v>1060</v>
      </c>
      <c r="W301" s="58" t="n">
        <v>0</v>
      </c>
      <c r="X301" s="58" t="n">
        <v>0</v>
      </c>
      <c r="Y301" s="58" t="n">
        <v>0</v>
      </c>
      <c r="Z301" s="59" t="n">
        <v>45469</v>
      </c>
      <c r="AA301" s="59" t="n">
        <v>45469</v>
      </c>
      <c r="AB301" s="59" t="n">
        <v>46198</v>
      </c>
    </row>
    <row r="302">
      <c r="D302" s="36" t="inlineStr">
        <is>
          <t>Station J Town</t>
        </is>
      </c>
      <c r="E302" s="54" t="inlineStr">
        <is>
          <t>J19</t>
        </is>
      </c>
      <c r="F302" s="54" t="inlineStr">
        <is>
          <t>stjt2B1R</t>
        </is>
      </c>
      <c r="G302" s="54" t="inlineStr">
        <is>
          <t>2 BD / 1 BA</t>
        </is>
      </c>
      <c r="I302" s="54" t="inlineStr">
        <is>
          <t>Yes</t>
        </is>
      </c>
      <c r="J302" s="54" t="inlineStr">
        <is>
          <t>Full</t>
        </is>
      </c>
      <c r="K302" s="36" t="inlineStr">
        <is>
          <t>Leron Brown</t>
        </is>
      </c>
      <c r="L302" s="55" t="n">
        <v>950</v>
      </c>
      <c r="M302" s="56" t="n">
        <v>2</v>
      </c>
      <c r="N302" s="56" t="n">
        <v>1</v>
      </c>
      <c r="Q302" s="57" t="inlineStr">
        <is>
          <t>Occ</t>
        </is>
      </c>
      <c r="U302" s="58" t="n">
        <v>1135</v>
      </c>
      <c r="V302" s="58" t="n">
        <v>1125</v>
      </c>
      <c r="W302" s="58" t="n">
        <v>0</v>
      </c>
      <c r="X302" s="58" t="n">
        <v>0</v>
      </c>
      <c r="Y302" s="58" t="n">
        <v>0</v>
      </c>
      <c r="Z302" s="59" t="n">
        <v>46095</v>
      </c>
      <c r="AA302" s="59" t="n">
        <v>46095</v>
      </c>
      <c r="AB302" s="59" t="n">
        <v>46459</v>
      </c>
    </row>
    <row r="303">
      <c r="D303" s="36" t="inlineStr">
        <is>
          <t>Station J Town</t>
        </is>
      </c>
      <c r="E303" s="54" t="inlineStr">
        <is>
          <t>J20</t>
        </is>
      </c>
      <c r="F303" s="54" t="inlineStr">
        <is>
          <t>stjt2B1R</t>
        </is>
      </c>
      <c r="G303" s="54" t="inlineStr">
        <is>
          <t>2 BD / 1 BA</t>
        </is>
      </c>
      <c r="I303" s="54" t="inlineStr">
        <is>
          <t>Yes</t>
        </is>
      </c>
      <c r="J303" s="54" t="inlineStr">
        <is>
          <t>Full</t>
        </is>
      </c>
      <c r="K303" s="36" t="inlineStr">
        <is>
          <t>Katherine Sangalli</t>
        </is>
      </c>
      <c r="L303" s="55" t="n">
        <v>950</v>
      </c>
      <c r="M303" s="56" t="n">
        <v>2</v>
      </c>
      <c r="N303" s="56" t="n">
        <v>1</v>
      </c>
      <c r="Q303" s="57" t="inlineStr">
        <is>
          <t>Occ</t>
        </is>
      </c>
      <c r="U303" s="58" t="n">
        <v>1135</v>
      </c>
      <c r="V303" s="58" t="n">
        <v>1060</v>
      </c>
      <c r="W303" s="58" t="n">
        <v>0</v>
      </c>
      <c r="X303" s="58" t="n">
        <v>0</v>
      </c>
      <c r="Y303" s="58" t="n">
        <v>0</v>
      </c>
      <c r="Z303" s="59" t="n">
        <v>45747</v>
      </c>
      <c r="AA303" s="59" t="n">
        <v>45747</v>
      </c>
      <c r="AB303" s="59" t="n">
        <v>46111</v>
      </c>
    </row>
    <row r="304">
      <c r="D304" s="36" t="inlineStr">
        <is>
          <t>Station J Town</t>
        </is>
      </c>
      <c r="E304" s="54" t="inlineStr">
        <is>
          <t>J21</t>
        </is>
      </c>
      <c r="F304" s="54" t="inlineStr">
        <is>
          <t>stjt2B1</t>
        </is>
      </c>
      <c r="G304" s="54" t="inlineStr">
        <is>
          <t>2 BD / 1 BA</t>
        </is>
      </c>
      <c r="K304" s="36" t="inlineStr">
        <is>
          <t>Logan Desai</t>
        </is>
      </c>
      <c r="L304" s="55" t="n">
        <v>950</v>
      </c>
      <c r="M304" s="56" t="n">
        <v>2</v>
      </c>
      <c r="N304" s="56" t="n">
        <v>1</v>
      </c>
      <c r="Q304" s="57" t="inlineStr">
        <is>
          <t>Occ</t>
        </is>
      </c>
      <c r="U304" s="58" t="n">
        <v>1035</v>
      </c>
      <c r="V304" s="58" t="n">
        <v>1025</v>
      </c>
      <c r="W304" s="58" t="n">
        <v>0</v>
      </c>
      <c r="X304" s="58" t="n">
        <v>0</v>
      </c>
      <c r="Y304" s="58" t="n">
        <v>0</v>
      </c>
      <c r="Z304" s="59" t="n">
        <v>46083</v>
      </c>
      <c r="AA304" s="59" t="n">
        <v>46083</v>
      </c>
      <c r="AB304" s="59" t="n">
        <v>46447</v>
      </c>
    </row>
    <row r="305">
      <c r="D305" s="36" t="inlineStr">
        <is>
          <t>Station J Town</t>
        </is>
      </c>
      <c r="E305" s="54" t="inlineStr">
        <is>
          <t>J22</t>
        </is>
      </c>
      <c r="F305" s="54" t="inlineStr">
        <is>
          <t>stjt2B1</t>
        </is>
      </c>
      <c r="G305" s="54" t="inlineStr">
        <is>
          <t>2 BD / 1 BA</t>
        </is>
      </c>
      <c r="K305" s="36" t="inlineStr">
        <is>
          <t>Sadekh Bousso</t>
        </is>
      </c>
      <c r="L305" s="55" t="n">
        <v>950</v>
      </c>
      <c r="M305" s="56" t="n">
        <v>2</v>
      </c>
      <c r="N305" s="56" t="n">
        <v>1</v>
      </c>
      <c r="Q305" s="57" t="inlineStr">
        <is>
          <t>Occ</t>
        </is>
      </c>
      <c r="U305" s="58" t="n">
        <v>1035</v>
      </c>
      <c r="V305" s="58" t="n">
        <v>1025</v>
      </c>
      <c r="W305" s="58" t="n">
        <v>0</v>
      </c>
      <c r="X305" s="58" t="n">
        <v>0</v>
      </c>
      <c r="Y305" s="58" t="n">
        <v>0</v>
      </c>
      <c r="Z305" s="59" t="n">
        <v>45891</v>
      </c>
      <c r="AA305" s="59" t="n">
        <v>45891</v>
      </c>
      <c r="AB305" s="59" t="n">
        <v>46255</v>
      </c>
    </row>
    <row r="306">
      <c r="D306" s="36" t="inlineStr">
        <is>
          <t>Station J Town</t>
        </is>
      </c>
      <c r="E306" s="54" t="inlineStr">
        <is>
          <t>J23</t>
        </is>
      </c>
      <c r="F306" s="54" t="inlineStr">
        <is>
          <t>stjt2B1</t>
        </is>
      </c>
      <c r="G306" s="54" t="inlineStr">
        <is>
          <t>2 BD / 1 BA</t>
        </is>
      </c>
      <c r="K306" s="36" t="inlineStr">
        <is>
          <t>Sabrina Woodruff</t>
        </is>
      </c>
      <c r="L306" s="55" t="n">
        <v>950</v>
      </c>
      <c r="M306" s="56" t="n">
        <v>2</v>
      </c>
      <c r="N306" s="56" t="n">
        <v>1</v>
      </c>
      <c r="Q306" s="57" t="inlineStr">
        <is>
          <t>Occ</t>
        </is>
      </c>
      <c r="U306" s="58" t="n">
        <v>1035</v>
      </c>
      <c r="V306" s="58" t="n">
        <v>899</v>
      </c>
      <c r="W306" s="58" t="n">
        <v>0</v>
      </c>
      <c r="X306" s="58" t="n">
        <v>0</v>
      </c>
      <c r="Y306" s="58" t="n">
        <v>0</v>
      </c>
      <c r="Z306" s="59" t="n">
        <v>45626</v>
      </c>
      <c r="AA306" s="59" t="n">
        <v>45626</v>
      </c>
      <c r="AB306" s="59" t="n">
        <v>46171</v>
      </c>
    </row>
    <row r="307">
      <c r="D307" s="36" t="inlineStr">
        <is>
          <t>Station J Town</t>
        </is>
      </c>
      <c r="E307" s="54" t="inlineStr">
        <is>
          <t>J24</t>
        </is>
      </c>
      <c r="F307" s="54" t="inlineStr">
        <is>
          <t>stjt2B1</t>
        </is>
      </c>
      <c r="G307" s="54" t="inlineStr">
        <is>
          <t>2 BD / 1 BA</t>
        </is>
      </c>
      <c r="K307" s="36" t="inlineStr">
        <is>
          <t>Tyler Terrell</t>
        </is>
      </c>
      <c r="L307" s="55" t="n">
        <v>950</v>
      </c>
      <c r="M307" s="56" t="n">
        <v>2</v>
      </c>
      <c r="N307" s="56" t="n">
        <v>1</v>
      </c>
      <c r="Q307" s="57" t="inlineStr">
        <is>
          <t>Occ</t>
        </is>
      </c>
      <c r="U307" s="58" t="n">
        <v>1035</v>
      </c>
      <c r="V307" s="58" t="n">
        <v>1014</v>
      </c>
      <c r="W307" s="58" t="n">
        <v>0</v>
      </c>
      <c r="X307" s="58" t="n">
        <v>0</v>
      </c>
      <c r="Y307" s="58" t="n">
        <v>0</v>
      </c>
      <c r="Z307" s="59" t="n">
        <v>44916</v>
      </c>
      <c r="AA307" s="59" t="n">
        <v>44916</v>
      </c>
      <c r="AB307" s="59" t="n">
        <v>46193</v>
      </c>
    </row>
    <row r="308">
      <c r="D308" s="36" t="inlineStr">
        <is>
          <t>Station J Town</t>
        </is>
      </c>
      <c r="E308" s="54" t="inlineStr">
        <is>
          <t>J25</t>
        </is>
      </c>
      <c r="F308" s="54" t="inlineStr">
        <is>
          <t>stjt2A1</t>
        </is>
      </c>
      <c r="G308" s="54" t="inlineStr">
        <is>
          <t>1 BD / 1 BA</t>
        </is>
      </c>
      <c r="K308" s="36" t="inlineStr">
        <is>
          <t>VACANT</t>
        </is>
      </c>
      <c r="L308" s="55" t="n">
        <v>850</v>
      </c>
      <c r="M308" s="56" t="n">
        <v>1</v>
      </c>
      <c r="N308" s="56" t="n">
        <v>1</v>
      </c>
      <c r="Q308" s="57" t="inlineStr">
        <is>
          <t>Vac</t>
        </is>
      </c>
      <c r="U308" s="58" t="n">
        <v>990</v>
      </c>
      <c r="V308" s="58" t="n">
        <v>0</v>
      </c>
      <c r="W308" s="58" t="n">
        <v>0</v>
      </c>
      <c r="X308" s="58" t="n">
        <v>0</v>
      </c>
      <c r="Y308" s="58" t="n">
        <v>0</v>
      </c>
    </row>
    <row r="309">
      <c r="D309" s="36" t="inlineStr">
        <is>
          <t>Station J Town</t>
        </is>
      </c>
      <c r="E309" s="54" t="inlineStr">
        <is>
          <t>J26</t>
        </is>
      </c>
      <c r="F309" s="54" t="inlineStr">
        <is>
          <t>stjt2B1</t>
        </is>
      </c>
      <c r="G309" s="54" t="inlineStr">
        <is>
          <t>2 BD / 1 BA</t>
        </is>
      </c>
      <c r="K309" s="36" t="inlineStr">
        <is>
          <t>Brittany Morrow</t>
        </is>
      </c>
      <c r="L309" s="55" t="n">
        <v>950</v>
      </c>
      <c r="M309" s="56" t="n">
        <v>2</v>
      </c>
      <c r="N309" s="56" t="n">
        <v>1</v>
      </c>
      <c r="Q309" s="57" t="inlineStr">
        <is>
          <t>Occ</t>
        </is>
      </c>
      <c r="U309" s="58" t="n">
        <v>1020</v>
      </c>
      <c r="V309" s="58" t="n">
        <v>950</v>
      </c>
      <c r="W309" s="58" t="n">
        <v>0</v>
      </c>
      <c r="X309" s="58" t="n">
        <v>0</v>
      </c>
      <c r="Y309" s="58" t="n">
        <v>0</v>
      </c>
      <c r="Z309" s="59" t="n">
        <v>45660</v>
      </c>
      <c r="AA309" s="59" t="n">
        <v>45660</v>
      </c>
      <c r="AB309" s="59" t="n">
        <v>46205</v>
      </c>
    </row>
    <row r="310">
      <c r="D310" s="36" t="inlineStr">
        <is>
          <t>Station J Town</t>
        </is>
      </c>
      <c r="E310" s="54" t="inlineStr">
        <is>
          <t>J27</t>
        </is>
      </c>
      <c r="F310" s="54" t="inlineStr">
        <is>
          <t>stjt2A1R</t>
        </is>
      </c>
      <c r="G310" s="54" t="inlineStr">
        <is>
          <t>1 BD / 1 BA</t>
        </is>
      </c>
      <c r="I310" s="54" t="inlineStr">
        <is>
          <t>Yes</t>
        </is>
      </c>
      <c r="J310" s="54" t="inlineStr">
        <is>
          <t>Full</t>
        </is>
      </c>
      <c r="K310" s="36" t="inlineStr">
        <is>
          <t>Jadyn Walker</t>
        </is>
      </c>
      <c r="L310" s="55" t="n">
        <v>850</v>
      </c>
      <c r="M310" s="56" t="n">
        <v>1</v>
      </c>
      <c r="N310" s="56" t="n">
        <v>1</v>
      </c>
      <c r="Q310" s="57" t="inlineStr">
        <is>
          <t>Occ</t>
        </is>
      </c>
      <c r="U310" s="58" t="n">
        <v>1040</v>
      </c>
      <c r="V310" s="58" t="n">
        <v>1025</v>
      </c>
      <c r="W310" s="58" t="n">
        <v>0</v>
      </c>
      <c r="X310" s="58" t="n">
        <v>0</v>
      </c>
      <c r="Y310" s="58" t="n">
        <v>0</v>
      </c>
      <c r="Z310" s="59" t="n">
        <v>45261</v>
      </c>
      <c r="AA310" s="59" t="n">
        <v>45261</v>
      </c>
      <c r="AB310" s="59" t="n">
        <v>46326</v>
      </c>
    </row>
    <row r="311">
      <c r="D311" s="36" t="inlineStr">
        <is>
          <t>Station J Town</t>
        </is>
      </c>
      <c r="E311" s="54" t="inlineStr">
        <is>
          <t>J28</t>
        </is>
      </c>
      <c r="F311" s="54" t="inlineStr">
        <is>
          <t>stjt2B1R</t>
        </is>
      </c>
      <c r="G311" s="54" t="inlineStr">
        <is>
          <t>2 BD / 1 BA</t>
        </is>
      </c>
      <c r="I311" s="54" t="inlineStr">
        <is>
          <t>Yes</t>
        </is>
      </c>
      <c r="J311" s="54" t="inlineStr">
        <is>
          <t>Full</t>
        </is>
      </c>
      <c r="K311" s="36" t="inlineStr">
        <is>
          <t>Mark Carrico</t>
        </is>
      </c>
      <c r="L311" s="55" t="n">
        <v>950</v>
      </c>
      <c r="M311" s="56" t="n">
        <v>2</v>
      </c>
      <c r="N311" s="56" t="n">
        <v>1</v>
      </c>
      <c r="Q311" s="57" t="inlineStr">
        <is>
          <t>Occ</t>
        </is>
      </c>
      <c r="U311" s="58" t="n">
        <v>1120</v>
      </c>
      <c r="V311" s="58" t="n">
        <v>1035</v>
      </c>
      <c r="W311" s="58" t="n">
        <v>0</v>
      </c>
      <c r="X311" s="58" t="n">
        <v>0</v>
      </c>
      <c r="Y311" s="58" t="n">
        <v>0</v>
      </c>
      <c r="Z311" s="59" t="n">
        <v>45642</v>
      </c>
      <c r="AA311" s="59" t="n">
        <v>45642</v>
      </c>
      <c r="AB311" s="59" t="n">
        <v>46188</v>
      </c>
    </row>
    <row r="312">
      <c r="D312" s="36" t="inlineStr">
        <is>
          <t>Station J Town</t>
        </is>
      </c>
      <c r="E312" s="54" t="inlineStr">
        <is>
          <t>J29</t>
        </is>
      </c>
      <c r="F312" s="54" t="inlineStr">
        <is>
          <t>stjt2A1</t>
        </is>
      </c>
      <c r="G312" s="54" t="inlineStr">
        <is>
          <t>1 BD / 1 BA</t>
        </is>
      </c>
      <c r="K312" s="36" t="inlineStr">
        <is>
          <t>Vickie Godfrey</t>
        </is>
      </c>
      <c r="L312" s="55" t="n">
        <v>850</v>
      </c>
      <c r="M312" s="56" t="n">
        <v>1</v>
      </c>
      <c r="N312" s="56" t="n">
        <v>1</v>
      </c>
      <c r="Q312" s="57" t="inlineStr">
        <is>
          <t>Occ</t>
        </is>
      </c>
      <c r="U312" s="58" t="n">
        <v>990</v>
      </c>
      <c r="V312" s="58" t="n">
        <v>925</v>
      </c>
      <c r="W312" s="58" t="n">
        <v>0</v>
      </c>
      <c r="X312" s="58" t="n">
        <v>0</v>
      </c>
      <c r="Y312" s="58" t="n">
        <v>0</v>
      </c>
      <c r="Z312" s="59" t="n">
        <v>45821</v>
      </c>
      <c r="AA312" s="59" t="n">
        <v>45821</v>
      </c>
      <c r="AB312" s="59" t="n">
        <v>46185</v>
      </c>
    </row>
    <row r="313">
      <c r="D313" s="36" t="inlineStr">
        <is>
          <t>Station J Town</t>
        </is>
      </c>
      <c r="E313" s="54" t="inlineStr">
        <is>
          <t>J30</t>
        </is>
      </c>
      <c r="F313" s="54" t="inlineStr">
        <is>
          <t>stjt2B1</t>
        </is>
      </c>
      <c r="G313" s="54" t="inlineStr">
        <is>
          <t>2 BD / 1 BA</t>
        </is>
      </c>
      <c r="K313" s="36" t="inlineStr">
        <is>
          <t>Marissa Edelman</t>
        </is>
      </c>
      <c r="L313" s="55" t="n">
        <v>950</v>
      </c>
      <c r="M313" s="56" t="n">
        <v>2</v>
      </c>
      <c r="N313" s="56" t="n">
        <v>1</v>
      </c>
      <c r="Q313" s="57" t="inlineStr">
        <is>
          <t>Occ</t>
        </is>
      </c>
      <c r="U313" s="58" t="n">
        <v>1035</v>
      </c>
      <c r="V313" s="58" t="n">
        <v>965</v>
      </c>
      <c r="W313" s="58" t="n">
        <v>0</v>
      </c>
      <c r="X313" s="58" t="n">
        <v>0</v>
      </c>
      <c r="Y313" s="58" t="n">
        <v>0</v>
      </c>
      <c r="Z313" s="59" t="n">
        <v>46158</v>
      </c>
      <c r="AA313" s="59" t="n">
        <v>46158</v>
      </c>
      <c r="AB313" s="59" t="n">
        <v>46583</v>
      </c>
    </row>
    <row r="314">
      <c r="D314" s="36" t="inlineStr">
        <is>
          <t>Station J Town</t>
        </is>
      </c>
      <c r="E314" s="54" t="inlineStr">
        <is>
          <t>J31</t>
        </is>
      </c>
      <c r="F314" s="54" t="inlineStr">
        <is>
          <t>stjt2A1</t>
        </is>
      </c>
      <c r="G314" s="54" t="inlineStr">
        <is>
          <t>1 BD / 1 BA</t>
        </is>
      </c>
      <c r="K314" s="36" t="inlineStr">
        <is>
          <t>Larice Malone</t>
        </is>
      </c>
      <c r="L314" s="55" t="n">
        <v>850</v>
      </c>
      <c r="M314" s="56" t="n">
        <v>1</v>
      </c>
      <c r="N314" s="56" t="n">
        <v>1</v>
      </c>
      <c r="Q314" s="57" t="inlineStr">
        <is>
          <t>Occ</t>
        </is>
      </c>
      <c r="U314" s="58" t="n">
        <v>1010</v>
      </c>
      <c r="V314" s="58" t="n">
        <v>995</v>
      </c>
      <c r="W314" s="58" t="n">
        <v>0</v>
      </c>
      <c r="X314" s="58" t="n">
        <v>0</v>
      </c>
      <c r="Y314" s="58" t="n">
        <v>0</v>
      </c>
      <c r="Z314" s="59" t="n">
        <v>46052</v>
      </c>
      <c r="AA314" s="59" t="n">
        <v>46052</v>
      </c>
      <c r="AB314" s="59" t="n">
        <v>46416</v>
      </c>
    </row>
    <row r="315">
      <c r="D315" s="36" t="inlineStr">
        <is>
          <t>Station J Town</t>
        </is>
      </c>
      <c r="E315" s="54" t="inlineStr">
        <is>
          <t>J32</t>
        </is>
      </c>
      <c r="F315" s="54" t="inlineStr">
        <is>
          <t>stjt2B1</t>
        </is>
      </c>
      <c r="G315" s="54" t="inlineStr">
        <is>
          <t>2 BD / 1 BA</t>
        </is>
      </c>
      <c r="K315" s="36" t="inlineStr">
        <is>
          <t>Andrew Fulks</t>
        </is>
      </c>
      <c r="L315" s="55" t="n">
        <v>950</v>
      </c>
      <c r="M315" s="56" t="n">
        <v>2</v>
      </c>
      <c r="N315" s="56" t="n">
        <v>1</v>
      </c>
      <c r="Q315" s="57" t="inlineStr">
        <is>
          <t>Occ</t>
        </is>
      </c>
      <c r="U315" s="58" t="n">
        <v>1035</v>
      </c>
      <c r="V315" s="58" t="n">
        <v>1025</v>
      </c>
      <c r="W315" s="58" t="n">
        <v>0</v>
      </c>
      <c r="X315" s="58" t="n">
        <v>0</v>
      </c>
      <c r="Y315" s="58" t="n">
        <v>0</v>
      </c>
      <c r="Z315" s="59" t="n">
        <v>46094</v>
      </c>
      <c r="AA315" s="59" t="n">
        <v>46094</v>
      </c>
      <c r="AB315" s="59" t="n">
        <v>46458</v>
      </c>
    </row>
    <row r="316">
      <c r="D316" s="36" t="inlineStr">
        <is>
          <t>Station J Town</t>
        </is>
      </c>
      <c r="E316" s="54" t="inlineStr">
        <is>
          <t>J33</t>
        </is>
      </c>
      <c r="F316" s="54" t="inlineStr">
        <is>
          <t>stjt2A1R</t>
        </is>
      </c>
      <c r="G316" s="54" t="inlineStr">
        <is>
          <t>1 BD / 1 BA</t>
        </is>
      </c>
      <c r="I316" s="54" t="inlineStr">
        <is>
          <t>Yes</t>
        </is>
      </c>
      <c r="J316" s="54" t="inlineStr">
        <is>
          <t>Full</t>
        </is>
      </c>
      <c r="K316" s="36" t="inlineStr">
        <is>
          <t>Ashley Vincent</t>
        </is>
      </c>
      <c r="L316" s="55" t="n">
        <v>850</v>
      </c>
      <c r="M316" s="56" t="n">
        <v>1</v>
      </c>
      <c r="N316" s="56" t="n">
        <v>1</v>
      </c>
      <c r="Q316" s="57" t="inlineStr">
        <is>
          <t>Occ</t>
        </is>
      </c>
      <c r="U316" s="58" t="n">
        <v>1055</v>
      </c>
      <c r="V316" s="58" t="n">
        <v>1040</v>
      </c>
      <c r="W316" s="58" t="n">
        <v>0</v>
      </c>
      <c r="X316" s="58" t="n">
        <v>0</v>
      </c>
      <c r="Y316" s="58" t="n">
        <v>0</v>
      </c>
      <c r="Z316" s="59" t="n">
        <v>45860</v>
      </c>
      <c r="AA316" s="59" t="n">
        <v>45860</v>
      </c>
      <c r="AB316" s="59" t="n">
        <v>46255</v>
      </c>
    </row>
    <row r="317">
      <c r="D317" s="36" t="inlineStr">
        <is>
          <t>Station J Town</t>
        </is>
      </c>
      <c r="E317" s="54" t="inlineStr">
        <is>
          <t>J34</t>
        </is>
      </c>
      <c r="F317" s="54" t="inlineStr">
        <is>
          <t>stjt2B1</t>
        </is>
      </c>
      <c r="G317" s="54" t="inlineStr">
        <is>
          <t>2 BD / 1 BA</t>
        </is>
      </c>
      <c r="K317" s="36" t="inlineStr">
        <is>
          <t>Frederick Whitehouse Iv</t>
        </is>
      </c>
      <c r="L317" s="55" t="n">
        <v>950</v>
      </c>
      <c r="M317" s="56" t="n">
        <v>2</v>
      </c>
      <c r="N317" s="56" t="n">
        <v>1</v>
      </c>
      <c r="Q317" s="57" t="inlineStr">
        <is>
          <t>Occ</t>
        </is>
      </c>
      <c r="U317" s="58" t="n">
        <v>1055</v>
      </c>
      <c r="V317" s="58" t="n">
        <v>1045</v>
      </c>
      <c r="W317" s="58" t="n">
        <v>0</v>
      </c>
      <c r="X317" s="58" t="n">
        <v>0</v>
      </c>
      <c r="Y317" s="58" t="n">
        <v>0</v>
      </c>
      <c r="Z317" s="59" t="n">
        <v>45835</v>
      </c>
      <c r="AA317" s="59" t="n">
        <v>45835</v>
      </c>
      <c r="AB317" s="59" t="n">
        <v>46199</v>
      </c>
    </row>
    <row r="318">
      <c r="D318" s="36" t="inlineStr">
        <is>
          <t>Station J Town</t>
        </is>
      </c>
      <c r="E318" s="54" t="inlineStr">
        <is>
          <t>J35</t>
        </is>
      </c>
      <c r="F318" s="54" t="inlineStr">
        <is>
          <t>stjt2A1</t>
        </is>
      </c>
      <c r="G318" s="54" t="inlineStr">
        <is>
          <t>1 BD / 1 BA</t>
        </is>
      </c>
      <c r="K318" s="36" t="inlineStr">
        <is>
          <t>Kieffer Baxter</t>
        </is>
      </c>
      <c r="L318" s="55" t="n">
        <v>850</v>
      </c>
      <c r="M318" s="56" t="n">
        <v>1</v>
      </c>
      <c r="N318" s="56" t="n">
        <v>1</v>
      </c>
      <c r="Q318" s="57" t="inlineStr">
        <is>
          <t>Occ</t>
        </is>
      </c>
      <c r="U318" s="58" t="n">
        <v>990</v>
      </c>
      <c r="V318" s="58" t="n">
        <v>990</v>
      </c>
      <c r="W318" s="58" t="n">
        <v>0</v>
      </c>
      <c r="X318" s="58" t="n">
        <v>0</v>
      </c>
      <c r="Y318" s="58" t="n">
        <v>0</v>
      </c>
      <c r="Z318" s="59" t="n">
        <v>46150</v>
      </c>
      <c r="AA318" s="59" t="n">
        <v>46150</v>
      </c>
      <c r="AB318" s="59" t="n">
        <v>46575</v>
      </c>
    </row>
    <row r="319">
      <c r="D319" s="36" t="inlineStr">
        <is>
          <t>Station J Town</t>
        </is>
      </c>
      <c r="E319" s="54" t="inlineStr">
        <is>
          <t>J36</t>
        </is>
      </c>
      <c r="F319" s="54" t="inlineStr">
        <is>
          <t>stjt2B1</t>
        </is>
      </c>
      <c r="G319" s="54" t="inlineStr">
        <is>
          <t>2 BD / 1 BA</t>
        </is>
      </c>
      <c r="K319" s="36" t="inlineStr">
        <is>
          <t>Jasmine Colon</t>
        </is>
      </c>
      <c r="L319" s="55" t="n">
        <v>950</v>
      </c>
      <c r="M319" s="56" t="n">
        <v>2</v>
      </c>
      <c r="N319" s="56" t="n">
        <v>1</v>
      </c>
      <c r="Q319" s="57" t="inlineStr">
        <is>
          <t>Occ</t>
        </is>
      </c>
      <c r="U319" s="58" t="n">
        <v>1035</v>
      </c>
      <c r="V319" s="58" t="n">
        <v>1025</v>
      </c>
      <c r="W319" s="58" t="n">
        <v>0</v>
      </c>
      <c r="X319" s="58" t="n">
        <v>0</v>
      </c>
      <c r="Y319" s="58" t="n">
        <v>0</v>
      </c>
      <c r="Z319" s="59" t="n">
        <v>45940</v>
      </c>
      <c r="AA319" s="59" t="n">
        <v>45940</v>
      </c>
      <c r="AB319" s="59" t="n">
        <v>46304</v>
      </c>
    </row>
    <row r="320">
      <c r="D320" s="36" t="inlineStr">
        <is>
          <t>Station J Town</t>
        </is>
      </c>
      <c r="E320" s="54" t="inlineStr">
        <is>
          <t>K37</t>
        </is>
      </c>
      <c r="F320" s="54" t="inlineStr">
        <is>
          <t>stjt2A1R</t>
        </is>
      </c>
      <c r="G320" s="54" t="inlineStr">
        <is>
          <t>1 BD / 1 BA</t>
        </is>
      </c>
      <c r="I320" s="54" t="inlineStr">
        <is>
          <t>Yes</t>
        </is>
      </c>
      <c r="J320" s="54" t="inlineStr">
        <is>
          <t>Full</t>
        </is>
      </c>
      <c r="K320" s="36" t="inlineStr">
        <is>
          <t>Lawrence Omeara</t>
        </is>
      </c>
      <c r="L320" s="55" t="n">
        <v>850</v>
      </c>
      <c r="M320" s="56" t="n">
        <v>1</v>
      </c>
      <c r="N320" s="56" t="n">
        <v>1</v>
      </c>
      <c r="Q320" s="57" t="inlineStr">
        <is>
          <t>Occ</t>
        </is>
      </c>
      <c r="U320" s="58" t="n">
        <v>1040</v>
      </c>
      <c r="V320" s="58" t="n">
        <v>1025</v>
      </c>
      <c r="W320" s="58" t="n">
        <v>0</v>
      </c>
      <c r="X320" s="58" t="n">
        <v>0</v>
      </c>
      <c r="Y320" s="58" t="n">
        <v>0</v>
      </c>
      <c r="Z320" s="59" t="n">
        <v>46081</v>
      </c>
      <c r="AA320" s="59" t="n">
        <v>46081</v>
      </c>
      <c r="AB320" s="59" t="n">
        <v>46810</v>
      </c>
    </row>
    <row r="321">
      <c r="D321" s="36" t="inlineStr">
        <is>
          <t>Station J Town</t>
        </is>
      </c>
      <c r="E321" s="54" t="inlineStr">
        <is>
          <t>K38</t>
        </is>
      </c>
      <c r="F321" s="54" t="inlineStr">
        <is>
          <t>stjt2C2</t>
        </is>
      </c>
      <c r="G321" s="54" t="inlineStr">
        <is>
          <t>3 BD / 1.5 BA</t>
        </is>
      </c>
      <c r="K321" s="36" t="inlineStr">
        <is>
          <t>Delicia Bradley</t>
        </is>
      </c>
      <c r="L321" s="55" t="n">
        <v>1075</v>
      </c>
      <c r="M321" s="56" t="n">
        <v>3</v>
      </c>
      <c r="N321" s="56" t="n">
        <v>1.5</v>
      </c>
      <c r="Q321" s="57" t="inlineStr">
        <is>
          <t>Occ</t>
        </is>
      </c>
      <c r="U321" s="58" t="n">
        <v>1265</v>
      </c>
      <c r="V321" s="58" t="n">
        <v>1250</v>
      </c>
      <c r="W321" s="58" t="n">
        <v>0</v>
      </c>
      <c r="X321" s="58" t="n">
        <v>0</v>
      </c>
      <c r="Y321" s="58" t="n">
        <v>0</v>
      </c>
      <c r="Z321" s="59" t="n">
        <v>46051</v>
      </c>
      <c r="AA321" s="59" t="n">
        <v>46051</v>
      </c>
      <c r="AB321" s="59" t="n">
        <v>46415</v>
      </c>
    </row>
    <row r="322">
      <c r="D322" s="36" t="inlineStr">
        <is>
          <t>Station J Town</t>
        </is>
      </c>
      <c r="E322" s="54" t="inlineStr">
        <is>
          <t>K39</t>
        </is>
      </c>
      <c r="F322" s="54" t="inlineStr">
        <is>
          <t>stjt2A1R</t>
        </is>
      </c>
      <c r="G322" s="54" t="inlineStr">
        <is>
          <t>1 BD / 1 BA</t>
        </is>
      </c>
      <c r="I322" s="54" t="inlineStr">
        <is>
          <t>Yes</t>
        </is>
      </c>
      <c r="J322" s="54" t="inlineStr">
        <is>
          <t>Full</t>
        </is>
      </c>
      <c r="K322" s="36" t="inlineStr">
        <is>
          <t>Alejandro Pedro Diaz Obrina</t>
        </is>
      </c>
      <c r="L322" s="55" t="n">
        <v>850</v>
      </c>
      <c r="M322" s="56" t="n">
        <v>1</v>
      </c>
      <c r="N322" s="56" t="n">
        <v>1</v>
      </c>
      <c r="Q322" s="57" t="inlineStr">
        <is>
          <t>Occ</t>
        </is>
      </c>
      <c r="U322" s="58" t="n">
        <v>1040</v>
      </c>
      <c r="V322" s="58" t="n">
        <v>1000</v>
      </c>
      <c r="W322" s="58" t="n">
        <v>0</v>
      </c>
      <c r="X322" s="58" t="n">
        <v>0</v>
      </c>
      <c r="Y322" s="58" t="n">
        <v>0</v>
      </c>
      <c r="Z322" s="59" t="n">
        <v>45722</v>
      </c>
      <c r="AA322" s="59" t="n">
        <v>45722</v>
      </c>
      <c r="AB322" s="59" t="n">
        <v>46178</v>
      </c>
    </row>
    <row r="323">
      <c r="D323" s="36" t="inlineStr">
        <is>
          <t>Station J Town</t>
        </is>
      </c>
      <c r="E323" s="54" t="inlineStr">
        <is>
          <t>K40</t>
        </is>
      </c>
      <c r="F323" s="54" t="inlineStr">
        <is>
          <t>stjt2C2R</t>
        </is>
      </c>
      <c r="G323" s="54" t="inlineStr">
        <is>
          <t>3 BD / 1.5 BA</t>
        </is>
      </c>
      <c r="I323" s="54" t="inlineStr">
        <is>
          <t>Yes</t>
        </is>
      </c>
      <c r="J323" s="54" t="inlineStr">
        <is>
          <t>Full</t>
        </is>
      </c>
      <c r="K323" s="36" t="inlineStr">
        <is>
          <t>Kisha Parrish</t>
        </is>
      </c>
      <c r="L323" s="55" t="n">
        <v>1075</v>
      </c>
      <c r="M323" s="56" t="n">
        <v>3</v>
      </c>
      <c r="N323" s="56" t="n">
        <v>1.5</v>
      </c>
      <c r="Q323" s="57" t="inlineStr">
        <is>
          <t>Occ</t>
        </is>
      </c>
      <c r="U323" s="58" t="n">
        <v>1399</v>
      </c>
      <c r="V323" s="58" t="n">
        <v>1332</v>
      </c>
      <c r="W323" s="58" t="n">
        <v>0</v>
      </c>
      <c r="X323" s="58" t="n">
        <v>0</v>
      </c>
      <c r="Y323" s="58" t="n">
        <v>0</v>
      </c>
      <c r="Z323" s="59" t="n">
        <v>45562</v>
      </c>
      <c r="AA323" s="59" t="n">
        <v>45562</v>
      </c>
      <c r="AB323" s="59" t="n">
        <v>46291</v>
      </c>
    </row>
    <row r="324">
      <c r="D324" s="36" t="inlineStr">
        <is>
          <t>Station J Town</t>
        </is>
      </c>
      <c r="E324" s="54" t="inlineStr">
        <is>
          <t>K41</t>
        </is>
      </c>
      <c r="F324" s="54" t="inlineStr">
        <is>
          <t>stjt2A1R</t>
        </is>
      </c>
      <c r="G324" s="54" t="inlineStr">
        <is>
          <t>1 BD / 1 BA</t>
        </is>
      </c>
      <c r="I324" s="54" t="inlineStr">
        <is>
          <t>Yes</t>
        </is>
      </c>
      <c r="J324" s="54" t="inlineStr">
        <is>
          <t>Full</t>
        </is>
      </c>
      <c r="K324" s="36" t="inlineStr">
        <is>
          <t>Cheryl Brogan</t>
        </is>
      </c>
      <c r="L324" s="55" t="n">
        <v>850</v>
      </c>
      <c r="M324" s="56" t="n">
        <v>1</v>
      </c>
      <c r="N324" s="56" t="n">
        <v>1</v>
      </c>
      <c r="Q324" s="57" t="inlineStr">
        <is>
          <t>Occ</t>
        </is>
      </c>
      <c r="U324" s="58" t="n">
        <v>1055</v>
      </c>
      <c r="V324" s="58" t="n">
        <v>915</v>
      </c>
      <c r="W324" s="58" t="n">
        <v>0</v>
      </c>
      <c r="X324" s="58" t="n">
        <v>0</v>
      </c>
      <c r="Y324" s="58" t="n">
        <v>0</v>
      </c>
      <c r="Z324" s="59" t="n">
        <v>45716</v>
      </c>
      <c r="AA324" s="59" t="n">
        <v>45716</v>
      </c>
      <c r="AB324" s="59" t="n">
        <v>46445</v>
      </c>
    </row>
    <row r="325">
      <c r="D325" s="36" t="inlineStr">
        <is>
          <t>Station J Town</t>
        </is>
      </c>
      <c r="E325" s="54" t="inlineStr">
        <is>
          <t>K42</t>
        </is>
      </c>
      <c r="F325" s="54" t="inlineStr">
        <is>
          <t>stjt2C2R</t>
        </is>
      </c>
      <c r="G325" s="54" t="inlineStr">
        <is>
          <t>3 BD / 1.5 BA</t>
        </is>
      </c>
      <c r="I325" s="54" t="inlineStr">
        <is>
          <t>Yes</t>
        </is>
      </c>
      <c r="J325" s="54" t="inlineStr">
        <is>
          <t>Full</t>
        </is>
      </c>
      <c r="K325" s="36" t="inlineStr">
        <is>
          <t>Nicole Froman</t>
        </is>
      </c>
      <c r="L325" s="55" t="n">
        <v>1075</v>
      </c>
      <c r="M325" s="56" t="n">
        <v>3</v>
      </c>
      <c r="N325" s="56" t="n">
        <v>1.5</v>
      </c>
      <c r="Q325" s="57" t="inlineStr">
        <is>
          <t>Occ</t>
        </is>
      </c>
      <c r="U325" s="58" t="n">
        <v>1414</v>
      </c>
      <c r="V325" s="58" t="n">
        <v>1430</v>
      </c>
      <c r="W325" s="58" t="n">
        <v>0</v>
      </c>
      <c r="X325" s="58" t="n">
        <v>0</v>
      </c>
      <c r="Y325" s="58" t="n">
        <v>0</v>
      </c>
      <c r="Z325" s="59" t="n">
        <v>45436</v>
      </c>
      <c r="AA325" s="59" t="n">
        <v>45436</v>
      </c>
      <c r="AB325" s="59" t="n">
        <v>46165</v>
      </c>
    </row>
    <row r="326">
      <c r="D326" s="36" t="inlineStr">
        <is>
          <t>Station J Town</t>
        </is>
      </c>
      <c r="E326" s="54" t="inlineStr">
        <is>
          <t>K43</t>
        </is>
      </c>
      <c r="F326" s="54" t="inlineStr">
        <is>
          <t>stjt2A1</t>
        </is>
      </c>
      <c r="G326" s="54" t="inlineStr">
        <is>
          <t>1 BD / 1 BA</t>
        </is>
      </c>
      <c r="K326" s="36" t="inlineStr">
        <is>
          <t>Thomas Aldridge</t>
        </is>
      </c>
      <c r="L326" s="55" t="n">
        <v>850</v>
      </c>
      <c r="M326" s="56" t="n">
        <v>1</v>
      </c>
      <c r="N326" s="56" t="n">
        <v>1</v>
      </c>
      <c r="Q326" s="57" t="inlineStr">
        <is>
          <t>Occ</t>
        </is>
      </c>
      <c r="U326" s="58" t="n">
        <v>1010</v>
      </c>
      <c r="V326" s="58" t="n">
        <v>995</v>
      </c>
      <c r="W326" s="58" t="n">
        <v>0</v>
      </c>
      <c r="X326" s="58" t="n">
        <v>0</v>
      </c>
      <c r="Y326" s="58" t="n">
        <v>0</v>
      </c>
      <c r="Z326" s="59" t="n">
        <v>45899</v>
      </c>
      <c r="AA326" s="59" t="n">
        <v>45899</v>
      </c>
      <c r="AB326" s="59" t="n">
        <v>46628</v>
      </c>
    </row>
    <row r="327">
      <c r="D327" s="36" t="inlineStr">
        <is>
          <t>Station J Town</t>
        </is>
      </c>
      <c r="E327" s="54" t="inlineStr">
        <is>
          <t>K44</t>
        </is>
      </c>
      <c r="F327" s="54" t="inlineStr">
        <is>
          <t>stjt2C2</t>
        </is>
      </c>
      <c r="G327" s="54" t="inlineStr">
        <is>
          <t>3 BD / 1.5 BA</t>
        </is>
      </c>
      <c r="K327" s="36" t="inlineStr">
        <is>
          <t>Ernesto Vives Castillo</t>
        </is>
      </c>
      <c r="L327" s="55" t="n">
        <v>1075</v>
      </c>
      <c r="M327" s="56" t="n">
        <v>3</v>
      </c>
      <c r="N327" s="56" t="n">
        <v>1.5</v>
      </c>
      <c r="Q327" s="57" t="inlineStr">
        <is>
          <t>Occ</t>
        </is>
      </c>
      <c r="U327" s="58" t="n">
        <v>1300</v>
      </c>
      <c r="V327" s="58" t="n">
        <v>1150</v>
      </c>
      <c r="W327" s="58" t="n">
        <v>0</v>
      </c>
      <c r="X327" s="58" t="n">
        <v>0</v>
      </c>
      <c r="Y327" s="58" t="n">
        <v>0</v>
      </c>
      <c r="Z327" s="59" t="n">
        <v>45696</v>
      </c>
      <c r="AA327" s="59" t="n">
        <v>45696</v>
      </c>
      <c r="AB327" s="59" t="n">
        <v>46149</v>
      </c>
    </row>
    <row r="328">
      <c r="D328" s="36" t="inlineStr">
        <is>
          <t>Station J Town</t>
        </is>
      </c>
      <c r="E328" s="54" t="inlineStr">
        <is>
          <t>K45</t>
        </is>
      </c>
      <c r="F328" s="54" t="inlineStr">
        <is>
          <t>stjt2A1</t>
        </is>
      </c>
      <c r="G328" s="54" t="inlineStr">
        <is>
          <t>1 BD / 1 BA</t>
        </is>
      </c>
      <c r="K328" s="36" t="inlineStr">
        <is>
          <t>Jacob Priddy</t>
        </is>
      </c>
      <c r="L328" s="55" t="n">
        <v>850</v>
      </c>
      <c r="M328" s="56" t="n">
        <v>1</v>
      </c>
      <c r="N328" s="56" t="n">
        <v>1</v>
      </c>
      <c r="Q328" s="57" t="inlineStr">
        <is>
          <t>Occ</t>
        </is>
      </c>
      <c r="U328" s="58" t="n">
        <v>990</v>
      </c>
      <c r="V328" s="58" t="n">
        <v>975</v>
      </c>
      <c r="W328" s="58" t="n">
        <v>0</v>
      </c>
      <c r="X328" s="58" t="n">
        <v>0</v>
      </c>
      <c r="Y328" s="58" t="n">
        <v>0</v>
      </c>
      <c r="Z328" s="59" t="n">
        <v>46052</v>
      </c>
      <c r="AA328" s="59" t="n">
        <v>46052</v>
      </c>
      <c r="AB328" s="59" t="n">
        <v>46416</v>
      </c>
    </row>
    <row r="329">
      <c r="D329" s="36" t="inlineStr">
        <is>
          <t>Station J Town</t>
        </is>
      </c>
      <c r="E329" s="54" t="inlineStr">
        <is>
          <t>K46</t>
        </is>
      </c>
      <c r="F329" s="54" t="inlineStr">
        <is>
          <t>stjt2C2</t>
        </is>
      </c>
      <c r="G329" s="54" t="inlineStr">
        <is>
          <t>3 BD / 1.5 BA</t>
        </is>
      </c>
      <c r="K329" s="36" t="inlineStr">
        <is>
          <t>Sherie Horsley</t>
        </is>
      </c>
      <c r="L329" s="55" t="n">
        <v>1075</v>
      </c>
      <c r="M329" s="56" t="n">
        <v>3</v>
      </c>
      <c r="N329" s="56" t="n">
        <v>1.5</v>
      </c>
      <c r="Q329" s="57" t="inlineStr">
        <is>
          <t>Occ</t>
        </is>
      </c>
      <c r="U329" s="58" t="n">
        <v>1280</v>
      </c>
      <c r="V329" s="58" t="n">
        <v>1150</v>
      </c>
      <c r="W329" s="58" t="n">
        <v>0</v>
      </c>
      <c r="X329" s="58" t="n">
        <v>0</v>
      </c>
      <c r="Y329" s="58" t="n">
        <v>0</v>
      </c>
      <c r="Z329" s="59" t="n">
        <v>45777</v>
      </c>
      <c r="AA329" s="59" t="n">
        <v>45777</v>
      </c>
      <c r="AB329" s="59" t="n">
        <v>46141</v>
      </c>
    </row>
    <row r="330">
      <c r="D330" s="36" t="inlineStr">
        <is>
          <t>Station J Town</t>
        </is>
      </c>
      <c r="E330" s="54" t="inlineStr">
        <is>
          <t>K47</t>
        </is>
      </c>
      <c r="F330" s="54" t="inlineStr">
        <is>
          <t>stjt2A1</t>
        </is>
      </c>
      <c r="G330" s="54" t="inlineStr">
        <is>
          <t>1 BD / 1 BA</t>
        </is>
      </c>
      <c r="K330" s="36" t="inlineStr">
        <is>
          <t>VACANT</t>
        </is>
      </c>
      <c r="L330" s="55" t="n">
        <v>850</v>
      </c>
      <c r="M330" s="56" t="n">
        <v>1</v>
      </c>
      <c r="N330" s="56" t="n">
        <v>1</v>
      </c>
      <c r="Q330" s="57" t="inlineStr">
        <is>
          <t>Vac</t>
        </is>
      </c>
      <c r="U330" s="58" t="n">
        <v>990</v>
      </c>
      <c r="V330" s="58" t="n">
        <v>0</v>
      </c>
      <c r="W330" s="58" t="n">
        <v>0</v>
      </c>
      <c r="X330" s="58" t="n">
        <v>0</v>
      </c>
      <c r="Y330" s="58" t="n">
        <v>0</v>
      </c>
    </row>
    <row r="331">
      <c r="D331" s="36" t="inlineStr">
        <is>
          <t>Station J Town</t>
        </is>
      </c>
      <c r="E331" s="54" t="inlineStr">
        <is>
          <t>K48</t>
        </is>
      </c>
      <c r="F331" s="54" t="inlineStr">
        <is>
          <t>stjt2C2</t>
        </is>
      </c>
      <c r="G331" s="54" t="inlineStr">
        <is>
          <t>3 BD / 1.5 BA</t>
        </is>
      </c>
      <c r="K331" s="36" t="inlineStr">
        <is>
          <t>Pielvi Ngwani Ibanda</t>
        </is>
      </c>
      <c r="L331" s="55" t="n">
        <v>1075</v>
      </c>
      <c r="M331" s="56" t="n">
        <v>3</v>
      </c>
      <c r="N331" s="56" t="n">
        <v>1.5</v>
      </c>
      <c r="Q331" s="57" t="inlineStr">
        <is>
          <t>Occ</t>
        </is>
      </c>
      <c r="U331" s="58" t="n">
        <v>1280</v>
      </c>
      <c r="V331" s="58" t="n">
        <v>1265</v>
      </c>
      <c r="W331" s="58" t="n">
        <v>0</v>
      </c>
      <c r="X331" s="58" t="n">
        <v>0</v>
      </c>
      <c r="Y331" s="58" t="n">
        <v>0</v>
      </c>
      <c r="Z331" s="59" t="n">
        <v>45822</v>
      </c>
      <c r="AA331" s="59" t="n">
        <v>45822</v>
      </c>
      <c r="AB331" s="59" t="n">
        <v>46186</v>
      </c>
    </row>
    <row r="332">
      <c r="D332" s="36" t="inlineStr">
        <is>
          <t>Station J Town</t>
        </is>
      </c>
      <c r="E332" s="54" t="inlineStr">
        <is>
          <t>K49</t>
        </is>
      </c>
      <c r="F332" s="54" t="inlineStr">
        <is>
          <t>stjt2B1R</t>
        </is>
      </c>
      <c r="G332" s="54" t="inlineStr">
        <is>
          <t>2 BD / 1 BA</t>
        </is>
      </c>
      <c r="I332" s="54" t="inlineStr">
        <is>
          <t>Yes</t>
        </is>
      </c>
      <c r="J332" s="54" t="inlineStr">
        <is>
          <t>Full</t>
        </is>
      </c>
      <c r="K332" s="36" t="inlineStr">
        <is>
          <t>Brennon Sosnin</t>
        </is>
      </c>
      <c r="L332" s="55" t="n">
        <v>950</v>
      </c>
      <c r="M332" s="56" t="n">
        <v>2</v>
      </c>
      <c r="N332" s="56" t="n">
        <v>1</v>
      </c>
      <c r="Q332" s="57" t="inlineStr">
        <is>
          <t>Occ</t>
        </is>
      </c>
      <c r="U332" s="58" t="n">
        <v>1120</v>
      </c>
      <c r="V332" s="58" t="n">
        <v>1095</v>
      </c>
      <c r="W332" s="58" t="n">
        <v>0</v>
      </c>
      <c r="X332" s="58" t="n">
        <v>0</v>
      </c>
      <c r="Y332" s="58" t="n">
        <v>0</v>
      </c>
      <c r="Z332" s="59" t="n">
        <v>45869</v>
      </c>
      <c r="AA332" s="59" t="n">
        <v>45869</v>
      </c>
      <c r="AB332" s="59" t="n">
        <v>46264</v>
      </c>
    </row>
    <row r="333">
      <c r="D333" s="36" t="inlineStr">
        <is>
          <t>Station J Town</t>
        </is>
      </c>
      <c r="E333" s="54" t="inlineStr">
        <is>
          <t>K50</t>
        </is>
      </c>
      <c r="F333" s="54" t="inlineStr">
        <is>
          <t>stjt2B1</t>
        </is>
      </c>
      <c r="G333" s="54" t="inlineStr">
        <is>
          <t>2 BD / 1 BA</t>
        </is>
      </c>
      <c r="K333" s="36" t="inlineStr">
        <is>
          <t>VACANT</t>
        </is>
      </c>
      <c r="L333" s="55" t="n">
        <v>950</v>
      </c>
      <c r="M333" s="56" t="n">
        <v>2</v>
      </c>
      <c r="N333" s="56" t="n">
        <v>1</v>
      </c>
      <c r="Q333" s="57" t="inlineStr">
        <is>
          <t>Vac</t>
        </is>
      </c>
      <c r="U333" s="58" t="n">
        <v>965</v>
      </c>
      <c r="V333" s="58" t="n">
        <v>0</v>
      </c>
      <c r="W333" s="58" t="n">
        <v>0</v>
      </c>
      <c r="X333" s="58" t="n">
        <v>0</v>
      </c>
      <c r="Y333" s="58" t="n">
        <v>0</v>
      </c>
    </row>
    <row r="334">
      <c r="D334" s="36" t="inlineStr">
        <is>
          <t>Station J Town</t>
        </is>
      </c>
      <c r="E334" s="54" t="inlineStr">
        <is>
          <t>K51</t>
        </is>
      </c>
      <c r="F334" s="54" t="inlineStr">
        <is>
          <t>stjt2B1R</t>
        </is>
      </c>
      <c r="G334" s="54" t="inlineStr">
        <is>
          <t>2 BD / 1 BA</t>
        </is>
      </c>
      <c r="I334" s="54" t="inlineStr">
        <is>
          <t>Yes</t>
        </is>
      </c>
      <c r="J334" s="54" t="inlineStr">
        <is>
          <t>Full</t>
        </is>
      </c>
      <c r="K334" s="36" t="inlineStr">
        <is>
          <t>Paige Post</t>
        </is>
      </c>
      <c r="L334" s="55" t="n">
        <v>950</v>
      </c>
      <c r="M334" s="56" t="n">
        <v>2</v>
      </c>
      <c r="N334" s="56" t="n">
        <v>1</v>
      </c>
      <c r="Q334" s="57" t="inlineStr">
        <is>
          <t>Occ</t>
        </is>
      </c>
      <c r="U334" s="58" t="n">
        <v>1120</v>
      </c>
      <c r="V334" s="58" t="n">
        <v>1085</v>
      </c>
      <c r="W334" s="58" t="n">
        <v>0</v>
      </c>
      <c r="X334" s="58" t="n">
        <v>0</v>
      </c>
      <c r="Y334" s="58" t="n">
        <v>0</v>
      </c>
      <c r="Z334" s="59" t="n">
        <v>44806</v>
      </c>
      <c r="AA334" s="59" t="n">
        <v>44806</v>
      </c>
      <c r="AB334" s="59" t="n">
        <v>46266</v>
      </c>
    </row>
    <row r="335">
      <c r="D335" s="36" t="inlineStr">
        <is>
          <t>Station J Town</t>
        </is>
      </c>
      <c r="E335" s="54" t="inlineStr">
        <is>
          <t>K52</t>
        </is>
      </c>
      <c r="F335" s="54" t="inlineStr">
        <is>
          <t>stjt2B1R</t>
        </is>
      </c>
      <c r="G335" s="54" t="inlineStr">
        <is>
          <t>2 BD / 1 BA</t>
        </is>
      </c>
      <c r="I335" s="54" t="inlineStr">
        <is>
          <t>Yes</t>
        </is>
      </c>
      <c r="J335" s="54" t="inlineStr">
        <is>
          <t>Full</t>
        </is>
      </c>
      <c r="K335" s="36" t="inlineStr">
        <is>
          <t>VACANT</t>
        </is>
      </c>
      <c r="L335" s="55" t="n">
        <v>950</v>
      </c>
      <c r="M335" s="56" t="n">
        <v>2</v>
      </c>
      <c r="N335" s="56" t="n">
        <v>1</v>
      </c>
      <c r="Q335" s="57" t="inlineStr">
        <is>
          <t>Vac</t>
        </is>
      </c>
      <c r="U335" s="58" t="n">
        <v>1120</v>
      </c>
      <c r="V335" s="58" t="n">
        <v>0</v>
      </c>
      <c r="W335" s="58" t="n">
        <v>0</v>
      </c>
      <c r="X335" s="58" t="n">
        <v>0</v>
      </c>
      <c r="Y335" s="58" t="n">
        <v>0</v>
      </c>
    </row>
    <row r="336">
      <c r="D336" s="36" t="inlineStr">
        <is>
          <t>Station J Town</t>
        </is>
      </c>
      <c r="E336" s="54" t="inlineStr">
        <is>
          <t>K53</t>
        </is>
      </c>
      <c r="F336" s="54" t="inlineStr">
        <is>
          <t>stjt2B1</t>
        </is>
      </c>
      <c r="G336" s="54" t="inlineStr">
        <is>
          <t>2 BD / 1 BA</t>
        </is>
      </c>
      <c r="K336" s="36" t="inlineStr">
        <is>
          <t>Crystal Myers</t>
        </is>
      </c>
      <c r="L336" s="55" t="n">
        <v>950</v>
      </c>
      <c r="M336" s="56" t="n">
        <v>2</v>
      </c>
      <c r="N336" s="56" t="n">
        <v>1</v>
      </c>
      <c r="Q336" s="57" t="inlineStr">
        <is>
          <t>Occ</t>
        </is>
      </c>
      <c r="U336" s="58" t="n">
        <v>1035</v>
      </c>
      <c r="V336" s="58" t="n">
        <v>1015</v>
      </c>
      <c r="W336" s="58" t="n">
        <v>0</v>
      </c>
      <c r="X336" s="58" t="n">
        <v>0</v>
      </c>
      <c r="Y336" s="58" t="n">
        <v>0</v>
      </c>
      <c r="Z336" s="59" t="n">
        <v>42247</v>
      </c>
      <c r="AA336" s="59" t="n">
        <v>42247</v>
      </c>
      <c r="AB336" s="59" t="n">
        <v>46870</v>
      </c>
    </row>
    <row r="337">
      <c r="D337" s="36" t="inlineStr">
        <is>
          <t>Station J Town</t>
        </is>
      </c>
      <c r="E337" s="54" t="inlineStr">
        <is>
          <t>K54</t>
        </is>
      </c>
      <c r="F337" s="54" t="inlineStr">
        <is>
          <t>stjt2B1R</t>
        </is>
      </c>
      <c r="G337" s="54" t="inlineStr">
        <is>
          <t>2 BD / 1 BA</t>
        </is>
      </c>
      <c r="I337" s="54" t="inlineStr">
        <is>
          <t>Yes</t>
        </is>
      </c>
      <c r="J337" s="54" t="inlineStr">
        <is>
          <t>Full</t>
        </is>
      </c>
      <c r="K337" s="36" t="inlineStr">
        <is>
          <t>Justice Higgs</t>
        </is>
      </c>
      <c r="L337" s="55" t="n">
        <v>950</v>
      </c>
      <c r="M337" s="56" t="n">
        <v>2</v>
      </c>
      <c r="N337" s="56" t="n">
        <v>1</v>
      </c>
      <c r="Q337" s="57" t="inlineStr">
        <is>
          <t>Occ</t>
        </is>
      </c>
      <c r="U337" s="58" t="n">
        <v>1135</v>
      </c>
      <c r="V337" s="58" t="n">
        <v>1060</v>
      </c>
      <c r="W337" s="58" t="n">
        <v>0</v>
      </c>
      <c r="X337" s="58" t="n">
        <v>0</v>
      </c>
      <c r="Y337" s="58" t="n">
        <v>0</v>
      </c>
      <c r="Z337" s="59" t="n">
        <v>45740</v>
      </c>
      <c r="AA337" s="59" t="n">
        <v>45740</v>
      </c>
      <c r="AB337" s="59" t="n">
        <v>46469</v>
      </c>
    </row>
    <row r="338">
      <c r="D338" s="36" t="inlineStr">
        <is>
          <t>Station J Town</t>
        </is>
      </c>
      <c r="E338" s="54" t="inlineStr">
        <is>
          <t>K55</t>
        </is>
      </c>
      <c r="F338" s="54" t="inlineStr">
        <is>
          <t>stjt2B1</t>
        </is>
      </c>
      <c r="G338" s="54" t="inlineStr">
        <is>
          <t>2 BD / 1 BA</t>
        </is>
      </c>
      <c r="K338" s="36" t="inlineStr">
        <is>
          <t>Willard Hackworth</t>
        </is>
      </c>
      <c r="L338" s="55" t="n">
        <v>950</v>
      </c>
      <c r="M338" s="56" t="n">
        <v>2</v>
      </c>
      <c r="N338" s="56" t="n">
        <v>1</v>
      </c>
      <c r="Q338" s="57" t="inlineStr">
        <is>
          <t>Occ</t>
        </is>
      </c>
      <c r="U338" s="58" t="n">
        <v>1035</v>
      </c>
      <c r="V338" s="58" t="n">
        <v>1054</v>
      </c>
      <c r="W338" s="58" t="n">
        <v>0</v>
      </c>
      <c r="X338" s="58" t="n">
        <v>0</v>
      </c>
      <c r="Y338" s="58" t="n">
        <v>0</v>
      </c>
      <c r="Z338" s="59" t="n">
        <v>45178</v>
      </c>
      <c r="AA338" s="59" t="n">
        <v>45178</v>
      </c>
      <c r="AB338" s="59" t="n">
        <v>46273</v>
      </c>
    </row>
    <row r="339">
      <c r="D339" s="36" t="inlineStr">
        <is>
          <t>Station J Town</t>
        </is>
      </c>
      <c r="E339" s="54" t="inlineStr">
        <is>
          <t>K56</t>
        </is>
      </c>
      <c r="F339" s="54" t="inlineStr">
        <is>
          <t>stjt2B1</t>
        </is>
      </c>
      <c r="G339" s="54" t="inlineStr">
        <is>
          <t>2 BD / 1 BA</t>
        </is>
      </c>
      <c r="K339" s="36" t="inlineStr">
        <is>
          <t>Tarek Elsum</t>
        </is>
      </c>
      <c r="L339" s="55" t="n">
        <v>950</v>
      </c>
      <c r="M339" s="56" t="n">
        <v>2</v>
      </c>
      <c r="N339" s="56" t="n">
        <v>1</v>
      </c>
      <c r="Q339" s="57" t="inlineStr">
        <is>
          <t>Occ</t>
        </is>
      </c>
      <c r="U339" s="58" t="n">
        <v>1035</v>
      </c>
      <c r="V339" s="58" t="n">
        <v>980</v>
      </c>
      <c r="W339" s="58" t="n">
        <v>0</v>
      </c>
      <c r="X339" s="58" t="n">
        <v>0</v>
      </c>
      <c r="Y339" s="58" t="n">
        <v>0</v>
      </c>
      <c r="Z339" s="59" t="n">
        <v>44571</v>
      </c>
      <c r="AA339" s="59" t="n">
        <v>44571</v>
      </c>
      <c r="AB339" s="59" t="n">
        <v>46516</v>
      </c>
    </row>
    <row r="340">
      <c r="D340" s="36" t="inlineStr">
        <is>
          <t>Station J Town</t>
        </is>
      </c>
      <c r="E340" s="54" t="inlineStr">
        <is>
          <t>K57</t>
        </is>
      </c>
      <c r="F340" s="54" t="inlineStr">
        <is>
          <t>stjt2B1</t>
        </is>
      </c>
      <c r="G340" s="54" t="inlineStr">
        <is>
          <t>2 BD / 1 BA</t>
        </is>
      </c>
      <c r="K340" s="36" t="inlineStr">
        <is>
          <t>James Brown</t>
        </is>
      </c>
      <c r="L340" s="55" t="n">
        <v>950</v>
      </c>
      <c r="M340" s="56" t="n">
        <v>2</v>
      </c>
      <c r="N340" s="56" t="n">
        <v>1</v>
      </c>
      <c r="Q340" s="57" t="inlineStr">
        <is>
          <t>Occ</t>
        </is>
      </c>
      <c r="U340" s="58" t="n">
        <v>1035</v>
      </c>
      <c r="V340" s="58" t="n">
        <v>1025</v>
      </c>
      <c r="W340" s="58" t="n">
        <v>0</v>
      </c>
      <c r="X340" s="58" t="n">
        <v>0</v>
      </c>
      <c r="Y340" s="58" t="n">
        <v>0</v>
      </c>
      <c r="Z340" s="59" t="n">
        <v>45891</v>
      </c>
      <c r="AA340" s="59" t="n">
        <v>45891</v>
      </c>
      <c r="AB340" s="59" t="n">
        <v>46439</v>
      </c>
    </row>
    <row r="341">
      <c r="D341" s="36" t="inlineStr">
        <is>
          <t>Station J Town</t>
        </is>
      </c>
      <c r="E341" s="54" t="inlineStr">
        <is>
          <t>K58</t>
        </is>
      </c>
      <c r="F341" s="54" t="inlineStr">
        <is>
          <t>stjt2B1</t>
        </is>
      </c>
      <c r="G341" s="54" t="inlineStr">
        <is>
          <t>2 BD / 1 BA</t>
        </is>
      </c>
      <c r="K341" s="36" t="inlineStr">
        <is>
          <t>Joshua Knox</t>
        </is>
      </c>
      <c r="L341" s="55" t="n">
        <v>950</v>
      </c>
      <c r="M341" s="56" t="n">
        <v>2</v>
      </c>
      <c r="N341" s="56" t="n">
        <v>1</v>
      </c>
      <c r="Q341" s="57" t="inlineStr">
        <is>
          <t>Occ</t>
        </is>
      </c>
      <c r="U341" s="58" t="n">
        <v>1035</v>
      </c>
      <c r="V341" s="58" t="n">
        <v>1014</v>
      </c>
      <c r="W341" s="58" t="n">
        <v>0</v>
      </c>
      <c r="X341" s="58" t="n">
        <v>0</v>
      </c>
      <c r="Y341" s="58" t="n">
        <v>0</v>
      </c>
      <c r="Z341" s="59" t="n">
        <v>45726</v>
      </c>
      <c r="AA341" s="59" t="n">
        <v>45726</v>
      </c>
      <c r="AB341" s="59" t="n">
        <v>46455</v>
      </c>
    </row>
    <row r="342">
      <c r="D342" s="36" t="inlineStr">
        <is>
          <t>Station J Town</t>
        </is>
      </c>
      <c r="E342" s="54" t="inlineStr">
        <is>
          <t>K59</t>
        </is>
      </c>
      <c r="F342" s="54" t="inlineStr">
        <is>
          <t>stjt2B1</t>
        </is>
      </c>
      <c r="G342" s="54" t="inlineStr">
        <is>
          <t>2 BD / 1 BA</t>
        </is>
      </c>
      <c r="K342" s="36" t="inlineStr">
        <is>
          <t>Ashley Logsdon</t>
        </is>
      </c>
      <c r="L342" s="55" t="n">
        <v>950</v>
      </c>
      <c r="M342" s="56" t="n">
        <v>2</v>
      </c>
      <c r="N342" s="56" t="n">
        <v>1</v>
      </c>
      <c r="Q342" s="57" t="inlineStr">
        <is>
          <t>Occ</t>
        </is>
      </c>
      <c r="U342" s="58" t="n">
        <v>1035</v>
      </c>
      <c r="V342" s="58" t="n">
        <v>965</v>
      </c>
      <c r="W342" s="58" t="n">
        <v>0</v>
      </c>
      <c r="X342" s="58" t="n">
        <v>0</v>
      </c>
      <c r="Y342" s="58" t="n">
        <v>0</v>
      </c>
      <c r="Z342" s="59" t="n">
        <v>44022</v>
      </c>
      <c r="AA342" s="59" t="n">
        <v>44022</v>
      </c>
      <c r="AB342" s="59" t="n">
        <v>46203</v>
      </c>
    </row>
    <row r="343">
      <c r="D343" s="36" t="inlineStr">
        <is>
          <t>Station J Town</t>
        </is>
      </c>
      <c r="E343" s="54" t="inlineStr">
        <is>
          <t>K60</t>
        </is>
      </c>
      <c r="F343" s="54" t="inlineStr">
        <is>
          <t>stjt2B1</t>
        </is>
      </c>
      <c r="G343" s="54" t="inlineStr">
        <is>
          <t>2 BD / 1 BA</t>
        </is>
      </c>
      <c r="K343" s="36" t="inlineStr">
        <is>
          <t>Damion Head</t>
        </is>
      </c>
      <c r="L343" s="55" t="n">
        <v>950</v>
      </c>
      <c r="M343" s="56" t="n">
        <v>2</v>
      </c>
      <c r="N343" s="56" t="n">
        <v>1</v>
      </c>
      <c r="Q343" s="57" t="inlineStr">
        <is>
          <t>Occ</t>
        </is>
      </c>
      <c r="U343" s="58" t="n">
        <v>1035</v>
      </c>
      <c r="V343" s="58" t="n">
        <v>925</v>
      </c>
      <c r="W343" s="58" t="n">
        <v>0</v>
      </c>
      <c r="X343" s="58" t="n">
        <v>0</v>
      </c>
      <c r="Y343" s="58" t="n">
        <v>0</v>
      </c>
      <c r="Z343" s="59" t="n">
        <v>45990</v>
      </c>
      <c r="AA343" s="59" t="n">
        <v>45990</v>
      </c>
      <c r="AB343" s="59" t="n">
        <v>46354</v>
      </c>
    </row>
    <row r="344">
      <c r="D344" s="36" t="inlineStr">
        <is>
          <t>Station J Town</t>
        </is>
      </c>
      <c r="E344" s="54" t="inlineStr">
        <is>
          <t>K61</t>
        </is>
      </c>
      <c r="F344" s="54" t="inlineStr">
        <is>
          <t>stjt2C2R</t>
        </is>
      </c>
      <c r="G344" s="54" t="inlineStr">
        <is>
          <t>3 BD / 1.5 BA</t>
        </is>
      </c>
      <c r="I344" s="54" t="inlineStr">
        <is>
          <t>Yes</t>
        </is>
      </c>
      <c r="J344" s="54" t="inlineStr">
        <is>
          <t>Full</t>
        </is>
      </c>
      <c r="K344" s="36" t="inlineStr">
        <is>
          <t>Racquel Randolph</t>
        </is>
      </c>
      <c r="L344" s="55" t="n">
        <v>1075</v>
      </c>
      <c r="M344" s="56" t="n">
        <v>3</v>
      </c>
      <c r="N344" s="56" t="n">
        <v>1.5</v>
      </c>
      <c r="Q344" s="57" t="inlineStr">
        <is>
          <t>Occ</t>
        </is>
      </c>
      <c r="U344" s="58" t="n">
        <v>1399</v>
      </c>
      <c r="V344" s="58" t="n">
        <v>1399</v>
      </c>
      <c r="W344" s="58" t="n">
        <v>0</v>
      </c>
      <c r="X344" s="58" t="n">
        <v>0</v>
      </c>
      <c r="Y344" s="58" t="n">
        <v>0</v>
      </c>
      <c r="Z344" s="59" t="n">
        <v>46142</v>
      </c>
      <c r="AA344" s="59" t="n">
        <v>46142</v>
      </c>
      <c r="AB344" s="59" t="n">
        <v>46506</v>
      </c>
    </row>
    <row r="345">
      <c r="D345" s="36" t="inlineStr">
        <is>
          <t>Station J Town</t>
        </is>
      </c>
      <c r="E345" s="54" t="inlineStr">
        <is>
          <t>K62</t>
        </is>
      </c>
      <c r="F345" s="54" t="inlineStr">
        <is>
          <t>stjt2A1R</t>
        </is>
      </c>
      <c r="G345" s="54" t="inlineStr">
        <is>
          <t>1 BD / 1 BA</t>
        </is>
      </c>
      <c r="I345" s="54" t="inlineStr">
        <is>
          <t>Yes</t>
        </is>
      </c>
      <c r="J345" s="54" t="inlineStr">
        <is>
          <t>Full</t>
        </is>
      </c>
      <c r="K345" s="36" t="inlineStr">
        <is>
          <t>Bryce Callahan</t>
        </is>
      </c>
      <c r="L345" s="55" t="n">
        <v>850</v>
      </c>
      <c r="M345" s="56" t="n">
        <v>1</v>
      </c>
      <c r="N345" s="56" t="n">
        <v>1</v>
      </c>
      <c r="Q345" s="57" t="inlineStr">
        <is>
          <t>Occ</t>
        </is>
      </c>
      <c r="U345" s="58" t="n">
        <v>1040</v>
      </c>
      <c r="V345" s="58" t="n">
        <v>985</v>
      </c>
      <c r="W345" s="58" t="n">
        <v>0</v>
      </c>
      <c r="X345" s="58" t="n">
        <v>0</v>
      </c>
      <c r="Y345" s="58" t="n">
        <v>0</v>
      </c>
      <c r="Z345" s="59" t="n">
        <v>46017</v>
      </c>
      <c r="AA345" s="59" t="n">
        <v>46017</v>
      </c>
      <c r="AB345" s="59" t="n">
        <v>46381</v>
      </c>
    </row>
    <row r="346">
      <c r="D346" s="36" t="inlineStr">
        <is>
          <t>Station J Town</t>
        </is>
      </c>
      <c r="E346" s="54" t="inlineStr">
        <is>
          <t>K63</t>
        </is>
      </c>
      <c r="F346" s="54" t="inlineStr">
        <is>
          <t>stjt2C2R</t>
        </is>
      </c>
      <c r="G346" s="54" t="inlineStr">
        <is>
          <t>3 BD / 1.5 BA</t>
        </is>
      </c>
      <c r="I346" s="54" t="inlineStr">
        <is>
          <t>Yes</t>
        </is>
      </c>
      <c r="J346" s="54" t="inlineStr">
        <is>
          <t>Full</t>
        </is>
      </c>
      <c r="K346" s="36" t="inlineStr">
        <is>
          <t>Pascal Ndahimana</t>
        </is>
      </c>
      <c r="L346" s="55" t="n">
        <v>1075</v>
      </c>
      <c r="M346" s="56" t="n">
        <v>3</v>
      </c>
      <c r="N346" s="56" t="n">
        <v>1.5</v>
      </c>
      <c r="Q346" s="57" t="inlineStr">
        <is>
          <t>Occ</t>
        </is>
      </c>
      <c r="U346" s="58" t="n">
        <v>1399</v>
      </c>
      <c r="V346" s="58" t="n">
        <v>1350</v>
      </c>
      <c r="W346" s="58" t="n">
        <v>0</v>
      </c>
      <c r="X346" s="58" t="n">
        <v>0</v>
      </c>
      <c r="Y346" s="58" t="n">
        <v>0</v>
      </c>
      <c r="Z346" s="59" t="n">
        <v>45800</v>
      </c>
      <c r="AA346" s="59" t="n">
        <v>45800</v>
      </c>
      <c r="AB346" s="59" t="n">
        <v>46164</v>
      </c>
    </row>
    <row r="347">
      <c r="D347" s="36" t="inlineStr">
        <is>
          <t>Station J Town</t>
        </is>
      </c>
      <c r="E347" s="54" t="inlineStr">
        <is>
          <t>K64</t>
        </is>
      </c>
      <c r="F347" s="54" t="inlineStr">
        <is>
          <t>stjt2A1</t>
        </is>
      </c>
      <c r="G347" s="54" t="inlineStr">
        <is>
          <t>1 BD / 1 BA</t>
        </is>
      </c>
      <c r="K347" s="36" t="inlineStr">
        <is>
          <t>Tyler Koons</t>
        </is>
      </c>
      <c r="L347" s="55" t="n">
        <v>850</v>
      </c>
      <c r="M347" s="56" t="n">
        <v>1</v>
      </c>
      <c r="N347" s="56" t="n">
        <v>1</v>
      </c>
      <c r="Q347" s="57" t="inlineStr">
        <is>
          <t>Occ</t>
        </is>
      </c>
      <c r="U347" s="58" t="n">
        <v>975</v>
      </c>
      <c r="V347" s="58" t="n">
        <v>815</v>
      </c>
      <c r="W347" s="58" t="n">
        <v>0</v>
      </c>
      <c r="X347" s="58" t="n">
        <v>0</v>
      </c>
      <c r="Y347" s="58" t="n">
        <v>0</v>
      </c>
      <c r="Z347" s="59" t="n">
        <v>45297</v>
      </c>
      <c r="AA347" s="59" t="n">
        <v>45297</v>
      </c>
      <c r="AB347" s="59" t="n">
        <v>46848</v>
      </c>
    </row>
    <row r="348">
      <c r="D348" s="36" t="inlineStr">
        <is>
          <t>Station J Town</t>
        </is>
      </c>
      <c r="E348" s="54" t="inlineStr">
        <is>
          <t>K65</t>
        </is>
      </c>
      <c r="F348" s="54" t="inlineStr">
        <is>
          <t>stjt2C2</t>
        </is>
      </c>
      <c r="G348" s="54" t="inlineStr">
        <is>
          <t>3 BD / 1.5 BA</t>
        </is>
      </c>
      <c r="K348" s="36" t="inlineStr">
        <is>
          <t>Mario Ramos Perez</t>
        </is>
      </c>
      <c r="L348" s="55" t="n">
        <v>1075</v>
      </c>
      <c r="M348" s="56" t="n">
        <v>3</v>
      </c>
      <c r="N348" s="56" t="n">
        <v>1.5</v>
      </c>
      <c r="Q348" s="57" t="inlineStr">
        <is>
          <t>Occ</t>
        </is>
      </c>
      <c r="U348" s="58" t="n">
        <v>1280</v>
      </c>
      <c r="V348" s="58" t="n">
        <v>999</v>
      </c>
      <c r="W348" s="58" t="n">
        <v>0</v>
      </c>
      <c r="X348" s="58" t="n">
        <v>0</v>
      </c>
      <c r="Y348" s="58" t="n">
        <v>0</v>
      </c>
      <c r="Z348" s="59" t="n">
        <v>45976</v>
      </c>
      <c r="AA348" s="59" t="n">
        <v>45976</v>
      </c>
      <c r="AB348" s="59" t="n">
        <v>46340</v>
      </c>
    </row>
    <row r="349">
      <c r="D349" s="36" t="inlineStr">
        <is>
          <t>Station J Town</t>
        </is>
      </c>
      <c r="E349" s="54" t="inlineStr">
        <is>
          <t>K66</t>
        </is>
      </c>
      <c r="F349" s="54" t="inlineStr">
        <is>
          <t>stjt2A1</t>
        </is>
      </c>
      <c r="G349" s="54" t="inlineStr">
        <is>
          <t>1 BD / 1 BA</t>
        </is>
      </c>
      <c r="K349" s="36" t="inlineStr">
        <is>
          <t>Everardo Reyes Clemente</t>
        </is>
      </c>
      <c r="L349" s="55" t="n">
        <v>850</v>
      </c>
      <c r="M349" s="56" t="n">
        <v>1</v>
      </c>
      <c r="N349" s="56" t="n">
        <v>1</v>
      </c>
      <c r="Q349" s="57" t="inlineStr">
        <is>
          <t>Occ</t>
        </is>
      </c>
      <c r="U349" s="58" t="n">
        <v>990</v>
      </c>
      <c r="V349" s="58" t="n">
        <v>930</v>
      </c>
      <c r="W349" s="58" t="n">
        <v>0</v>
      </c>
      <c r="X349" s="58" t="n">
        <v>0</v>
      </c>
      <c r="Y349" s="58" t="n">
        <v>0</v>
      </c>
      <c r="Z349" s="59" t="n">
        <v>43386</v>
      </c>
      <c r="AA349" s="59" t="n">
        <v>43386</v>
      </c>
      <c r="AB349" s="59" t="n">
        <v>46201</v>
      </c>
    </row>
    <row r="350">
      <c r="D350" s="36" t="inlineStr">
        <is>
          <t>Station J Town</t>
        </is>
      </c>
      <c r="E350" s="54" t="inlineStr">
        <is>
          <t>K67</t>
        </is>
      </c>
      <c r="F350" s="54" t="inlineStr">
        <is>
          <t>stjt2C2R</t>
        </is>
      </c>
      <c r="G350" s="54" t="inlineStr">
        <is>
          <t>3 BD / 1.5 BA</t>
        </is>
      </c>
      <c r="I350" s="54" t="inlineStr">
        <is>
          <t>Yes</t>
        </is>
      </c>
      <c r="J350" s="54" t="inlineStr">
        <is>
          <t>Full</t>
        </is>
      </c>
      <c r="K350" s="36" t="inlineStr">
        <is>
          <t>Lauryn Ringle</t>
        </is>
      </c>
      <c r="L350" s="55" t="n">
        <v>1075</v>
      </c>
      <c r="M350" s="56" t="n">
        <v>3</v>
      </c>
      <c r="N350" s="56" t="n">
        <v>1.5</v>
      </c>
      <c r="Q350" s="57" t="inlineStr">
        <is>
          <t>Occ</t>
        </is>
      </c>
      <c r="U350" s="58" t="n">
        <v>1414</v>
      </c>
      <c r="V350" s="58" t="n">
        <v>1035</v>
      </c>
      <c r="W350" s="58" t="n">
        <v>0</v>
      </c>
      <c r="X350" s="58" t="n">
        <v>0</v>
      </c>
      <c r="Y350" s="58" t="n">
        <v>0</v>
      </c>
      <c r="Z350" s="59" t="n">
        <v>45716</v>
      </c>
      <c r="AA350" s="59" t="n">
        <v>45716</v>
      </c>
      <c r="AB350" s="59" t="n">
        <v>46169</v>
      </c>
    </row>
    <row r="351">
      <c r="D351" s="36" t="inlineStr">
        <is>
          <t>Station J Town</t>
        </is>
      </c>
      <c r="E351" s="54" t="inlineStr">
        <is>
          <t>K68</t>
        </is>
      </c>
      <c r="F351" s="54" t="inlineStr">
        <is>
          <t>stjt2A1</t>
        </is>
      </c>
      <c r="G351" s="54" t="inlineStr">
        <is>
          <t>1 BD / 1 BA</t>
        </is>
      </c>
      <c r="K351" s="36" t="inlineStr">
        <is>
          <t>Latricia Henry</t>
        </is>
      </c>
      <c r="L351" s="55" t="n">
        <v>850</v>
      </c>
      <c r="M351" s="56" t="n">
        <v>1</v>
      </c>
      <c r="N351" s="56" t="n">
        <v>1</v>
      </c>
      <c r="Q351" s="57" t="inlineStr">
        <is>
          <t>Occ</t>
        </is>
      </c>
      <c r="U351" s="58" t="n">
        <v>990</v>
      </c>
      <c r="V351" s="58" t="n">
        <v>925</v>
      </c>
      <c r="W351" s="58" t="n">
        <v>0</v>
      </c>
      <c r="X351" s="58" t="n">
        <v>0</v>
      </c>
      <c r="Y351" s="58" t="n">
        <v>0</v>
      </c>
      <c r="Z351" s="59" t="n">
        <v>45835</v>
      </c>
      <c r="AA351" s="59" t="n">
        <v>45835</v>
      </c>
      <c r="AB351" s="59" t="n">
        <v>46199</v>
      </c>
    </row>
    <row r="352">
      <c r="D352" s="36" t="inlineStr">
        <is>
          <t>Station J Town</t>
        </is>
      </c>
      <c r="E352" s="54" t="inlineStr">
        <is>
          <t>K69</t>
        </is>
      </c>
      <c r="F352" s="54" t="inlineStr">
        <is>
          <t>stjt2C2R</t>
        </is>
      </c>
      <c r="G352" s="54" t="inlineStr">
        <is>
          <t>3 BD / 1.5 BA</t>
        </is>
      </c>
      <c r="I352" s="54" t="inlineStr">
        <is>
          <t>Yes</t>
        </is>
      </c>
      <c r="J352" s="54" t="inlineStr">
        <is>
          <t>Full</t>
        </is>
      </c>
      <c r="K352" s="36" t="inlineStr">
        <is>
          <t>Alduvis Construction Llc</t>
        </is>
      </c>
      <c r="L352" s="55" t="n">
        <v>1075</v>
      </c>
      <c r="M352" s="56" t="n">
        <v>3</v>
      </c>
      <c r="N352" s="56" t="n">
        <v>1.5</v>
      </c>
      <c r="Q352" s="57" t="inlineStr">
        <is>
          <t>Occ</t>
        </is>
      </c>
      <c r="U352" s="58" t="n">
        <v>1414</v>
      </c>
      <c r="V352" s="58" t="n">
        <v>1315</v>
      </c>
      <c r="W352" s="58" t="n">
        <v>0</v>
      </c>
      <c r="X352" s="58" t="n">
        <v>0</v>
      </c>
      <c r="Y352" s="58" t="n">
        <v>0</v>
      </c>
      <c r="Z352" s="59" t="n">
        <v>45912</v>
      </c>
      <c r="AA352" s="59" t="n">
        <v>45912</v>
      </c>
      <c r="AB352" s="59" t="n">
        <v>46641</v>
      </c>
    </row>
    <row r="353">
      <c r="D353" s="36" t="inlineStr">
        <is>
          <t>Station J Town</t>
        </is>
      </c>
      <c r="E353" s="54" t="inlineStr">
        <is>
          <t>K70</t>
        </is>
      </c>
      <c r="F353" s="54" t="inlineStr">
        <is>
          <t>stjt2A1R</t>
        </is>
      </c>
      <c r="G353" s="54" t="inlineStr">
        <is>
          <t>1 BD / 1 BA</t>
        </is>
      </c>
      <c r="I353" s="54" t="inlineStr">
        <is>
          <t>Yes</t>
        </is>
      </c>
      <c r="J353" s="54" t="inlineStr">
        <is>
          <t>Full</t>
        </is>
      </c>
      <c r="K353" s="36" t="inlineStr">
        <is>
          <t>Kadence Ripley</t>
        </is>
      </c>
      <c r="L353" s="55" t="n">
        <v>850</v>
      </c>
      <c r="M353" s="56" t="n">
        <v>1</v>
      </c>
      <c r="N353" s="56" t="n">
        <v>1</v>
      </c>
      <c r="Q353" s="57" t="inlineStr">
        <is>
          <t>Occ</t>
        </is>
      </c>
      <c r="U353" s="58" t="n">
        <v>1055</v>
      </c>
      <c r="V353" s="58" t="n">
        <v>900</v>
      </c>
      <c r="W353" s="58" t="n">
        <v>0</v>
      </c>
      <c r="X353" s="58" t="n">
        <v>0</v>
      </c>
      <c r="Y353" s="58" t="n">
        <v>0</v>
      </c>
      <c r="Z353" s="59" t="n">
        <v>45629</v>
      </c>
      <c r="AA353" s="59" t="n">
        <v>45629</v>
      </c>
      <c r="AB353" s="59" t="n">
        <v>46175</v>
      </c>
    </row>
    <row r="354">
      <c r="D354" s="36" t="inlineStr">
        <is>
          <t>Station J Town</t>
        </is>
      </c>
      <c r="E354" s="54" t="inlineStr">
        <is>
          <t>K71</t>
        </is>
      </c>
      <c r="F354" s="54" t="inlineStr">
        <is>
          <t>stjt2C2</t>
        </is>
      </c>
      <c r="G354" s="54" t="inlineStr">
        <is>
          <t>3 BD / 1.5 BA</t>
        </is>
      </c>
      <c r="K354" s="36" t="inlineStr">
        <is>
          <t>Tyron Traynor</t>
        </is>
      </c>
      <c r="L354" s="55" t="n">
        <v>1075</v>
      </c>
      <c r="M354" s="56" t="n">
        <v>3</v>
      </c>
      <c r="N354" s="56" t="n">
        <v>1.5</v>
      </c>
      <c r="Q354" s="57" t="inlineStr">
        <is>
          <t>Occ</t>
        </is>
      </c>
      <c r="U354" s="58" t="n">
        <v>1280</v>
      </c>
      <c r="V354" s="58" t="n">
        <v>925</v>
      </c>
      <c r="W354" s="58" t="n">
        <v>0</v>
      </c>
      <c r="X354" s="58" t="n">
        <v>0</v>
      </c>
      <c r="Y354" s="58" t="n">
        <v>0</v>
      </c>
      <c r="Z354" s="59" t="n">
        <v>45737</v>
      </c>
      <c r="AA354" s="59" t="n">
        <v>45737</v>
      </c>
      <c r="AB354" s="59" t="n">
        <v>46193</v>
      </c>
    </row>
    <row r="355">
      <c r="D355" s="36" t="inlineStr">
        <is>
          <t>Station J Town</t>
        </is>
      </c>
      <c r="E355" s="54" t="inlineStr">
        <is>
          <t>K72</t>
        </is>
      </c>
      <c r="F355" s="54" t="inlineStr">
        <is>
          <t>stjt2A1R</t>
        </is>
      </c>
      <c r="G355" s="54" t="inlineStr">
        <is>
          <t>1 BD / 1 BA</t>
        </is>
      </c>
      <c r="I355" s="54" t="inlineStr">
        <is>
          <t>Yes</t>
        </is>
      </c>
      <c r="J355" s="54" t="inlineStr">
        <is>
          <t>Full</t>
        </is>
      </c>
      <c r="K355" s="36" t="inlineStr">
        <is>
          <t>Miah Gutierrez-Mayorquin</t>
        </is>
      </c>
      <c r="L355" s="55" t="n">
        <v>850</v>
      </c>
      <c r="M355" s="56" t="n">
        <v>1</v>
      </c>
      <c r="N355" s="56" t="n">
        <v>1</v>
      </c>
      <c r="Q355" s="57" t="inlineStr">
        <is>
          <t>Occ</t>
        </is>
      </c>
      <c r="U355" s="58" t="n">
        <v>1055</v>
      </c>
      <c r="V355" s="58" t="n">
        <v>999</v>
      </c>
      <c r="W355" s="58" t="n">
        <v>0</v>
      </c>
      <c r="X355" s="58" t="n">
        <v>0</v>
      </c>
      <c r="Y355" s="58" t="n">
        <v>0</v>
      </c>
      <c r="Z355" s="59" t="n">
        <v>45771</v>
      </c>
      <c r="AA355" s="59" t="n">
        <v>45771</v>
      </c>
      <c r="AB355" s="59" t="n">
        <v>46318</v>
      </c>
    </row>
    <row r="356">
      <c r="D356" s="36" t="inlineStr">
        <is>
          <t>Station J Town</t>
        </is>
      </c>
      <c r="E356" s="54" t="inlineStr">
        <is>
          <t>L01</t>
        </is>
      </c>
      <c r="F356" s="54" t="inlineStr">
        <is>
          <t>stjt2A1</t>
        </is>
      </c>
      <c r="G356" s="54" t="inlineStr">
        <is>
          <t>1 BD / 1 BA</t>
        </is>
      </c>
      <c r="K356" s="36" t="inlineStr">
        <is>
          <t>Samuel Davis</t>
        </is>
      </c>
      <c r="L356" s="55" t="n">
        <v>850</v>
      </c>
      <c r="M356" s="56" t="n">
        <v>1</v>
      </c>
      <c r="N356" s="56" t="n">
        <v>1</v>
      </c>
      <c r="Q356" s="57" t="inlineStr">
        <is>
          <t>Occ</t>
        </is>
      </c>
      <c r="U356" s="58" t="n">
        <v>975</v>
      </c>
      <c r="V356" s="58" t="n">
        <v>910</v>
      </c>
      <c r="W356" s="58" t="n">
        <v>0</v>
      </c>
      <c r="X356" s="58" t="n">
        <v>0</v>
      </c>
      <c r="Y356" s="58" t="n">
        <v>0</v>
      </c>
      <c r="Z356" s="59" t="n">
        <v>45503</v>
      </c>
      <c r="AA356" s="59" t="n">
        <v>45503</v>
      </c>
      <c r="AB356" s="59" t="n">
        <v>46232</v>
      </c>
    </row>
    <row r="357">
      <c r="D357" s="36" t="inlineStr">
        <is>
          <t>Station J Town</t>
        </is>
      </c>
      <c r="E357" s="54" t="inlineStr">
        <is>
          <t>L02</t>
        </is>
      </c>
      <c r="F357" s="54" t="inlineStr">
        <is>
          <t>stjt2C2R</t>
        </is>
      </c>
      <c r="G357" s="54" t="inlineStr">
        <is>
          <t>3 BD / 1.5 BA</t>
        </is>
      </c>
      <c r="I357" s="54" t="inlineStr">
        <is>
          <t>Yes</t>
        </is>
      </c>
      <c r="J357" s="54" t="inlineStr">
        <is>
          <t>Full</t>
        </is>
      </c>
      <c r="K357" s="36" t="inlineStr">
        <is>
          <t>Johana Perez</t>
        </is>
      </c>
      <c r="L357" s="55" t="n">
        <v>1075</v>
      </c>
      <c r="M357" s="56" t="n">
        <v>3</v>
      </c>
      <c r="N357" s="56" t="n">
        <v>1.5</v>
      </c>
      <c r="Q357" s="57" t="inlineStr">
        <is>
          <t>Occ</t>
        </is>
      </c>
      <c r="U357" s="58" t="n">
        <v>1399</v>
      </c>
      <c r="V357" s="58" t="n">
        <v>1350</v>
      </c>
      <c r="W357" s="58" t="n">
        <v>0</v>
      </c>
      <c r="X357" s="58" t="n">
        <v>0</v>
      </c>
      <c r="Y357" s="58" t="n">
        <v>0</v>
      </c>
      <c r="Z357" s="59" t="n">
        <v>45765</v>
      </c>
      <c r="AA357" s="59" t="n">
        <v>45765</v>
      </c>
      <c r="AB357" s="59" t="n">
        <v>46494</v>
      </c>
    </row>
    <row r="358">
      <c r="D358" s="36" t="inlineStr">
        <is>
          <t>Station J Town</t>
        </is>
      </c>
      <c r="E358" s="54" t="inlineStr">
        <is>
          <t>L03</t>
        </is>
      </c>
      <c r="F358" s="54" t="inlineStr">
        <is>
          <t>stjt2A1</t>
        </is>
      </c>
      <c r="G358" s="54" t="inlineStr">
        <is>
          <t>1 BD / 1 BA</t>
        </is>
      </c>
      <c r="K358" s="36" t="inlineStr">
        <is>
          <t>Kirby Fiscus~</t>
        </is>
      </c>
      <c r="L358" s="55" t="n">
        <v>850</v>
      </c>
      <c r="M358" s="56" t="n">
        <v>1</v>
      </c>
      <c r="N358" s="56" t="n">
        <v>1</v>
      </c>
      <c r="Q358" s="57" t="inlineStr">
        <is>
          <t>Occ</t>
        </is>
      </c>
      <c r="U358" s="58" t="n">
        <v>975</v>
      </c>
      <c r="V358" s="58" t="n">
        <v>960</v>
      </c>
      <c r="W358" s="58" t="n">
        <v>0</v>
      </c>
      <c r="X358" s="58" t="n">
        <v>0</v>
      </c>
      <c r="Y358" s="58" t="n">
        <v>0</v>
      </c>
      <c r="Z358" s="59" t="n">
        <v>45369</v>
      </c>
      <c r="AA358" s="59" t="n">
        <v>45369</v>
      </c>
      <c r="AB358" s="59" t="n">
        <v>46461</v>
      </c>
    </row>
    <row r="359">
      <c r="D359" s="36" t="inlineStr">
        <is>
          <t>Station J Town</t>
        </is>
      </c>
      <c r="E359" s="54" t="inlineStr">
        <is>
          <t>L04</t>
        </is>
      </c>
      <c r="F359" s="54" t="inlineStr">
        <is>
          <t>stjt2C2</t>
        </is>
      </c>
      <c r="G359" s="54" t="inlineStr">
        <is>
          <t>3 BD / 1.5 BA</t>
        </is>
      </c>
      <c r="K359" s="36" t="inlineStr">
        <is>
          <t>Ravyn Mack</t>
        </is>
      </c>
      <c r="L359" s="55" t="n">
        <v>1075</v>
      </c>
      <c r="M359" s="56" t="n">
        <v>3</v>
      </c>
      <c r="N359" s="56" t="n">
        <v>1.5</v>
      </c>
      <c r="Q359" s="57" t="inlineStr">
        <is>
          <t>Occ</t>
        </is>
      </c>
      <c r="U359" s="58" t="n">
        <v>1265</v>
      </c>
      <c r="V359" s="58" t="n">
        <v>1290</v>
      </c>
      <c r="W359" s="58" t="n">
        <v>0</v>
      </c>
      <c r="X359" s="58" t="n">
        <v>0</v>
      </c>
      <c r="Y359" s="58" t="n">
        <v>0</v>
      </c>
      <c r="Z359" s="59" t="n">
        <v>45551</v>
      </c>
      <c r="AA359" s="59" t="n">
        <v>45551</v>
      </c>
      <c r="AB359" s="59" t="n">
        <v>46280</v>
      </c>
    </row>
    <row r="360">
      <c r="D360" s="36" t="inlineStr">
        <is>
          <t>Station J Town</t>
        </is>
      </c>
      <c r="E360" s="54" t="inlineStr">
        <is>
          <t>L05</t>
        </is>
      </c>
      <c r="F360" s="54" t="inlineStr">
        <is>
          <t>stjt2A1</t>
        </is>
      </c>
      <c r="G360" s="54" t="inlineStr">
        <is>
          <t>1 BD / 1 BA</t>
        </is>
      </c>
      <c r="K360" s="36" t="inlineStr">
        <is>
          <t>Megan Hayes</t>
        </is>
      </c>
      <c r="L360" s="55" t="n">
        <v>850</v>
      </c>
      <c r="M360" s="56" t="n">
        <v>1</v>
      </c>
      <c r="N360" s="56" t="n">
        <v>1</v>
      </c>
      <c r="Q360" s="57" t="inlineStr">
        <is>
          <t>Occ</t>
        </is>
      </c>
      <c r="U360" s="58" t="n">
        <v>990</v>
      </c>
      <c r="V360" s="58" t="n">
        <v>875</v>
      </c>
      <c r="W360" s="58" t="n">
        <v>0</v>
      </c>
      <c r="X360" s="58" t="n">
        <v>0</v>
      </c>
      <c r="Y360" s="58" t="n">
        <v>0</v>
      </c>
      <c r="Z360" s="59" t="n">
        <v>44810</v>
      </c>
      <c r="AA360" s="59" t="n">
        <v>44810</v>
      </c>
      <c r="AB360" s="59" t="n">
        <v>46270</v>
      </c>
    </row>
    <row r="361">
      <c r="D361" s="36" t="inlineStr">
        <is>
          <t>Station J Town</t>
        </is>
      </c>
      <c r="E361" s="54" t="inlineStr">
        <is>
          <t>L06</t>
        </is>
      </c>
      <c r="F361" s="54" t="inlineStr">
        <is>
          <t>stjt2C2</t>
        </is>
      </c>
      <c r="G361" s="54" t="inlineStr">
        <is>
          <t>3 BD / 1.5 BA</t>
        </is>
      </c>
      <c r="K361" s="36" t="inlineStr">
        <is>
          <t>Isaiah Bennett</t>
        </is>
      </c>
      <c r="L361" s="55" t="n">
        <v>1075</v>
      </c>
      <c r="M361" s="56" t="n">
        <v>3</v>
      </c>
      <c r="N361" s="56" t="n">
        <v>1.5</v>
      </c>
      <c r="Q361" s="57" t="inlineStr">
        <is>
          <t>Occ</t>
        </is>
      </c>
      <c r="U361" s="58" t="n">
        <v>1280</v>
      </c>
      <c r="V361" s="58" t="n">
        <v>1150</v>
      </c>
      <c r="W361" s="58" t="n">
        <v>0</v>
      </c>
      <c r="X361" s="58" t="n">
        <v>0</v>
      </c>
      <c r="Y361" s="58" t="n">
        <v>0</v>
      </c>
      <c r="Z361" s="59" t="n">
        <v>45765</v>
      </c>
      <c r="AA361" s="59" t="n">
        <v>45765</v>
      </c>
      <c r="AB361" s="59" t="n">
        <v>46129</v>
      </c>
    </row>
    <row r="362">
      <c r="D362" s="36" t="inlineStr">
        <is>
          <t>Station J Town</t>
        </is>
      </c>
      <c r="E362" s="54" t="inlineStr">
        <is>
          <t>L07</t>
        </is>
      </c>
      <c r="F362" s="54" t="inlineStr">
        <is>
          <t>stjt2A1</t>
        </is>
      </c>
      <c r="G362" s="54" t="inlineStr">
        <is>
          <t>1 BD / 1 BA</t>
        </is>
      </c>
      <c r="K362" s="36" t="inlineStr">
        <is>
          <t>VACANT</t>
        </is>
      </c>
      <c r="L362" s="55" t="n">
        <v>850</v>
      </c>
      <c r="M362" s="56" t="n">
        <v>1</v>
      </c>
      <c r="N362" s="56" t="n">
        <v>1</v>
      </c>
      <c r="Q362" s="57" t="inlineStr">
        <is>
          <t>Vac</t>
        </is>
      </c>
      <c r="U362" s="58" t="n">
        <v>990</v>
      </c>
      <c r="V362" s="58" t="n">
        <v>0</v>
      </c>
      <c r="W362" s="58" t="n">
        <v>0</v>
      </c>
      <c r="X362" s="58" t="n">
        <v>0</v>
      </c>
      <c r="Y362" s="58" t="n">
        <v>0</v>
      </c>
    </row>
    <row r="363">
      <c r="D363" s="36" t="inlineStr">
        <is>
          <t>Station J Town</t>
        </is>
      </c>
      <c r="E363" s="54" t="inlineStr">
        <is>
          <t>L08</t>
        </is>
      </c>
      <c r="F363" s="54" t="inlineStr">
        <is>
          <t>stjt2C2</t>
        </is>
      </c>
      <c r="G363" s="54" t="inlineStr">
        <is>
          <t>3 BD / 1.5 BA</t>
        </is>
      </c>
      <c r="K363" s="36" t="inlineStr">
        <is>
          <t>Miriam Garcia Cruz</t>
        </is>
      </c>
      <c r="L363" s="55" t="n">
        <v>1075</v>
      </c>
      <c r="M363" s="56" t="n">
        <v>3</v>
      </c>
      <c r="N363" s="56" t="n">
        <v>1.5</v>
      </c>
      <c r="Q363" s="57" t="inlineStr">
        <is>
          <t>Occ</t>
        </is>
      </c>
      <c r="U363" s="58" t="n">
        <v>1280</v>
      </c>
      <c r="V363" s="58" t="n">
        <v>1210</v>
      </c>
      <c r="W363" s="58" t="n">
        <v>0</v>
      </c>
      <c r="X363" s="58" t="n">
        <v>0</v>
      </c>
      <c r="Y363" s="58" t="n">
        <v>0</v>
      </c>
      <c r="Z363" s="59" t="n">
        <v>44805</v>
      </c>
      <c r="AA363" s="59" t="n">
        <v>44805</v>
      </c>
      <c r="AB363" s="59" t="n">
        <v>46296</v>
      </c>
    </row>
    <row r="364">
      <c r="D364" s="36" t="inlineStr">
        <is>
          <t>Station J Town</t>
        </is>
      </c>
      <c r="E364" s="54" t="inlineStr">
        <is>
          <t>L09</t>
        </is>
      </c>
      <c r="F364" s="54" t="inlineStr">
        <is>
          <t>stjt2A1</t>
        </is>
      </c>
      <c r="G364" s="54" t="inlineStr">
        <is>
          <t>1 BD / 1 BA</t>
        </is>
      </c>
      <c r="K364" s="36" t="inlineStr">
        <is>
          <t>Hawa Mugala</t>
        </is>
      </c>
      <c r="L364" s="55" t="n">
        <v>850</v>
      </c>
      <c r="M364" s="56" t="n">
        <v>1</v>
      </c>
      <c r="N364" s="56" t="n">
        <v>1</v>
      </c>
      <c r="Q364" s="57" t="inlineStr">
        <is>
          <t>Occ</t>
        </is>
      </c>
      <c r="U364" s="58" t="n">
        <v>990</v>
      </c>
      <c r="V364" s="58" t="n">
        <v>925</v>
      </c>
      <c r="W364" s="58" t="n">
        <v>0</v>
      </c>
      <c r="X364" s="58" t="n">
        <v>0</v>
      </c>
      <c r="Y364" s="58" t="n">
        <v>0</v>
      </c>
      <c r="Z364" s="59" t="n">
        <v>46021</v>
      </c>
      <c r="AA364" s="59" t="n">
        <v>46021</v>
      </c>
      <c r="AB364" s="59" t="n">
        <v>46385</v>
      </c>
    </row>
    <row r="365">
      <c r="D365" s="36" t="inlineStr">
        <is>
          <t>Station J Town</t>
        </is>
      </c>
      <c r="E365" s="54" t="inlineStr">
        <is>
          <t>L10</t>
        </is>
      </c>
      <c r="F365" s="54" t="inlineStr">
        <is>
          <t>stjt2C2R</t>
        </is>
      </c>
      <c r="G365" s="54" t="inlineStr">
        <is>
          <t>3 BD / 1.5 BA</t>
        </is>
      </c>
      <c r="I365" s="54" t="inlineStr">
        <is>
          <t>Yes</t>
        </is>
      </c>
      <c r="J365" s="54" t="inlineStr">
        <is>
          <t>Full</t>
        </is>
      </c>
      <c r="K365" s="36" t="inlineStr">
        <is>
          <t>Chad Roller</t>
        </is>
      </c>
      <c r="L365" s="55" t="n">
        <v>1075</v>
      </c>
      <c r="M365" s="56" t="n">
        <v>3</v>
      </c>
      <c r="N365" s="56" t="n">
        <v>1.5</v>
      </c>
      <c r="Q365" s="57" t="inlineStr">
        <is>
          <t>Occ</t>
        </is>
      </c>
      <c r="U365" s="58" t="n">
        <v>1414</v>
      </c>
      <c r="V365" s="58" t="n">
        <v>999</v>
      </c>
      <c r="W365" s="58" t="n">
        <v>0</v>
      </c>
      <c r="X365" s="58" t="n">
        <v>0</v>
      </c>
      <c r="Y365" s="58" t="n">
        <v>0</v>
      </c>
      <c r="Z365" s="59" t="n">
        <v>45974</v>
      </c>
      <c r="AA365" s="59" t="n">
        <v>45974</v>
      </c>
      <c r="AB365" s="59" t="n">
        <v>46338</v>
      </c>
    </row>
    <row r="366">
      <c r="D366" s="36" t="inlineStr">
        <is>
          <t>Station J Town</t>
        </is>
      </c>
      <c r="E366" s="54" t="inlineStr">
        <is>
          <t>L11</t>
        </is>
      </c>
      <c r="F366" s="54" t="inlineStr">
        <is>
          <t>stjt2A1</t>
        </is>
      </c>
      <c r="G366" s="54" t="inlineStr">
        <is>
          <t>1 BD / 1 BA</t>
        </is>
      </c>
      <c r="K366" s="36" t="inlineStr">
        <is>
          <t>Kaydence Thurman</t>
        </is>
      </c>
      <c r="L366" s="55" t="n">
        <v>850</v>
      </c>
      <c r="M366" s="56" t="n">
        <v>1</v>
      </c>
      <c r="N366" s="56" t="n">
        <v>1</v>
      </c>
      <c r="Q366" s="57" t="inlineStr">
        <is>
          <t>Occ</t>
        </is>
      </c>
      <c r="U366" s="58" t="n">
        <v>990</v>
      </c>
      <c r="V366" s="58" t="n">
        <v>975</v>
      </c>
      <c r="W366" s="58" t="n">
        <v>0</v>
      </c>
      <c r="X366" s="58" t="n">
        <v>0</v>
      </c>
      <c r="Y366" s="58" t="n">
        <v>0</v>
      </c>
      <c r="Z366" s="59" t="n">
        <v>45899</v>
      </c>
      <c r="AA366" s="59" t="n">
        <v>45899</v>
      </c>
      <c r="AB366" s="59" t="n">
        <v>46263</v>
      </c>
    </row>
    <row r="367">
      <c r="D367" s="36" t="inlineStr">
        <is>
          <t>Station J Town</t>
        </is>
      </c>
      <c r="E367" s="54" t="inlineStr">
        <is>
          <t>L12</t>
        </is>
      </c>
      <c r="F367" s="54" t="inlineStr">
        <is>
          <t>stjt2C2</t>
        </is>
      </c>
      <c r="G367" s="54" t="inlineStr">
        <is>
          <t>3 BD / 1.5 BA</t>
        </is>
      </c>
      <c r="K367" s="36" t="inlineStr">
        <is>
          <t>Mizunique Pointer</t>
        </is>
      </c>
      <c r="L367" s="55" t="n">
        <v>1075</v>
      </c>
      <c r="M367" s="56" t="n">
        <v>3</v>
      </c>
      <c r="N367" s="56" t="n">
        <v>1.5</v>
      </c>
      <c r="Q367" s="57" t="inlineStr">
        <is>
          <t>Occ</t>
        </is>
      </c>
      <c r="U367" s="58" t="n">
        <v>1300</v>
      </c>
      <c r="V367" s="58" t="n">
        <v>999</v>
      </c>
      <c r="W367" s="58" t="n">
        <v>0</v>
      </c>
      <c r="X367" s="58" t="n">
        <v>0</v>
      </c>
      <c r="Y367" s="58" t="n">
        <v>0</v>
      </c>
      <c r="Z367" s="59" t="n">
        <v>46032</v>
      </c>
      <c r="AA367" s="59" t="n">
        <v>46032</v>
      </c>
      <c r="AB367" s="59" t="n">
        <v>46577</v>
      </c>
    </row>
    <row r="368">
      <c r="D368" s="36" t="inlineStr">
        <is>
          <t>Station J Town</t>
        </is>
      </c>
      <c r="E368" s="54" t="inlineStr">
        <is>
          <t>L13</t>
        </is>
      </c>
      <c r="F368" s="54" t="inlineStr">
        <is>
          <t>stjt2B1</t>
        </is>
      </c>
      <c r="G368" s="54" t="inlineStr">
        <is>
          <t>2 BD / 1 BA</t>
        </is>
      </c>
      <c r="K368" s="36" t="inlineStr">
        <is>
          <t>Almus Rivera</t>
        </is>
      </c>
      <c r="L368" s="55" t="n">
        <v>950</v>
      </c>
      <c r="M368" s="56" t="n">
        <v>2</v>
      </c>
      <c r="N368" s="56" t="n">
        <v>1</v>
      </c>
      <c r="Q368" s="57" t="inlineStr">
        <is>
          <t>Occ</t>
        </is>
      </c>
      <c r="U368" s="58" t="n">
        <v>1020</v>
      </c>
      <c r="V368" s="58" t="n">
        <v>1010</v>
      </c>
      <c r="W368" s="58" t="n">
        <v>0</v>
      </c>
      <c r="X368" s="58" t="n">
        <v>0</v>
      </c>
      <c r="Y368" s="58" t="n">
        <v>0</v>
      </c>
      <c r="Z368" s="59" t="n">
        <v>45892</v>
      </c>
      <c r="AA368" s="59" t="n">
        <v>45892</v>
      </c>
      <c r="AB368" s="59" t="n">
        <v>46256</v>
      </c>
    </row>
    <row r="369">
      <c r="D369" s="36" t="inlineStr">
        <is>
          <t>Station J Town</t>
        </is>
      </c>
      <c r="E369" s="54" t="inlineStr">
        <is>
          <t>L14</t>
        </is>
      </c>
      <c r="F369" s="54" t="inlineStr">
        <is>
          <t>stjt2B1</t>
        </is>
      </c>
      <c r="G369" s="54" t="inlineStr">
        <is>
          <t>2 BD / 1 BA</t>
        </is>
      </c>
      <c r="K369" s="36" t="inlineStr">
        <is>
          <t>William Nuss</t>
        </is>
      </c>
      <c r="L369" s="55" t="n">
        <v>950</v>
      </c>
      <c r="M369" s="56" t="n">
        <v>2</v>
      </c>
      <c r="N369" s="56" t="n">
        <v>1</v>
      </c>
      <c r="Q369" s="57" t="inlineStr">
        <is>
          <t>Occ</t>
        </is>
      </c>
      <c r="U369" s="58" t="n">
        <v>1020</v>
      </c>
      <c r="V369" s="58" t="n">
        <v>999</v>
      </c>
      <c r="W369" s="58" t="n">
        <v>0</v>
      </c>
      <c r="X369" s="58" t="n">
        <v>0</v>
      </c>
      <c r="Y369" s="58" t="n">
        <v>0</v>
      </c>
      <c r="Z369" s="59" t="n">
        <v>45777</v>
      </c>
      <c r="AA369" s="59" t="n">
        <v>45777</v>
      </c>
      <c r="AB369" s="59" t="n">
        <v>46232</v>
      </c>
    </row>
    <row r="370">
      <c r="D370" s="36" t="inlineStr">
        <is>
          <t>Station J Town</t>
        </is>
      </c>
      <c r="E370" s="54" t="inlineStr">
        <is>
          <t>L15</t>
        </is>
      </c>
      <c r="F370" s="54" t="inlineStr">
        <is>
          <t>stjt2B1R</t>
        </is>
      </c>
      <c r="G370" s="54" t="inlineStr">
        <is>
          <t>2 BD / 1 BA</t>
        </is>
      </c>
      <c r="I370" s="54" t="inlineStr">
        <is>
          <t>Yes</t>
        </is>
      </c>
      <c r="J370" s="54" t="inlineStr">
        <is>
          <t>Full</t>
        </is>
      </c>
      <c r="K370" s="36" t="inlineStr">
        <is>
          <t>David Long</t>
        </is>
      </c>
      <c r="L370" s="55" t="n">
        <v>950</v>
      </c>
      <c r="M370" s="56" t="n">
        <v>2</v>
      </c>
      <c r="N370" s="56" t="n">
        <v>1</v>
      </c>
      <c r="Q370" s="57" t="inlineStr">
        <is>
          <t>Occ</t>
        </is>
      </c>
      <c r="U370" s="58" t="n">
        <v>1120</v>
      </c>
      <c r="V370" s="58" t="n">
        <v>1110</v>
      </c>
      <c r="W370" s="58" t="n">
        <v>0</v>
      </c>
      <c r="X370" s="58" t="n">
        <v>0</v>
      </c>
      <c r="Y370" s="58" t="n">
        <v>0</v>
      </c>
      <c r="Z370" s="59" t="n">
        <v>45890</v>
      </c>
      <c r="AA370" s="59" t="n">
        <v>45890</v>
      </c>
      <c r="AB370" s="59" t="n">
        <v>46254</v>
      </c>
    </row>
    <row r="371">
      <c r="D371" s="36" t="inlineStr">
        <is>
          <t>Station J Town</t>
        </is>
      </c>
      <c r="E371" s="54" t="inlineStr">
        <is>
          <t>L16</t>
        </is>
      </c>
      <c r="F371" s="54" t="inlineStr">
        <is>
          <t>stjt2B1</t>
        </is>
      </c>
      <c r="G371" s="54" t="inlineStr">
        <is>
          <t>2 BD / 1 BA</t>
        </is>
      </c>
      <c r="K371" s="36" t="inlineStr">
        <is>
          <t>Debora Ndeke</t>
        </is>
      </c>
      <c r="L371" s="55" t="n">
        <v>950</v>
      </c>
      <c r="M371" s="56" t="n">
        <v>2</v>
      </c>
      <c r="N371" s="56" t="n">
        <v>1</v>
      </c>
      <c r="Q371" s="57" t="inlineStr">
        <is>
          <t>Occ</t>
        </is>
      </c>
      <c r="U371" s="58" t="n">
        <v>1020</v>
      </c>
      <c r="V371" s="58" t="n">
        <v>999</v>
      </c>
      <c r="W371" s="58" t="n">
        <v>0</v>
      </c>
      <c r="X371" s="58" t="n">
        <v>0</v>
      </c>
      <c r="Y371" s="58" t="n">
        <v>0</v>
      </c>
      <c r="Z371" s="59" t="n">
        <v>45800</v>
      </c>
      <c r="AA371" s="59" t="n">
        <v>45800</v>
      </c>
      <c r="AB371" s="59" t="n">
        <v>46164</v>
      </c>
    </row>
    <row r="372">
      <c r="D372" s="36" t="inlineStr">
        <is>
          <t>Station J Town</t>
        </is>
      </c>
      <c r="E372" s="54" t="inlineStr">
        <is>
          <t>L17</t>
        </is>
      </c>
      <c r="F372" s="54" t="inlineStr">
        <is>
          <t>stjt2B1R</t>
        </is>
      </c>
      <c r="G372" s="54" t="inlineStr">
        <is>
          <t>2 BD / 1 BA</t>
        </is>
      </c>
      <c r="I372" s="54" t="inlineStr">
        <is>
          <t>Yes</t>
        </is>
      </c>
      <c r="J372" s="54" t="inlineStr">
        <is>
          <t>Full</t>
        </is>
      </c>
      <c r="K372" s="36" t="inlineStr">
        <is>
          <t>Alexis Hainesworth</t>
        </is>
      </c>
      <c r="L372" s="55" t="n">
        <v>950</v>
      </c>
      <c r="M372" s="56" t="n">
        <v>2</v>
      </c>
      <c r="N372" s="56" t="n">
        <v>1</v>
      </c>
      <c r="Q372" s="57" t="inlineStr">
        <is>
          <t>Occ</t>
        </is>
      </c>
      <c r="U372" s="58" t="n">
        <v>1135</v>
      </c>
      <c r="V372" s="58" t="n">
        <v>1050</v>
      </c>
      <c r="W372" s="58" t="n">
        <v>0</v>
      </c>
      <c r="X372" s="58" t="n">
        <v>0</v>
      </c>
      <c r="Y372" s="58" t="n">
        <v>0</v>
      </c>
      <c r="Z372" s="59" t="n">
        <v>45444</v>
      </c>
      <c r="AA372" s="59" t="n">
        <v>45444</v>
      </c>
      <c r="AB372" s="59" t="n">
        <v>46173</v>
      </c>
    </row>
    <row r="373">
      <c r="D373" s="36" t="inlineStr">
        <is>
          <t>Station J Town</t>
        </is>
      </c>
      <c r="E373" s="54" t="inlineStr">
        <is>
          <t>L18</t>
        </is>
      </c>
      <c r="F373" s="54" t="inlineStr">
        <is>
          <t>stjt2B1</t>
        </is>
      </c>
      <c r="G373" s="54" t="inlineStr">
        <is>
          <t>2 BD / 1 BA</t>
        </is>
      </c>
      <c r="K373" s="36" t="inlineStr">
        <is>
          <t>Jaylen Sanders</t>
        </is>
      </c>
      <c r="L373" s="55" t="n">
        <v>950</v>
      </c>
      <c r="M373" s="56" t="n">
        <v>2</v>
      </c>
      <c r="N373" s="56" t="n">
        <v>1</v>
      </c>
      <c r="Q373" s="57" t="inlineStr">
        <is>
          <t>Occ</t>
        </is>
      </c>
      <c r="U373" s="58" t="n">
        <v>1100</v>
      </c>
      <c r="V373" s="58" t="n">
        <v>1030</v>
      </c>
      <c r="W373" s="58" t="n">
        <v>0</v>
      </c>
      <c r="X373" s="58" t="n">
        <v>0</v>
      </c>
      <c r="Y373" s="58" t="n">
        <v>0</v>
      </c>
      <c r="Z373" s="59" t="n">
        <v>44951</v>
      </c>
      <c r="AA373" s="59" t="n">
        <v>44951</v>
      </c>
      <c r="AB373" s="59" t="n">
        <v>46501</v>
      </c>
    </row>
    <row r="374">
      <c r="D374" s="36" t="inlineStr">
        <is>
          <t>Station J Town</t>
        </is>
      </c>
      <c r="E374" s="54" t="inlineStr">
        <is>
          <t>L19</t>
        </is>
      </c>
      <c r="F374" s="54" t="inlineStr">
        <is>
          <t>stjt2B1R</t>
        </is>
      </c>
      <c r="G374" s="54" t="inlineStr">
        <is>
          <t>2 BD / 1 BA</t>
        </is>
      </c>
      <c r="I374" s="54" t="inlineStr">
        <is>
          <t>Yes</t>
        </is>
      </c>
      <c r="J374" s="54" t="inlineStr">
        <is>
          <t>Full</t>
        </is>
      </c>
      <c r="K374" s="36" t="inlineStr">
        <is>
          <t>Noah Carter</t>
        </is>
      </c>
      <c r="L374" s="55" t="n">
        <v>950</v>
      </c>
      <c r="M374" s="56" t="n">
        <v>2</v>
      </c>
      <c r="N374" s="56" t="n">
        <v>1</v>
      </c>
      <c r="Q374" s="57" t="inlineStr">
        <is>
          <t>Occ</t>
        </is>
      </c>
      <c r="U374" s="58" t="n">
        <v>1135</v>
      </c>
      <c r="V374" s="58" t="n">
        <v>1100</v>
      </c>
      <c r="W374" s="58" t="n">
        <v>0</v>
      </c>
      <c r="X374" s="58" t="n">
        <v>0</v>
      </c>
      <c r="Y374" s="58" t="n">
        <v>0</v>
      </c>
      <c r="Z374" s="59" t="n">
        <v>45549</v>
      </c>
      <c r="AA374" s="59" t="n">
        <v>45549</v>
      </c>
      <c r="AB374" s="59" t="n">
        <v>46278</v>
      </c>
    </row>
    <row r="375">
      <c r="D375" s="36" t="inlineStr">
        <is>
          <t>Station J Town</t>
        </is>
      </c>
      <c r="E375" s="54" t="inlineStr">
        <is>
          <t>L20</t>
        </is>
      </c>
      <c r="F375" s="54" t="inlineStr">
        <is>
          <t>stjt2B1R</t>
        </is>
      </c>
      <c r="G375" s="54" t="inlineStr">
        <is>
          <t>2 BD / 1 BA</t>
        </is>
      </c>
      <c r="I375" s="54" t="inlineStr">
        <is>
          <t>Yes</t>
        </is>
      </c>
      <c r="J375" s="54" t="inlineStr">
        <is>
          <t>Full</t>
        </is>
      </c>
      <c r="K375" s="36" t="inlineStr">
        <is>
          <t>Amarrii Burkley</t>
        </is>
      </c>
      <c r="L375" s="55" t="n">
        <v>950</v>
      </c>
      <c r="M375" s="56" t="n">
        <v>2</v>
      </c>
      <c r="N375" s="56" t="n">
        <v>1</v>
      </c>
      <c r="Q375" s="57" t="inlineStr">
        <is>
          <t>Occ</t>
        </is>
      </c>
      <c r="U375" s="58" t="n">
        <v>1135</v>
      </c>
      <c r="V375" s="58" t="n">
        <v>1060</v>
      </c>
      <c r="W375" s="58" t="n">
        <v>0</v>
      </c>
      <c r="X375" s="58" t="n">
        <v>0</v>
      </c>
      <c r="Y375" s="58" t="n">
        <v>0</v>
      </c>
      <c r="Z375" s="59" t="n">
        <v>45731</v>
      </c>
      <c r="AA375" s="59" t="n">
        <v>45731</v>
      </c>
      <c r="AB375" s="59" t="n">
        <v>46187</v>
      </c>
    </row>
    <row r="376">
      <c r="D376" s="36" t="inlineStr">
        <is>
          <t>Station J Town</t>
        </is>
      </c>
      <c r="E376" s="54" t="inlineStr">
        <is>
          <t>L21</t>
        </is>
      </c>
      <c r="F376" s="54" t="inlineStr">
        <is>
          <t>stjt2B1</t>
        </is>
      </c>
      <c r="G376" s="54" t="inlineStr">
        <is>
          <t>2 BD / 1 BA</t>
        </is>
      </c>
      <c r="K376" s="36" t="inlineStr">
        <is>
          <t>VACANT</t>
        </is>
      </c>
      <c r="L376" s="55" t="n">
        <v>950</v>
      </c>
      <c r="M376" s="56" t="n">
        <v>2</v>
      </c>
      <c r="N376" s="56" t="n">
        <v>1</v>
      </c>
      <c r="Q376" s="57" t="inlineStr">
        <is>
          <t>Vac</t>
        </is>
      </c>
      <c r="U376" s="58" t="n">
        <v>965</v>
      </c>
      <c r="V376" s="58" t="n">
        <v>0</v>
      </c>
      <c r="W376" s="58" t="n">
        <v>0</v>
      </c>
      <c r="X376" s="58" t="n">
        <v>0</v>
      </c>
      <c r="Y376" s="58" t="n">
        <v>0</v>
      </c>
    </row>
    <row r="377">
      <c r="D377" s="36" t="inlineStr">
        <is>
          <t>Station J Town</t>
        </is>
      </c>
      <c r="E377" s="54" t="inlineStr">
        <is>
          <t>L22</t>
        </is>
      </c>
      <c r="F377" s="54" t="inlineStr">
        <is>
          <t>stjt2B1</t>
        </is>
      </c>
      <c r="G377" s="54" t="inlineStr">
        <is>
          <t>2 BD / 1 BA</t>
        </is>
      </c>
      <c r="K377" s="36" t="inlineStr">
        <is>
          <t>Veronica Givens</t>
        </is>
      </c>
      <c r="L377" s="55" t="n">
        <v>950</v>
      </c>
      <c r="M377" s="56" t="n">
        <v>2</v>
      </c>
      <c r="N377" s="56" t="n">
        <v>1</v>
      </c>
      <c r="Q377" s="57" t="inlineStr">
        <is>
          <t>Occ</t>
        </is>
      </c>
      <c r="U377" s="58" t="n">
        <v>1035</v>
      </c>
      <c r="V377" s="58" t="n">
        <v>988</v>
      </c>
      <c r="W377" s="58" t="n">
        <v>0</v>
      </c>
      <c r="X377" s="58" t="n">
        <v>0</v>
      </c>
      <c r="Y377" s="58" t="n">
        <v>0</v>
      </c>
      <c r="Z377" s="59" t="n">
        <v>44834</v>
      </c>
      <c r="AA377" s="59" t="n">
        <v>44834</v>
      </c>
      <c r="AB377" s="59" t="n">
        <v>46257</v>
      </c>
    </row>
    <row r="378">
      <c r="D378" s="36" t="inlineStr">
        <is>
          <t>Station J Town</t>
        </is>
      </c>
      <c r="E378" s="54" t="inlineStr">
        <is>
          <t>L23</t>
        </is>
      </c>
      <c r="F378" s="54" t="inlineStr">
        <is>
          <t>stjt2B1R</t>
        </is>
      </c>
      <c r="G378" s="54" t="inlineStr">
        <is>
          <t>2 BD / 1 BA</t>
        </is>
      </c>
      <c r="I378" s="54" t="inlineStr">
        <is>
          <t>Yes</t>
        </is>
      </c>
      <c r="J378" s="54" t="inlineStr">
        <is>
          <t>Full</t>
        </is>
      </c>
      <c r="K378" s="36" t="inlineStr">
        <is>
          <t>VACANT</t>
        </is>
      </c>
      <c r="L378" s="55" t="n">
        <v>950</v>
      </c>
      <c r="M378" s="56" t="n">
        <v>2</v>
      </c>
      <c r="N378" s="56" t="n">
        <v>1</v>
      </c>
      <c r="Q378" s="57" t="inlineStr">
        <is>
          <t>Vac</t>
        </is>
      </c>
      <c r="U378" s="58" t="n">
        <v>1120</v>
      </c>
      <c r="V378" s="58" t="n">
        <v>0</v>
      </c>
      <c r="W378" s="58" t="n">
        <v>0</v>
      </c>
      <c r="X378" s="58" t="n">
        <v>0</v>
      </c>
      <c r="Y378" s="58" t="n">
        <v>0</v>
      </c>
    </row>
    <row r="379">
      <c r="D379" s="36" t="inlineStr">
        <is>
          <t>Station J Town</t>
        </is>
      </c>
      <c r="E379" s="54" t="inlineStr">
        <is>
          <t>L24</t>
        </is>
      </c>
      <c r="F379" s="54" t="inlineStr">
        <is>
          <t>stjt2B1</t>
        </is>
      </c>
      <c r="G379" s="54" t="inlineStr">
        <is>
          <t>2 BD / 1 BA</t>
        </is>
      </c>
      <c r="K379" s="36" t="inlineStr">
        <is>
          <t>Cameron Hamby</t>
        </is>
      </c>
      <c r="L379" s="55" t="n">
        <v>950</v>
      </c>
      <c r="M379" s="56" t="n">
        <v>2</v>
      </c>
      <c r="N379" s="56" t="n">
        <v>1</v>
      </c>
      <c r="Q379" s="57" t="inlineStr">
        <is>
          <t>Occ</t>
        </is>
      </c>
      <c r="U379" s="58" t="n">
        <v>1035</v>
      </c>
      <c r="V379" s="58" t="n">
        <v>954</v>
      </c>
      <c r="W379" s="58" t="n">
        <v>0</v>
      </c>
      <c r="X379" s="58" t="n">
        <v>0</v>
      </c>
      <c r="Y379" s="58" t="n">
        <v>0</v>
      </c>
      <c r="Z379" s="59" t="n">
        <v>44484</v>
      </c>
      <c r="AA379" s="59" t="n">
        <v>44484</v>
      </c>
      <c r="AB379" s="59" t="n">
        <v>46248</v>
      </c>
    </row>
    <row r="380">
      <c r="D380" s="36" t="inlineStr">
        <is>
          <t>Station J Town</t>
        </is>
      </c>
      <c r="E380" s="54" t="inlineStr">
        <is>
          <t>L25</t>
        </is>
      </c>
      <c r="F380" s="54" t="inlineStr">
        <is>
          <t>stjt2C2R</t>
        </is>
      </c>
      <c r="G380" s="54" t="inlineStr">
        <is>
          <t>3 BD / 1.5 BA</t>
        </is>
      </c>
      <c r="I380" s="54" t="inlineStr">
        <is>
          <t>Yes</t>
        </is>
      </c>
      <c r="J380" s="54" t="inlineStr">
        <is>
          <t>Full</t>
        </is>
      </c>
      <c r="K380" s="36" t="inlineStr">
        <is>
          <t>Pamela Cleaver</t>
        </is>
      </c>
      <c r="L380" s="55" t="n">
        <v>1075</v>
      </c>
      <c r="M380" s="56" t="n">
        <v>3</v>
      </c>
      <c r="N380" s="56" t="n">
        <v>1.5</v>
      </c>
      <c r="Q380" s="57" t="inlineStr">
        <is>
          <t>Occ</t>
        </is>
      </c>
      <c r="U380" s="58" t="n">
        <v>1399</v>
      </c>
      <c r="V380" s="58" t="n">
        <v>1315</v>
      </c>
      <c r="W380" s="58" t="n">
        <v>0</v>
      </c>
      <c r="X380" s="58" t="n">
        <v>0</v>
      </c>
      <c r="Y380" s="58" t="n">
        <v>0</v>
      </c>
      <c r="Z380" s="59" t="n">
        <v>45898</v>
      </c>
      <c r="AA380" s="59" t="n">
        <v>45898</v>
      </c>
      <c r="AB380" s="59" t="n">
        <v>46262</v>
      </c>
    </row>
    <row r="381">
      <c r="D381" s="36" t="inlineStr">
        <is>
          <t>Station J Town</t>
        </is>
      </c>
      <c r="E381" s="54" t="inlineStr">
        <is>
          <t>L26</t>
        </is>
      </c>
      <c r="F381" s="54" t="inlineStr">
        <is>
          <t>stjt2A1</t>
        </is>
      </c>
      <c r="G381" s="54" t="inlineStr">
        <is>
          <t>1 BD / 1 BA</t>
        </is>
      </c>
      <c r="K381" s="36" t="inlineStr">
        <is>
          <t>Francys C Sequera</t>
        </is>
      </c>
      <c r="L381" s="55" t="n">
        <v>850</v>
      </c>
      <c r="M381" s="56" t="n">
        <v>1</v>
      </c>
      <c r="N381" s="56" t="n">
        <v>1</v>
      </c>
      <c r="Q381" s="57" t="inlineStr">
        <is>
          <t>Occ</t>
        </is>
      </c>
      <c r="U381" s="58" t="n">
        <v>975</v>
      </c>
      <c r="V381" s="58" t="n">
        <v>975</v>
      </c>
      <c r="W381" s="58" t="n">
        <v>0</v>
      </c>
      <c r="X381" s="58" t="n">
        <v>0</v>
      </c>
      <c r="Y381" s="58" t="n">
        <v>0</v>
      </c>
      <c r="Z381" s="59" t="n">
        <v>46142</v>
      </c>
      <c r="AA381" s="59" t="n">
        <v>46142</v>
      </c>
      <c r="AB381" s="59" t="n">
        <v>46567</v>
      </c>
    </row>
    <row r="382">
      <c r="D382" s="36" t="inlineStr">
        <is>
          <t>Station J Town</t>
        </is>
      </c>
      <c r="E382" s="54" t="inlineStr">
        <is>
          <t>L27</t>
        </is>
      </c>
      <c r="F382" s="54" t="inlineStr">
        <is>
          <t>stjt2C2R</t>
        </is>
      </c>
      <c r="G382" s="54" t="inlineStr">
        <is>
          <t>3 BD / 1.5 BA</t>
        </is>
      </c>
      <c r="I382" s="54" t="inlineStr">
        <is>
          <t>Yes</t>
        </is>
      </c>
      <c r="J382" s="54" t="inlineStr">
        <is>
          <t>Full</t>
        </is>
      </c>
      <c r="K382" s="36" t="inlineStr">
        <is>
          <t>Ladecia Anderson</t>
        </is>
      </c>
      <c r="L382" s="55" t="n">
        <v>1075</v>
      </c>
      <c r="M382" s="56" t="n">
        <v>3</v>
      </c>
      <c r="N382" s="56" t="n">
        <v>1.5</v>
      </c>
      <c r="Q382" s="57" t="inlineStr">
        <is>
          <t>Occ</t>
        </is>
      </c>
      <c r="U382" s="58" t="n">
        <v>1399</v>
      </c>
      <c r="V382" s="58" t="n">
        <v>1035</v>
      </c>
      <c r="W382" s="58" t="n">
        <v>0</v>
      </c>
      <c r="X382" s="58" t="n">
        <v>0</v>
      </c>
      <c r="Y382" s="58" t="n">
        <v>0</v>
      </c>
      <c r="Z382" s="59" t="n">
        <v>45618</v>
      </c>
      <c r="AA382" s="59" t="n">
        <v>45618</v>
      </c>
      <c r="AB382" s="59" t="n">
        <v>46163</v>
      </c>
    </row>
    <row r="383">
      <c r="D383" s="36" t="inlineStr">
        <is>
          <t>Station J Town</t>
        </is>
      </c>
      <c r="E383" s="54" t="inlineStr">
        <is>
          <t>L28</t>
        </is>
      </c>
      <c r="F383" s="54" t="inlineStr">
        <is>
          <t>stjt2A1</t>
        </is>
      </c>
      <c r="G383" s="54" t="inlineStr">
        <is>
          <t>1 BD / 1 BA</t>
        </is>
      </c>
      <c r="K383" s="36" t="inlineStr">
        <is>
          <t>Clint Carroll</t>
        </is>
      </c>
      <c r="L383" s="55" t="n">
        <v>850</v>
      </c>
      <c r="M383" s="56" t="n">
        <v>1</v>
      </c>
      <c r="N383" s="56" t="n">
        <v>1</v>
      </c>
      <c r="Q383" s="57" t="inlineStr">
        <is>
          <t>Occ</t>
        </is>
      </c>
      <c r="U383" s="58" t="n">
        <v>975</v>
      </c>
      <c r="V383" s="58" t="n">
        <v>960</v>
      </c>
      <c r="W383" s="58" t="n">
        <v>0</v>
      </c>
      <c r="X383" s="58" t="n">
        <v>0</v>
      </c>
      <c r="Y383" s="58" t="n">
        <v>0</v>
      </c>
      <c r="Z383" s="59" t="n">
        <v>45880</v>
      </c>
      <c r="AA383" s="59" t="n">
        <v>45880</v>
      </c>
      <c r="AB383" s="59" t="n">
        <v>46244</v>
      </c>
    </row>
    <row r="384">
      <c r="D384" s="36" t="inlineStr">
        <is>
          <t>Station J Town</t>
        </is>
      </c>
      <c r="E384" s="54" t="inlineStr">
        <is>
          <t>L29</t>
        </is>
      </c>
      <c r="F384" s="54" t="inlineStr">
        <is>
          <t>stjt2C2R</t>
        </is>
      </c>
      <c r="G384" s="54" t="inlineStr">
        <is>
          <t>3 BD / 1.5 BA</t>
        </is>
      </c>
      <c r="I384" s="54" t="inlineStr">
        <is>
          <t>Yes</t>
        </is>
      </c>
      <c r="J384" s="54" t="inlineStr">
        <is>
          <t>Full</t>
        </is>
      </c>
      <c r="K384" s="36" t="inlineStr">
        <is>
          <t>Sylvie Mbokuba</t>
        </is>
      </c>
      <c r="L384" s="55" t="n">
        <v>1075</v>
      </c>
      <c r="M384" s="56" t="n">
        <v>3</v>
      </c>
      <c r="N384" s="56" t="n">
        <v>1.5</v>
      </c>
      <c r="Q384" s="57" t="inlineStr">
        <is>
          <t>Occ</t>
        </is>
      </c>
      <c r="U384" s="58" t="n">
        <v>1414</v>
      </c>
      <c r="V384" s="58" t="n">
        <v>1315</v>
      </c>
      <c r="W384" s="58" t="n">
        <v>0</v>
      </c>
      <c r="X384" s="58" t="n">
        <v>0</v>
      </c>
      <c r="Y384" s="58" t="n">
        <v>0</v>
      </c>
      <c r="Z384" s="59" t="n">
        <v>45905</v>
      </c>
      <c r="AA384" s="59" t="n">
        <v>45905</v>
      </c>
      <c r="AB384" s="59" t="n">
        <v>46634</v>
      </c>
    </row>
    <row r="385">
      <c r="D385" s="36" t="inlineStr">
        <is>
          <t>Station J Town</t>
        </is>
      </c>
      <c r="E385" s="54" t="inlineStr">
        <is>
          <t>L30</t>
        </is>
      </c>
      <c r="F385" s="54" t="inlineStr">
        <is>
          <t>stjt2A1</t>
        </is>
      </c>
      <c r="G385" s="54" t="inlineStr">
        <is>
          <t>1 BD / 1 BA</t>
        </is>
      </c>
      <c r="K385" s="36" t="inlineStr">
        <is>
          <t>Jose Mendoza Hernandez</t>
        </is>
      </c>
      <c r="L385" s="55" t="n">
        <v>850</v>
      </c>
      <c r="M385" s="56" t="n">
        <v>1</v>
      </c>
      <c r="N385" s="56" t="n">
        <v>1</v>
      </c>
      <c r="Q385" s="57" t="inlineStr">
        <is>
          <t>Occ</t>
        </is>
      </c>
      <c r="U385" s="58" t="n">
        <v>990</v>
      </c>
      <c r="V385" s="58" t="n">
        <v>0</v>
      </c>
      <c r="W385" s="58" t="n">
        <v>0</v>
      </c>
      <c r="X385" s="58" t="n">
        <v>0</v>
      </c>
      <c r="Y385" s="58" t="n">
        <v>0</v>
      </c>
      <c r="Z385" s="59" t="n">
        <v>46142</v>
      </c>
      <c r="AA385" s="59" t="n">
        <v>46142</v>
      </c>
      <c r="AB385" s="59" t="n">
        <v>46567</v>
      </c>
    </row>
    <row r="386">
      <c r="D386" s="36" t="inlineStr">
        <is>
          <t>Station J Town</t>
        </is>
      </c>
      <c r="E386" s="54" t="inlineStr">
        <is>
          <t>L31</t>
        </is>
      </c>
      <c r="F386" s="54" t="inlineStr">
        <is>
          <t>stjt2C2R</t>
        </is>
      </c>
      <c r="G386" s="54" t="inlineStr">
        <is>
          <t>3 BD / 1.5 BA</t>
        </is>
      </c>
      <c r="I386" s="54" t="inlineStr">
        <is>
          <t>Yes</t>
        </is>
      </c>
      <c r="J386" s="54" t="inlineStr">
        <is>
          <t>Full</t>
        </is>
      </c>
      <c r="K386" s="36" t="inlineStr">
        <is>
          <t>Shonda Johnson</t>
        </is>
      </c>
      <c r="L386" s="55" t="n">
        <v>1075</v>
      </c>
      <c r="M386" s="56" t="n">
        <v>3</v>
      </c>
      <c r="N386" s="56" t="n">
        <v>1.5</v>
      </c>
      <c r="Q386" s="57" t="inlineStr">
        <is>
          <t>Occ</t>
        </is>
      </c>
      <c r="U386" s="58" t="n">
        <v>1414</v>
      </c>
      <c r="V386" s="58" t="n">
        <v>1414</v>
      </c>
      <c r="W386" s="58" t="n">
        <v>0</v>
      </c>
      <c r="X386" s="58" t="n">
        <v>0</v>
      </c>
      <c r="Y386" s="58" t="n">
        <v>0</v>
      </c>
      <c r="Z386" s="59" t="n">
        <v>46108</v>
      </c>
      <c r="AA386" s="59" t="n">
        <v>46108</v>
      </c>
      <c r="AB386" s="59" t="n">
        <v>46472</v>
      </c>
    </row>
    <row r="387">
      <c r="D387" s="36" t="inlineStr">
        <is>
          <t>Station J Town</t>
        </is>
      </c>
      <c r="E387" s="54" t="inlineStr">
        <is>
          <t>L32</t>
        </is>
      </c>
      <c r="F387" s="54" t="inlineStr">
        <is>
          <t>stjt2A1</t>
        </is>
      </c>
      <c r="G387" s="54" t="inlineStr">
        <is>
          <t>1 BD / 1 BA</t>
        </is>
      </c>
      <c r="K387" s="36" t="inlineStr">
        <is>
          <t>Hayden Cottrill</t>
        </is>
      </c>
      <c r="L387" s="55" t="n">
        <v>850</v>
      </c>
      <c r="M387" s="56" t="n">
        <v>1</v>
      </c>
      <c r="N387" s="56" t="n">
        <v>1</v>
      </c>
      <c r="Q387" s="57" t="inlineStr">
        <is>
          <t>Occ</t>
        </is>
      </c>
      <c r="U387" s="58" t="n">
        <v>990</v>
      </c>
      <c r="V387" s="58" t="n">
        <v>830</v>
      </c>
      <c r="W387" s="58" t="n">
        <v>0</v>
      </c>
      <c r="X387" s="58" t="n">
        <v>0</v>
      </c>
      <c r="Y387" s="58" t="n">
        <v>0</v>
      </c>
      <c r="Z387" s="59" t="n">
        <v>45323</v>
      </c>
      <c r="AA387" s="59" t="n">
        <v>45323</v>
      </c>
      <c r="AB387" s="59" t="n">
        <v>46507</v>
      </c>
    </row>
    <row r="388">
      <c r="D388" s="36" t="inlineStr">
        <is>
          <t>Station J Town</t>
        </is>
      </c>
      <c r="E388" s="54" t="inlineStr">
        <is>
          <t>L33</t>
        </is>
      </c>
      <c r="F388" s="54" t="inlineStr">
        <is>
          <t>stjt2C2</t>
        </is>
      </c>
      <c r="G388" s="54" t="inlineStr">
        <is>
          <t>3 BD / 1.5 BA</t>
        </is>
      </c>
      <c r="K388" s="36" t="inlineStr">
        <is>
          <t>Jose Castro Morales</t>
        </is>
      </c>
      <c r="L388" s="55" t="n">
        <v>1075</v>
      </c>
      <c r="M388" s="56" t="n">
        <v>3</v>
      </c>
      <c r="N388" s="56" t="n">
        <v>1.5</v>
      </c>
      <c r="Q388" s="57" t="inlineStr">
        <is>
          <t>Occ</t>
        </is>
      </c>
      <c r="U388" s="58" t="n">
        <v>1280</v>
      </c>
      <c r="V388" s="58" t="n">
        <v>1175</v>
      </c>
      <c r="W388" s="58" t="n">
        <v>0</v>
      </c>
      <c r="X388" s="58" t="n">
        <v>0</v>
      </c>
      <c r="Y388" s="58" t="n">
        <v>0</v>
      </c>
      <c r="Z388" s="59" t="n">
        <v>45510</v>
      </c>
      <c r="AA388" s="59" t="n">
        <v>45510</v>
      </c>
      <c r="AB388" s="59" t="n">
        <v>46264</v>
      </c>
    </row>
    <row r="389">
      <c r="D389" s="36" t="inlineStr">
        <is>
          <t>Station J Town</t>
        </is>
      </c>
      <c r="E389" s="54" t="inlineStr">
        <is>
          <t>L34</t>
        </is>
      </c>
      <c r="F389" s="54" t="inlineStr">
        <is>
          <t>stjt2A1</t>
        </is>
      </c>
      <c r="G389" s="54" t="inlineStr">
        <is>
          <t>1 BD / 1 BA</t>
        </is>
      </c>
      <c r="K389" s="36" t="inlineStr">
        <is>
          <t>Juaquaetta Boyd</t>
        </is>
      </c>
      <c r="L389" s="55" t="n">
        <v>850</v>
      </c>
      <c r="M389" s="56" t="n">
        <v>1</v>
      </c>
      <c r="N389" s="56" t="n">
        <v>1</v>
      </c>
      <c r="Q389" s="57" t="inlineStr">
        <is>
          <t>Occ</t>
        </is>
      </c>
      <c r="U389" s="58" t="n">
        <v>990</v>
      </c>
      <c r="V389" s="58" t="n">
        <v>975</v>
      </c>
      <c r="W389" s="58" t="n">
        <v>0</v>
      </c>
      <c r="X389" s="58" t="n">
        <v>0</v>
      </c>
      <c r="Y389" s="58" t="n">
        <v>0</v>
      </c>
      <c r="Z389" s="59" t="n">
        <v>45910</v>
      </c>
      <c r="AA389" s="59" t="n">
        <v>45910</v>
      </c>
      <c r="AB389" s="59" t="n">
        <v>46274</v>
      </c>
    </row>
    <row r="390">
      <c r="D390" s="36" t="inlineStr">
        <is>
          <t>Station J Town</t>
        </is>
      </c>
      <c r="E390" s="54" t="inlineStr">
        <is>
          <t>L35</t>
        </is>
      </c>
      <c r="F390" s="54" t="inlineStr">
        <is>
          <t>stjt2C2R</t>
        </is>
      </c>
      <c r="G390" s="54" t="inlineStr">
        <is>
          <t>3 BD / 1.5 BA</t>
        </is>
      </c>
      <c r="I390" s="54" t="inlineStr">
        <is>
          <t>Yes</t>
        </is>
      </c>
      <c r="J390" s="54" t="inlineStr">
        <is>
          <t>Full</t>
        </is>
      </c>
      <c r="K390" s="36" t="inlineStr">
        <is>
          <t>Lilian Portillo Estrada</t>
        </is>
      </c>
      <c r="L390" s="55" t="n">
        <v>1075</v>
      </c>
      <c r="M390" s="56" t="n">
        <v>3</v>
      </c>
      <c r="N390" s="56" t="n">
        <v>1.5</v>
      </c>
      <c r="Q390" s="57" t="inlineStr">
        <is>
          <t>Occ</t>
        </is>
      </c>
      <c r="U390" s="58" t="n">
        <v>1414</v>
      </c>
      <c r="V390" s="58" t="n">
        <v>1454</v>
      </c>
      <c r="W390" s="58" t="n">
        <v>0</v>
      </c>
      <c r="X390" s="58" t="n">
        <v>0</v>
      </c>
      <c r="Y390" s="58" t="n">
        <v>0</v>
      </c>
      <c r="Z390" s="59" t="n">
        <v>45551</v>
      </c>
      <c r="AA390" s="59" t="n">
        <v>45551</v>
      </c>
      <c r="AB390" s="59" t="n">
        <v>46280</v>
      </c>
    </row>
    <row r="391">
      <c r="D391" s="36" t="inlineStr">
        <is>
          <t>Station J Town</t>
        </is>
      </c>
      <c r="E391" s="54" t="inlineStr">
        <is>
          <t>L36</t>
        </is>
      </c>
      <c r="F391" s="54" t="inlineStr">
        <is>
          <t>stjt2A1</t>
        </is>
      </c>
      <c r="G391" s="54" t="inlineStr">
        <is>
          <t>1 BD / 1 BA</t>
        </is>
      </c>
      <c r="K391" s="36" t="inlineStr">
        <is>
          <t>Alexander Enrique Moreno</t>
        </is>
      </c>
      <c r="L391" s="55" t="n">
        <v>850</v>
      </c>
      <c r="M391" s="56" t="n">
        <v>1</v>
      </c>
      <c r="N391" s="56" t="n">
        <v>1</v>
      </c>
      <c r="Q391" s="57" t="inlineStr">
        <is>
          <t>Occ</t>
        </is>
      </c>
      <c r="U391" s="58" t="n">
        <v>990</v>
      </c>
      <c r="V391" s="58" t="n">
        <v>965</v>
      </c>
      <c r="W391" s="58" t="n">
        <v>0</v>
      </c>
      <c r="X391" s="58" t="n">
        <v>0</v>
      </c>
      <c r="Y391" s="58" t="n">
        <v>0</v>
      </c>
      <c r="Z391" s="59" t="n">
        <v>45911</v>
      </c>
      <c r="AA391" s="59" t="n">
        <v>45911</v>
      </c>
      <c r="AB391" s="59" t="n">
        <v>46284</v>
      </c>
    </row>
    <row r="392">
      <c r="C392" s="60" t="inlineStr">
        <is>
          <t>Total / Wtd. Average</t>
        </is>
      </c>
      <c r="D392" s="61" t="n"/>
      <c r="E392" s="61" t="n"/>
      <c r="F392" s="61" t="n"/>
      <c r="G392" s="62" t="n">
        <v>384</v>
      </c>
      <c r="H392" s="61" t="n"/>
      <c r="I392" s="61" t="n"/>
      <c r="J392" s="61" t="n"/>
      <c r="K392" s="61" t="n"/>
      <c r="L392" s="63" t="n">
        <v>365100</v>
      </c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4" t="n">
        <v>429482</v>
      </c>
      <c r="V392" s="64" t="n">
        <v>385359</v>
      </c>
      <c r="W392" s="64" t="n">
        <v>-1135</v>
      </c>
      <c r="X392" s="64" t="n">
        <v>0</v>
      </c>
      <c r="Y392" s="64" t="n">
        <v>0</v>
      </c>
      <c r="Z392" s="61" t="n"/>
      <c r="AA392" s="61" t="n"/>
      <c r="AB392" s="61" t="n"/>
      <c r="AC392" s="61" t="n"/>
      <c r="AD392" s="61" t="n"/>
      <c r="AE392" s="65" t="n">
        <v>0</v>
      </c>
      <c r="AF392" s="65" t="n">
        <v>0</v>
      </c>
      <c r="AG392" s="6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S415"/>
  <sheetViews>
    <sheetView showGridLines="0" workbookViewId="0">
      <pane ySplit="31" topLeftCell="A32" activePane="bottomLeft" state="frozen"/>
      <selection pane="bottomLeft" activeCell="A1" sqref="A1"/>
    </sheetView>
  </sheetViews>
  <sheetFormatPr baseColWidth="8" defaultRowHeight="15"/>
  <cols>
    <col width="21.6" customWidth="1" min="1" max="1"/>
    <col width="4.1" customWidth="1" min="2" max="2"/>
    <col width="24" customWidth="1" min="3" max="3"/>
    <col width="12.6" customWidth="1" min="5" max="5"/>
    <col width="4.6" customWidth="1" min="6" max="6"/>
    <col width="9.4" customWidth="1" min="7" max="7"/>
    <col width="9.6" customWidth="1" min="8" max="8"/>
    <col width="11.6" customWidth="1" min="10" max="10"/>
    <col width="18.6" customWidth="1" min="11" max="11"/>
    <col width="17.6" customWidth="1" min="12" max="12"/>
    <col width="11.1" customWidth="1" min="13" max="13"/>
    <col width="11.6" customWidth="1" min="14" max="14"/>
    <col width="11.6" customWidth="1" min="15" max="15"/>
    <col width="11.4" customWidth="1" min="16" max="16"/>
    <col width="14.1" customWidth="1" min="17" max="17"/>
    <col width="11.4" customWidth="1" min="18" max="18"/>
    <col width="11.6" customWidth="1" min="19" max="19"/>
    <col width="12.1" customWidth="1" min="20" max="20"/>
    <col width="24" customWidth="1" min="22" max="22"/>
    <col width="12.1" customWidth="1" min="25" max="25"/>
  </cols>
  <sheetData>
    <row r="3">
      <c r="C3" s="67" t="inlineStr">
        <is>
          <t>Checking:</t>
        </is>
      </c>
    </row>
    <row r="4">
      <c r="C4" s="68" t="inlineStr">
        <is>
          <t>Floor Plan</t>
        </is>
      </c>
      <c r="D4" s="68" t="inlineStr">
        <is>
          <t>Unit Type</t>
        </is>
      </c>
      <c r="E4" s="69" t="inlineStr">
        <is>
          <t>BD</t>
        </is>
      </c>
      <c r="F4" s="69" t="inlineStr">
        <is>
          <t>BA</t>
        </is>
      </c>
      <c r="G4" s="69" t="inlineStr">
        <is>
          <t>Renovated</t>
        </is>
      </c>
      <c r="H4" s="70" t="inlineStr">
        <is>
          <t>Units</t>
        </is>
      </c>
      <c r="I4" s="70" t="inlineStr">
        <is>
          <t># Occ</t>
        </is>
      </c>
      <c r="J4" s="70" t="inlineStr">
        <is>
          <t>#Vac</t>
        </is>
      </c>
      <c r="K4" s="70" t="inlineStr">
        <is>
          <t>Avg SF</t>
        </is>
      </c>
      <c r="L4" s="70" t="inlineStr">
        <is>
          <t>Total SF</t>
        </is>
      </c>
      <c r="M4" s="70" t="inlineStr">
        <is>
          <t>Occ SF</t>
        </is>
      </c>
      <c r="N4" s="70" t="inlineStr">
        <is>
          <t>Vac SF</t>
        </is>
      </c>
      <c r="O4" s="70" t="inlineStr">
        <is>
          <t xml:space="preserve">Market Rent </t>
        </is>
      </c>
      <c r="P4" s="70" t="inlineStr">
        <is>
          <t>Rent</t>
        </is>
      </c>
      <c r="Q4" s="70" t="inlineStr">
        <is>
          <t>Other Income</t>
        </is>
      </c>
      <c r="R4" s="70" t="inlineStr">
        <is>
          <t>Concessions</t>
        </is>
      </c>
      <c r="S4" s="70" t="inlineStr">
        <is>
          <t>Emp Discounts</t>
        </is>
      </c>
    </row>
    <row r="5">
      <c r="C5" s="71" t="inlineStr">
        <is>
          <t>1 BD / 1 BA</t>
        </is>
      </c>
      <c r="D5" s="72" t="inlineStr">
        <is>
          <t>stjt2A1</t>
        </is>
      </c>
      <c r="E5" s="73" t="n">
        <v>1</v>
      </c>
      <c r="F5" s="74" t="n">
        <v>1</v>
      </c>
      <c r="G5" s="73" t="inlineStr">
        <is>
          <t>No</t>
        </is>
      </c>
      <c r="H5" s="75">
        <f>COUNTIFS($D$32:$D$415,$C5)</f>
        <v/>
      </c>
      <c r="I5" s="75">
        <f>COUNTIFS($D$32:$D$415,$C5,$C$32:$C$415,"Occ")+COUNTIFS($D$32:$D$415,$C5,$C$32:$C$415,"Admin")+COUNTIFS($D$32:$D$415,$C5,$C$32:$C$415,"Down")+COUNTIFS($D$32:$D$415,$C5,$C$32:$C$415,"Super")+COUNTIFS($D$32:$D$415,$C5,$C$32:$C$415,"Model")</f>
        <v/>
      </c>
      <c r="J5" s="75">
        <f>COUNTIFS($D$32:$D$415,$C5,$C$32:$C$415,"Vac")</f>
        <v/>
      </c>
      <c r="K5" s="75">
        <f>IFERROR(AVERAGEIFS($J$32:$J$415,$D$32:$D$415,$C5),"n/a")</f>
        <v/>
      </c>
      <c r="L5" s="75">
        <f>SUMIFS($J$32:$J$415,$D$32:$D$415,$C5)</f>
        <v/>
      </c>
      <c r="M5" s="75">
        <f>SUMIFS($J$32:$J$415,$D$32:$D$415,$C5,$C$32:$C$415,"Occ")+SUMIFS($J$32:$J$415,$D$32:$D$415,$C5,$C$32:$C$415,"Admin")+SUMIFS($J$32:$J$415,$D$32:$D$415,$C5,$C$32:$C$415,"Down")+SUMIFS($J$32:$J$415,$D$32:$D$415,$C5,$C$32:$C$415,"Super")+SUMIFS($J$32:$J$415,$D$32:$D$415,$C5,$C$32:$C$415,"Model")</f>
        <v/>
      </c>
      <c r="N5" s="75">
        <f>SUMIFS($J$32:$J$415,$D$32:$D$415,$C5,$C$32:$C$415,"Vac")</f>
        <v/>
      </c>
      <c r="O5" s="75">
        <f>SUMIFS($L$32:$L$415,$D$32:$D$415,$C5)</f>
        <v/>
      </c>
      <c r="P5" s="75">
        <f>SUMIFS($M$32:$M$415,$D$32:$D$415,$C5)</f>
        <v/>
      </c>
      <c r="Q5" s="75">
        <f>SUMIFS($R$32:$R$415,$D$32:$D$415,$C5)</f>
        <v/>
      </c>
      <c r="R5" s="75">
        <f>SUMIFS($S$32:$S$415,$D$32:$D$415,$C5)</f>
        <v/>
      </c>
      <c r="S5" s="75">
        <f>SUMIFS($T$32:$T$415,$D$32:$D$415,$C5)</f>
        <v/>
      </c>
    </row>
    <row r="6">
      <c r="C6" s="71" t="inlineStr">
        <is>
          <t>1 BD / 1 BA, R</t>
        </is>
      </c>
      <c r="D6" s="72" t="inlineStr">
        <is>
          <t>stjt2A1R</t>
        </is>
      </c>
      <c r="E6" s="73" t="n">
        <v>1</v>
      </c>
      <c r="F6" s="74" t="n">
        <v>1</v>
      </c>
      <c r="G6" s="73" t="inlineStr">
        <is>
          <t>Yes</t>
        </is>
      </c>
      <c r="H6" s="75">
        <f>COUNTIFS($D$32:$D$415,$C6)</f>
        <v/>
      </c>
      <c r="I6" s="75">
        <f>COUNTIFS($D$32:$D$415,$C6,$C$32:$C$415,"Occ")+COUNTIFS($D$32:$D$415,$C6,$C$32:$C$415,"Admin")+COUNTIFS($D$32:$D$415,$C6,$C$32:$C$415,"Down")+COUNTIFS($D$32:$D$415,$C6,$C$32:$C$415,"Super")+COUNTIFS($D$32:$D$415,$C6,$C$32:$C$415,"Model")</f>
        <v/>
      </c>
      <c r="J6" s="75">
        <f>COUNTIFS($D$32:$D$415,$C6,$C$32:$C$415,"Vac")</f>
        <v/>
      </c>
      <c r="K6" s="75">
        <f>IFERROR(AVERAGEIFS($J$32:$J$415,$D$32:$D$415,$C6),"n/a")</f>
        <v/>
      </c>
      <c r="L6" s="75">
        <f>SUMIFS($J$32:$J$415,$D$32:$D$415,$C6)</f>
        <v/>
      </c>
      <c r="M6" s="75">
        <f>SUMIFS($J$32:$J$415,$D$32:$D$415,$C6,$C$32:$C$415,"Occ")+SUMIFS($J$32:$J$415,$D$32:$D$415,$C6,$C$32:$C$415,"Admin")+SUMIFS($J$32:$J$415,$D$32:$D$415,$C6,$C$32:$C$415,"Down")+SUMIFS($J$32:$J$415,$D$32:$D$415,$C6,$C$32:$C$415,"Super")+SUMIFS($J$32:$J$415,$D$32:$D$415,$C6,$C$32:$C$415,"Model")</f>
        <v/>
      </c>
      <c r="N6" s="75">
        <f>SUMIFS($J$32:$J$415,$D$32:$D$415,$C6,$C$32:$C$415,"Vac")</f>
        <v/>
      </c>
      <c r="O6" s="75">
        <f>SUMIFS($L$32:$L$415,$D$32:$D$415,$C6)</f>
        <v/>
      </c>
      <c r="P6" s="75">
        <f>SUMIFS($M$32:$M$415,$D$32:$D$415,$C6)</f>
        <v/>
      </c>
      <c r="Q6" s="75">
        <f>SUMIFS($R$32:$R$415,$D$32:$D$415,$C6)</f>
        <v/>
      </c>
      <c r="R6" s="75">
        <f>SUMIFS($S$32:$S$415,$D$32:$D$415,$C6)</f>
        <v/>
      </c>
      <c r="S6" s="75">
        <f>SUMIFS($T$32:$T$415,$D$32:$D$415,$C6)</f>
        <v/>
      </c>
    </row>
    <row r="7">
      <c r="C7" s="71" t="inlineStr">
        <is>
          <t>2 BD / 1 BA</t>
        </is>
      </c>
      <c r="D7" s="72" t="inlineStr">
        <is>
          <t>stjt2B1</t>
        </is>
      </c>
      <c r="E7" s="73" t="n">
        <v>2</v>
      </c>
      <c r="F7" s="74" t="n">
        <v>1</v>
      </c>
      <c r="G7" s="73" t="inlineStr">
        <is>
          <t>No</t>
        </is>
      </c>
      <c r="H7" s="75">
        <f>COUNTIFS($D$32:$D$415,$C7)</f>
        <v/>
      </c>
      <c r="I7" s="75">
        <f>COUNTIFS($D$32:$D$415,$C7,$C$32:$C$415,"Occ")+COUNTIFS($D$32:$D$415,$C7,$C$32:$C$415,"Admin")+COUNTIFS($D$32:$D$415,$C7,$C$32:$C$415,"Down")+COUNTIFS($D$32:$D$415,$C7,$C$32:$C$415,"Super")+COUNTIFS($D$32:$D$415,$C7,$C$32:$C$415,"Model")</f>
        <v/>
      </c>
      <c r="J7" s="75">
        <f>COUNTIFS($D$32:$D$415,$C7,$C$32:$C$415,"Vac")</f>
        <v/>
      </c>
      <c r="K7" s="75">
        <f>IFERROR(AVERAGEIFS($J$32:$J$415,$D$32:$D$415,$C7),"n/a")</f>
        <v/>
      </c>
      <c r="L7" s="75">
        <f>SUMIFS($J$32:$J$415,$D$32:$D$415,$C7)</f>
        <v/>
      </c>
      <c r="M7" s="75">
        <f>SUMIFS($J$32:$J$415,$D$32:$D$415,$C7,$C$32:$C$415,"Occ")+SUMIFS($J$32:$J$415,$D$32:$D$415,$C7,$C$32:$C$415,"Admin")+SUMIFS($J$32:$J$415,$D$32:$D$415,$C7,$C$32:$C$415,"Down")+SUMIFS($J$32:$J$415,$D$32:$D$415,$C7,$C$32:$C$415,"Super")+SUMIFS($J$32:$J$415,$D$32:$D$415,$C7,$C$32:$C$415,"Model")</f>
        <v/>
      </c>
      <c r="N7" s="75">
        <f>SUMIFS($J$32:$J$415,$D$32:$D$415,$C7,$C$32:$C$415,"Vac")</f>
        <v/>
      </c>
      <c r="O7" s="75">
        <f>SUMIFS($L$32:$L$415,$D$32:$D$415,$C7)</f>
        <v/>
      </c>
      <c r="P7" s="75">
        <f>SUMIFS($M$32:$M$415,$D$32:$D$415,$C7)</f>
        <v/>
      </c>
      <c r="Q7" s="75">
        <f>SUMIFS($R$32:$R$415,$D$32:$D$415,$C7)</f>
        <v/>
      </c>
      <c r="R7" s="75">
        <f>SUMIFS($S$32:$S$415,$D$32:$D$415,$C7)</f>
        <v/>
      </c>
      <c r="S7" s="75">
        <f>SUMIFS($T$32:$T$415,$D$32:$D$415,$C7)</f>
        <v/>
      </c>
    </row>
    <row r="8">
      <c r="C8" s="71" t="inlineStr">
        <is>
          <t>2 BD / 1 BA, R</t>
        </is>
      </c>
      <c r="D8" s="72" t="inlineStr">
        <is>
          <t>stjt2B1R</t>
        </is>
      </c>
      <c r="E8" s="73" t="n">
        <v>2</v>
      </c>
      <c r="F8" s="74" t="n">
        <v>1</v>
      </c>
      <c r="G8" s="73" t="inlineStr">
        <is>
          <t>Yes</t>
        </is>
      </c>
      <c r="H8" s="75">
        <f>COUNTIFS($D$32:$D$415,$C8)</f>
        <v/>
      </c>
      <c r="I8" s="75">
        <f>COUNTIFS($D$32:$D$415,$C8,$C$32:$C$415,"Occ")+COUNTIFS($D$32:$D$415,$C8,$C$32:$C$415,"Admin")+COUNTIFS($D$32:$D$415,$C8,$C$32:$C$415,"Down")+COUNTIFS($D$32:$D$415,$C8,$C$32:$C$415,"Super")+COUNTIFS($D$32:$D$415,$C8,$C$32:$C$415,"Model")</f>
        <v/>
      </c>
      <c r="J8" s="75">
        <f>COUNTIFS($D$32:$D$415,$C8,$C$32:$C$415,"Vac")</f>
        <v/>
      </c>
      <c r="K8" s="75">
        <f>IFERROR(AVERAGEIFS($J$32:$J$415,$D$32:$D$415,$C8),"n/a")</f>
        <v/>
      </c>
      <c r="L8" s="75">
        <f>SUMIFS($J$32:$J$415,$D$32:$D$415,$C8)</f>
        <v/>
      </c>
      <c r="M8" s="75">
        <f>SUMIFS($J$32:$J$415,$D$32:$D$415,$C8,$C$32:$C$415,"Occ")+SUMIFS($J$32:$J$415,$D$32:$D$415,$C8,$C$32:$C$415,"Admin")+SUMIFS($J$32:$J$415,$D$32:$D$415,$C8,$C$32:$C$415,"Down")+SUMIFS($J$32:$J$415,$D$32:$D$415,$C8,$C$32:$C$415,"Super")+SUMIFS($J$32:$J$415,$D$32:$D$415,$C8,$C$32:$C$415,"Model")</f>
        <v/>
      </c>
      <c r="N8" s="75">
        <f>SUMIFS($J$32:$J$415,$D$32:$D$415,$C8,$C$32:$C$415,"Vac")</f>
        <v/>
      </c>
      <c r="O8" s="75">
        <f>SUMIFS($L$32:$L$415,$D$32:$D$415,$C8)</f>
        <v/>
      </c>
      <c r="P8" s="75">
        <f>SUMIFS($M$32:$M$415,$D$32:$D$415,$C8)</f>
        <v/>
      </c>
      <c r="Q8" s="75">
        <f>SUMIFS($R$32:$R$415,$D$32:$D$415,$C8)</f>
        <v/>
      </c>
      <c r="R8" s="75">
        <f>SUMIFS($S$32:$S$415,$D$32:$D$415,$C8)</f>
        <v/>
      </c>
      <c r="S8" s="75">
        <f>SUMIFS($T$32:$T$415,$D$32:$D$415,$C8)</f>
        <v/>
      </c>
    </row>
    <row r="9">
      <c r="C9" s="71" t="inlineStr">
        <is>
          <t>2 BD / 1.5 BA</t>
        </is>
      </c>
      <c r="D9" s="72" t="inlineStr">
        <is>
          <t>stjt2B2</t>
        </is>
      </c>
      <c r="E9" s="73" t="n">
        <v>2</v>
      </c>
      <c r="F9" s="74" t="n">
        <v>1.5</v>
      </c>
      <c r="G9" s="73" t="inlineStr">
        <is>
          <t>No</t>
        </is>
      </c>
      <c r="H9" s="75">
        <f>COUNTIFS($D$32:$D$415,$C9)</f>
        <v/>
      </c>
      <c r="I9" s="75">
        <f>COUNTIFS($D$32:$D$415,$C9,$C$32:$C$415,"Occ")+COUNTIFS($D$32:$D$415,$C9,$C$32:$C$415,"Admin")+COUNTIFS($D$32:$D$415,$C9,$C$32:$C$415,"Down")+COUNTIFS($D$32:$D$415,$C9,$C$32:$C$415,"Super")+COUNTIFS($D$32:$D$415,$C9,$C$32:$C$415,"Model")</f>
        <v/>
      </c>
      <c r="J9" s="75">
        <f>COUNTIFS($D$32:$D$415,$C9,$C$32:$C$415,"Vac")</f>
        <v/>
      </c>
      <c r="K9" s="75">
        <f>IFERROR(AVERAGEIFS($J$32:$J$415,$D$32:$D$415,$C9),"n/a")</f>
        <v/>
      </c>
      <c r="L9" s="75">
        <f>SUMIFS($J$32:$J$415,$D$32:$D$415,$C9)</f>
        <v/>
      </c>
      <c r="M9" s="75">
        <f>SUMIFS($J$32:$J$415,$D$32:$D$415,$C9,$C$32:$C$415,"Occ")+SUMIFS($J$32:$J$415,$D$32:$D$415,$C9,$C$32:$C$415,"Admin")+SUMIFS($J$32:$J$415,$D$32:$D$415,$C9,$C$32:$C$415,"Down")+SUMIFS($J$32:$J$415,$D$32:$D$415,$C9,$C$32:$C$415,"Super")+SUMIFS($J$32:$J$415,$D$32:$D$415,$C9,$C$32:$C$415,"Model")</f>
        <v/>
      </c>
      <c r="N9" s="75">
        <f>SUMIFS($J$32:$J$415,$D$32:$D$415,$C9,$C$32:$C$415,"Vac")</f>
        <v/>
      </c>
      <c r="O9" s="75">
        <f>SUMIFS($L$32:$L$415,$D$32:$D$415,$C9)</f>
        <v/>
      </c>
      <c r="P9" s="75">
        <f>SUMIFS($M$32:$M$415,$D$32:$D$415,$C9)</f>
        <v/>
      </c>
      <c r="Q9" s="75">
        <f>SUMIFS($R$32:$R$415,$D$32:$D$415,$C9)</f>
        <v/>
      </c>
      <c r="R9" s="75">
        <f>SUMIFS($S$32:$S$415,$D$32:$D$415,$C9)</f>
        <v/>
      </c>
      <c r="S9" s="75">
        <f>SUMIFS($T$32:$T$415,$D$32:$D$415,$C9)</f>
        <v/>
      </c>
    </row>
    <row r="10">
      <c r="C10" s="71" t="inlineStr">
        <is>
          <t>2 BD / 1.5 BA, R</t>
        </is>
      </c>
      <c r="D10" s="72" t="inlineStr">
        <is>
          <t>stjt2B2R</t>
        </is>
      </c>
      <c r="E10" s="73" t="n">
        <v>2</v>
      </c>
      <c r="F10" s="74" t="n">
        <v>1.5</v>
      </c>
      <c r="G10" s="73" t="inlineStr">
        <is>
          <t>Yes</t>
        </is>
      </c>
      <c r="H10" s="75">
        <f>COUNTIFS($D$32:$D$415,$C10)</f>
        <v/>
      </c>
      <c r="I10" s="75">
        <f>COUNTIFS($D$32:$D$415,$C10,$C$32:$C$415,"Occ")+COUNTIFS($D$32:$D$415,$C10,$C$32:$C$415,"Admin")+COUNTIFS($D$32:$D$415,$C10,$C$32:$C$415,"Down")+COUNTIFS($D$32:$D$415,$C10,$C$32:$C$415,"Super")+COUNTIFS($D$32:$D$415,$C10,$C$32:$C$415,"Model")</f>
        <v/>
      </c>
      <c r="J10" s="75">
        <f>COUNTIFS($D$32:$D$415,$C10,$C$32:$C$415,"Vac")</f>
        <v/>
      </c>
      <c r="K10" s="75">
        <f>IFERROR(AVERAGEIFS($J$32:$J$415,$D$32:$D$415,$C10),"n/a")</f>
        <v/>
      </c>
      <c r="L10" s="75">
        <f>SUMIFS($J$32:$J$415,$D$32:$D$415,$C10)</f>
        <v/>
      </c>
      <c r="M10" s="75">
        <f>SUMIFS($J$32:$J$415,$D$32:$D$415,$C10,$C$32:$C$415,"Occ")+SUMIFS($J$32:$J$415,$D$32:$D$415,$C10,$C$32:$C$415,"Admin")+SUMIFS($J$32:$J$415,$D$32:$D$415,$C10,$C$32:$C$415,"Down")+SUMIFS($J$32:$J$415,$D$32:$D$415,$C10,$C$32:$C$415,"Super")+SUMIFS($J$32:$J$415,$D$32:$D$415,$C10,$C$32:$C$415,"Model")</f>
        <v/>
      </c>
      <c r="N10" s="75">
        <f>SUMIFS($J$32:$J$415,$D$32:$D$415,$C10,$C$32:$C$415,"Vac")</f>
        <v/>
      </c>
      <c r="O10" s="75">
        <f>SUMIFS($L$32:$L$415,$D$32:$D$415,$C10)</f>
        <v/>
      </c>
      <c r="P10" s="75">
        <f>SUMIFS($M$32:$M$415,$D$32:$D$415,$C10)</f>
        <v/>
      </c>
      <c r="Q10" s="75">
        <f>SUMIFS($R$32:$R$415,$D$32:$D$415,$C10)</f>
        <v/>
      </c>
      <c r="R10" s="75">
        <f>SUMIFS($S$32:$S$415,$D$32:$D$415,$C10)</f>
        <v/>
      </c>
      <c r="S10" s="75">
        <f>SUMIFS($T$32:$T$415,$D$32:$D$415,$C10)</f>
        <v/>
      </c>
    </row>
    <row r="11">
      <c r="C11" s="71" t="inlineStr">
        <is>
          <t>3 BD / 1 BA - A</t>
        </is>
      </c>
      <c r="D11" s="72" t="inlineStr">
        <is>
          <t>stjt2C1</t>
        </is>
      </c>
      <c r="E11" s="73" t="n">
        <v>3</v>
      </c>
      <c r="F11" s="74" t="n">
        <v>1</v>
      </c>
      <c r="G11" s="73" t="inlineStr">
        <is>
          <t>No</t>
        </is>
      </c>
      <c r="H11" s="75">
        <f>COUNTIFS($D$32:$D$415,$C11)</f>
        <v/>
      </c>
      <c r="I11" s="75">
        <f>COUNTIFS($D$32:$D$415,$C11,$C$32:$C$415,"Occ")+COUNTIFS($D$32:$D$415,$C11,$C$32:$C$415,"Admin")+COUNTIFS($D$32:$D$415,$C11,$C$32:$C$415,"Down")+COUNTIFS($D$32:$D$415,$C11,$C$32:$C$415,"Super")+COUNTIFS($D$32:$D$415,$C11,$C$32:$C$415,"Model")</f>
        <v/>
      </c>
      <c r="J11" s="75">
        <f>COUNTIFS($D$32:$D$415,$C11,$C$32:$C$415,"Vac")</f>
        <v/>
      </c>
      <c r="K11" s="75">
        <f>IFERROR(AVERAGEIFS($J$32:$J$415,$D$32:$D$415,$C11),"n/a")</f>
        <v/>
      </c>
      <c r="L11" s="75">
        <f>SUMIFS($J$32:$J$415,$D$32:$D$415,$C11)</f>
        <v/>
      </c>
      <c r="M11" s="75">
        <f>SUMIFS($J$32:$J$415,$D$32:$D$415,$C11,$C$32:$C$415,"Occ")+SUMIFS($J$32:$J$415,$D$32:$D$415,$C11,$C$32:$C$415,"Admin")+SUMIFS($J$32:$J$415,$D$32:$D$415,$C11,$C$32:$C$415,"Down")+SUMIFS($J$32:$J$415,$D$32:$D$415,$C11,$C$32:$C$415,"Super")+SUMIFS($J$32:$J$415,$D$32:$D$415,$C11,$C$32:$C$415,"Model")</f>
        <v/>
      </c>
      <c r="N11" s="75">
        <f>SUMIFS($J$32:$J$415,$D$32:$D$415,$C11,$C$32:$C$415,"Vac")</f>
        <v/>
      </c>
      <c r="O11" s="75">
        <f>SUMIFS($L$32:$L$415,$D$32:$D$415,$C11)</f>
        <v/>
      </c>
      <c r="P11" s="75">
        <f>SUMIFS($M$32:$M$415,$D$32:$D$415,$C11)</f>
        <v/>
      </c>
      <c r="Q11" s="75">
        <f>SUMIFS($R$32:$R$415,$D$32:$D$415,$C11)</f>
        <v/>
      </c>
      <c r="R11" s="75">
        <f>SUMIFS($S$32:$S$415,$D$32:$D$415,$C11)</f>
        <v/>
      </c>
      <c r="S11" s="75">
        <f>SUMIFS($T$32:$T$415,$D$32:$D$415,$C11)</f>
        <v/>
      </c>
    </row>
    <row r="12">
      <c r="C12" s="71" t="inlineStr">
        <is>
          <t>3 BD / 1 BA - A, R</t>
        </is>
      </c>
      <c r="D12" s="72" t="inlineStr">
        <is>
          <t>stjt2C1R</t>
        </is>
      </c>
      <c r="E12" s="73" t="n">
        <v>3</v>
      </c>
      <c r="F12" s="74" t="n">
        <v>1</v>
      </c>
      <c r="G12" s="73" t="inlineStr">
        <is>
          <t>Yes</t>
        </is>
      </c>
      <c r="H12" s="75">
        <f>COUNTIFS($D$32:$D$415,$C12)</f>
        <v/>
      </c>
      <c r="I12" s="75">
        <f>COUNTIFS($D$32:$D$415,$C12,$C$32:$C$415,"Occ")+COUNTIFS($D$32:$D$415,$C12,$C$32:$C$415,"Admin")+COUNTIFS($D$32:$D$415,$C12,$C$32:$C$415,"Down")+COUNTIFS($D$32:$D$415,$C12,$C$32:$C$415,"Super")+COUNTIFS($D$32:$D$415,$C12,$C$32:$C$415,"Model")</f>
        <v/>
      </c>
      <c r="J12" s="75">
        <f>COUNTIFS($D$32:$D$415,$C12,$C$32:$C$415,"Vac")</f>
        <v/>
      </c>
      <c r="K12" s="75">
        <f>IFERROR(AVERAGEIFS($J$32:$J$415,$D$32:$D$415,$C12),"n/a")</f>
        <v/>
      </c>
      <c r="L12" s="75">
        <f>SUMIFS($J$32:$J$415,$D$32:$D$415,$C12)</f>
        <v/>
      </c>
      <c r="M12" s="75">
        <f>SUMIFS($J$32:$J$415,$D$32:$D$415,$C12,$C$32:$C$415,"Occ")+SUMIFS($J$32:$J$415,$D$32:$D$415,$C12,$C$32:$C$415,"Admin")+SUMIFS($J$32:$J$415,$D$32:$D$415,$C12,$C$32:$C$415,"Down")+SUMIFS($J$32:$J$415,$D$32:$D$415,$C12,$C$32:$C$415,"Super")+SUMIFS($J$32:$J$415,$D$32:$D$415,$C12,$C$32:$C$415,"Model")</f>
        <v/>
      </c>
      <c r="N12" s="75">
        <f>SUMIFS($J$32:$J$415,$D$32:$D$415,$C12,$C$32:$C$415,"Vac")</f>
        <v/>
      </c>
      <c r="O12" s="75">
        <f>SUMIFS($L$32:$L$415,$D$32:$D$415,$C12)</f>
        <v/>
      </c>
      <c r="P12" s="75">
        <f>SUMIFS($M$32:$M$415,$D$32:$D$415,$C12)</f>
        <v/>
      </c>
      <c r="Q12" s="75">
        <f>SUMIFS($R$32:$R$415,$D$32:$D$415,$C12)</f>
        <v/>
      </c>
      <c r="R12" s="75">
        <f>SUMIFS($S$32:$S$415,$D$32:$D$415,$C12)</f>
        <v/>
      </c>
      <c r="S12" s="75">
        <f>SUMIFS($T$32:$T$415,$D$32:$D$415,$C12)</f>
        <v/>
      </c>
    </row>
    <row r="13">
      <c r="C13" s="71" t="inlineStr">
        <is>
          <t>3 BD / 1.5 BA</t>
        </is>
      </c>
      <c r="D13" s="72" t="inlineStr">
        <is>
          <t>stjt2C2</t>
        </is>
      </c>
      <c r="E13" s="73" t="n">
        <v>3</v>
      </c>
      <c r="F13" s="74" t="n">
        <v>1.5</v>
      </c>
      <c r="G13" s="73" t="inlineStr">
        <is>
          <t>No</t>
        </is>
      </c>
      <c r="H13" s="75">
        <f>COUNTIFS($D$32:$D$415,$C13)</f>
        <v/>
      </c>
      <c r="I13" s="75">
        <f>COUNTIFS($D$32:$D$415,$C13,$C$32:$C$415,"Occ")+COUNTIFS($D$32:$D$415,$C13,$C$32:$C$415,"Admin")+COUNTIFS($D$32:$D$415,$C13,$C$32:$C$415,"Down")+COUNTIFS($D$32:$D$415,$C13,$C$32:$C$415,"Super")+COUNTIFS($D$32:$D$415,$C13,$C$32:$C$415,"Model")</f>
        <v/>
      </c>
      <c r="J13" s="75">
        <f>COUNTIFS($D$32:$D$415,$C13,$C$32:$C$415,"Vac")</f>
        <v/>
      </c>
      <c r="K13" s="75">
        <f>IFERROR(AVERAGEIFS($J$32:$J$415,$D$32:$D$415,$C13),"n/a")</f>
        <v/>
      </c>
      <c r="L13" s="75">
        <f>SUMIFS($J$32:$J$415,$D$32:$D$415,$C13)</f>
        <v/>
      </c>
      <c r="M13" s="75">
        <f>SUMIFS($J$32:$J$415,$D$32:$D$415,$C13,$C$32:$C$415,"Occ")+SUMIFS($J$32:$J$415,$D$32:$D$415,$C13,$C$32:$C$415,"Admin")+SUMIFS($J$32:$J$415,$D$32:$D$415,$C13,$C$32:$C$415,"Down")+SUMIFS($J$32:$J$415,$D$32:$D$415,$C13,$C$32:$C$415,"Super")+SUMIFS($J$32:$J$415,$D$32:$D$415,$C13,$C$32:$C$415,"Model")</f>
        <v/>
      </c>
      <c r="N13" s="75">
        <f>SUMIFS($J$32:$J$415,$D$32:$D$415,$C13,$C$32:$C$415,"Vac")</f>
        <v/>
      </c>
      <c r="O13" s="75">
        <f>SUMIFS($L$32:$L$415,$D$32:$D$415,$C13)</f>
        <v/>
      </c>
      <c r="P13" s="75">
        <f>SUMIFS($M$32:$M$415,$D$32:$D$415,$C13)</f>
        <v/>
      </c>
      <c r="Q13" s="75">
        <f>SUMIFS($R$32:$R$415,$D$32:$D$415,$C13)</f>
        <v/>
      </c>
      <c r="R13" s="75">
        <f>SUMIFS($S$32:$S$415,$D$32:$D$415,$C13)</f>
        <v/>
      </c>
      <c r="S13" s="75">
        <f>SUMIFS($T$32:$T$415,$D$32:$D$415,$C13)</f>
        <v/>
      </c>
    </row>
    <row r="14">
      <c r="C14" s="71" t="inlineStr">
        <is>
          <t>3 BD / 1.5 BA, R</t>
        </is>
      </c>
      <c r="D14" s="72" t="inlineStr">
        <is>
          <t>stjt2C2R</t>
        </is>
      </c>
      <c r="E14" s="73" t="n">
        <v>3</v>
      </c>
      <c r="F14" s="74" t="n">
        <v>1.5</v>
      </c>
      <c r="G14" s="73" t="inlineStr">
        <is>
          <t>Yes</t>
        </is>
      </c>
      <c r="H14" s="75">
        <f>COUNTIFS($D$32:$D$415,$C14)</f>
        <v/>
      </c>
      <c r="I14" s="75">
        <f>COUNTIFS($D$32:$D$415,$C14,$C$32:$C$415,"Occ")+COUNTIFS($D$32:$D$415,$C14,$C$32:$C$415,"Admin")+COUNTIFS($D$32:$D$415,$C14,$C$32:$C$415,"Down")+COUNTIFS($D$32:$D$415,$C14,$C$32:$C$415,"Super")+COUNTIFS($D$32:$D$415,$C14,$C$32:$C$415,"Model")</f>
        <v/>
      </c>
      <c r="J14" s="75">
        <f>COUNTIFS($D$32:$D$415,$C14,$C$32:$C$415,"Vac")</f>
        <v/>
      </c>
      <c r="K14" s="75">
        <f>IFERROR(AVERAGEIFS($J$32:$J$415,$D$32:$D$415,$C14),"n/a")</f>
        <v/>
      </c>
      <c r="L14" s="75">
        <f>SUMIFS($J$32:$J$415,$D$32:$D$415,$C14)</f>
        <v/>
      </c>
      <c r="M14" s="75">
        <f>SUMIFS($J$32:$J$415,$D$32:$D$415,$C14,$C$32:$C$415,"Occ")+SUMIFS($J$32:$J$415,$D$32:$D$415,$C14,$C$32:$C$415,"Admin")+SUMIFS($J$32:$J$415,$D$32:$D$415,$C14,$C$32:$C$415,"Down")+SUMIFS($J$32:$J$415,$D$32:$D$415,$C14,$C$32:$C$415,"Super")+SUMIFS($J$32:$J$415,$D$32:$D$415,$C14,$C$32:$C$415,"Model")</f>
        <v/>
      </c>
      <c r="N14" s="75">
        <f>SUMIFS($J$32:$J$415,$D$32:$D$415,$C14,$C$32:$C$415,"Vac")</f>
        <v/>
      </c>
      <c r="O14" s="75">
        <f>SUMIFS($L$32:$L$415,$D$32:$D$415,$C14)</f>
        <v/>
      </c>
      <c r="P14" s="75">
        <f>SUMIFS($M$32:$M$415,$D$32:$D$415,$C14)</f>
        <v/>
      </c>
      <c r="Q14" s="75">
        <f>SUMIFS($R$32:$R$415,$D$32:$D$415,$C14)</f>
        <v/>
      </c>
      <c r="R14" s="75">
        <f>SUMIFS($S$32:$S$415,$D$32:$D$415,$C14)</f>
        <v/>
      </c>
      <c r="S14" s="75">
        <f>SUMIFS($T$32:$T$415,$D$32:$D$415,$C14)</f>
        <v/>
      </c>
    </row>
    <row r="15">
      <c r="C15" s="68" t="inlineStr">
        <is>
          <t>Totals</t>
        </is>
      </c>
      <c r="H15" s="76">
        <f>SUM(H5:H14)</f>
        <v/>
      </c>
      <c r="I15" s="76">
        <f>SUM(I5:I14)</f>
        <v/>
      </c>
      <c r="J15" s="76">
        <f>SUM(J5:J14)</f>
        <v/>
      </c>
      <c r="L15" s="76">
        <f>SUM(L5:L14)</f>
        <v/>
      </c>
      <c r="M15" s="76">
        <f>SUM(M5:M14)</f>
        <v/>
      </c>
      <c r="N15" s="76">
        <f>SUM(N5:N14)</f>
        <v/>
      </c>
      <c r="O15" s="76">
        <f>SUM(O5:O14)</f>
        <v/>
      </c>
      <c r="P15" s="76">
        <f>SUM(P5:P14)</f>
        <v/>
      </c>
      <c r="Q15" s="76">
        <f>SUM(Q5:Q14)</f>
        <v/>
      </c>
      <c r="R15" s="76">
        <f>SUM(R5:R14)</f>
        <v/>
      </c>
      <c r="S15" s="76">
        <f>SUM(S5:S14)</f>
        <v/>
      </c>
    </row>
    <row r="16">
      <c r="C16" s="68" t="inlineStr">
        <is>
          <t>%</t>
        </is>
      </c>
      <c r="I16" s="77">
        <f>I15/$H$15</f>
        <v/>
      </c>
      <c r="J16" s="77">
        <f>J15/$H$15</f>
        <v/>
      </c>
      <c r="M16" s="77">
        <f>IFERROR(M15/$L$15,"n/a")</f>
        <v/>
      </c>
      <c r="N16" s="77">
        <f>IFERROR(N15/$L$15,"n/a")</f>
        <v/>
      </c>
    </row>
    <row r="20">
      <c r="C20" s="78" t="inlineStr">
        <is>
          <t>Notes:</t>
        </is>
      </c>
    </row>
    <row r="21">
      <c r="C21" s="78" t="inlineStr">
        <is>
          <t>1. Vacant units market rent is the per-unit market/asking rent from the source.</t>
        </is>
      </c>
    </row>
    <row r="22">
      <c r="C22" s="78" t="inlineStr">
        <is>
          <t>2. BD/BA count is from the Unit Type mapping above (edit the yellow cells to adjust).</t>
        </is>
      </c>
    </row>
    <row r="23">
      <c r="C23" s="78" t="inlineStr">
        <is>
          <t>3. Model units carry market rent as a placeholder; excluded from revenue.</t>
        </is>
      </c>
    </row>
    <row r="27">
      <c r="C27" s="78" t="inlineStr">
        <is>
          <t>Property Name</t>
        </is>
      </c>
      <c r="D27" s="78" t="inlineStr">
        <is>
          <t>Station J Town</t>
        </is>
      </c>
    </row>
    <row r="28">
      <c r="C28" s="78" t="inlineStr">
        <is>
          <t>Rent Roll Date</t>
        </is>
      </c>
      <c r="D28" s="79" t="n">
        <v>46164</v>
      </c>
    </row>
    <row r="30">
      <c r="Y30" s="67" t="inlineStr">
        <is>
          <t>Rent</t>
        </is>
      </c>
      <c r="AB30" s="67" t="inlineStr">
        <is>
          <t>Other Income</t>
        </is>
      </c>
      <c r="AM30" s="67" t="inlineStr">
        <is>
          <t>Concessions</t>
        </is>
      </c>
      <c r="AS30" s="67" t="inlineStr">
        <is>
          <t>Employee Discounts</t>
        </is>
      </c>
    </row>
    <row r="31">
      <c r="A31" s="67" t="inlineStr">
        <is>
          <t>Property</t>
        </is>
      </c>
      <c r="B31" s="67" t="inlineStr">
        <is>
          <t>#</t>
        </is>
      </c>
      <c r="C31" s="67" t="inlineStr">
        <is>
          <t>Occupancy</t>
        </is>
      </c>
      <c r="D31" s="67" t="inlineStr">
        <is>
          <t>Floorplan</t>
        </is>
      </c>
      <c r="E31" s="67" t="inlineStr">
        <is>
          <t>Bd</t>
        </is>
      </c>
      <c r="F31" s="67" t="inlineStr">
        <is>
          <t>Ba</t>
        </is>
      </c>
      <c r="G31" s="67" t="inlineStr">
        <is>
          <t>Renovated</t>
        </is>
      </c>
      <c r="H31" s="67" t="inlineStr">
        <is>
          <t>Unit #</t>
        </is>
      </c>
      <c r="I31" s="67" t="inlineStr">
        <is>
          <t>Unit Type</t>
        </is>
      </c>
      <c r="J31" s="67" t="inlineStr">
        <is>
          <t>Unit Sq Ft</t>
        </is>
      </c>
      <c r="K31" s="67" t="inlineStr">
        <is>
          <t>Resident/Tenant Name</t>
        </is>
      </c>
      <c r="L31" s="67" t="inlineStr">
        <is>
          <t>Market Rent</t>
        </is>
      </c>
      <c r="M31" s="67" t="inlineStr">
        <is>
          <t>Rent</t>
        </is>
      </c>
      <c r="N31" s="67" t="inlineStr">
        <is>
          <t>Move in</t>
        </is>
      </c>
      <c r="O31" s="67" t="inlineStr">
        <is>
          <t>Lease Start</t>
        </is>
      </c>
      <c r="P31" s="67" t="inlineStr">
        <is>
          <t>Lease End</t>
        </is>
      </c>
      <c r="Q31" s="67" t="inlineStr">
        <is>
          <t>Move Out</t>
        </is>
      </c>
      <c r="R31" s="67" t="inlineStr">
        <is>
          <t>Other Income</t>
        </is>
      </c>
      <c r="S31" s="67" t="inlineStr">
        <is>
          <t>Concessions</t>
        </is>
      </c>
      <c r="T31" s="67" t="inlineStr">
        <is>
          <t>Employee Discounts</t>
        </is>
      </c>
      <c r="V31" s="67" t="inlineStr">
        <is>
          <t>Unit Type (Manual)</t>
        </is>
      </c>
      <c r="W31" s="67" t="inlineStr">
        <is>
          <t>Unit Type (Manual) - Updated</t>
        </is>
      </c>
      <c r="Y31" s="67" t="inlineStr">
        <is>
          <t>RENT</t>
        </is>
      </c>
      <c r="AB31" s="67" t="inlineStr">
        <is>
          <t>Pet Fee</t>
        </is>
      </c>
      <c r="AC31" s="67" t="inlineStr">
        <is>
          <t>Laundry Income</t>
        </is>
      </c>
      <c r="AM31" s="67" t="inlineStr">
        <is>
          <t>Model</t>
        </is>
      </c>
      <c r="AS31" s="67" t="inlineStr">
        <is>
          <t>Employee Rent Credit</t>
        </is>
      </c>
    </row>
    <row r="32">
      <c r="A32" s="72">
        <f>$D$27</f>
        <v/>
      </c>
      <c r="B32" s="72" t="n">
        <v>1</v>
      </c>
      <c r="C32" s="72">
        <f>IF(K32="Vacant","Vac",IF(K32="Model","Model",IF(K32="Admin","Admin",IF(K32="Down","Down",IF(K32="Super","Super","Occ")))))</f>
        <v/>
      </c>
      <c r="D32" s="72">
        <f>INDEX($C$5:$C$14,MATCH(I32,$D$5:$D$14,0))</f>
        <v/>
      </c>
      <c r="E32" s="72">
        <f>INDEX($E$5:$E$14,MATCH(D32,$C$5:$C$14,0))</f>
        <v/>
      </c>
      <c r="F32" s="72">
        <f>INDEX($F$5:$F$14,MATCH(D32,$C$5:$C$14,0))</f>
        <v/>
      </c>
      <c r="G32" s="72">
        <f>INDEX($G$5:$G$14,MATCH(D32,$C$5:$C$14,0))</f>
        <v/>
      </c>
      <c r="H32" s="72" t="inlineStr">
        <is>
          <t>A01</t>
        </is>
      </c>
      <c r="I32" s="72" t="inlineStr">
        <is>
          <t>stjt2B1</t>
        </is>
      </c>
      <c r="J32" s="80" t="n">
        <v>950</v>
      </c>
      <c r="K32" s="72" t="inlineStr">
        <is>
          <t>Amanda Sandusky</t>
        </is>
      </c>
      <c r="L32" s="81" t="n">
        <v>1075</v>
      </c>
      <c r="M32" s="81">
        <f>Y32</f>
        <v/>
      </c>
      <c r="N32" s="82" t="n">
        <v>46097</v>
      </c>
      <c r="O32" s="82" t="n">
        <v>46097</v>
      </c>
      <c r="P32" s="82" t="n">
        <v>46461</v>
      </c>
      <c r="R32" s="81">
        <f>SUM(AB32:AK32)</f>
        <v/>
      </c>
      <c r="S32" s="81">
        <f>SUM(AM32:AQ32)</f>
        <v/>
      </c>
      <c r="T32" s="81">
        <f>SUM(AS32:AW32)</f>
        <v/>
      </c>
      <c r="Y32" s="81" t="n">
        <v>1065</v>
      </c>
    </row>
    <row r="33">
      <c r="A33" s="72">
        <f>$D$27</f>
        <v/>
      </c>
      <c r="B33" s="72">
        <f>B32+1</f>
        <v/>
      </c>
      <c r="C33" s="72">
        <f>IF(K33="Vacant","Vac",IF(K33="Model","Model",IF(K33="Admin","Admin",IF(K33="Down","Down",IF(K33="Super","Super","Occ")))))</f>
        <v/>
      </c>
      <c r="D33" s="72">
        <f>INDEX($C$5:$C$14,MATCH(I33,$D$5:$D$14,0))</f>
        <v/>
      </c>
      <c r="E33" s="72">
        <f>INDEX($E$5:$E$14,MATCH(D33,$C$5:$C$14,0))</f>
        <v/>
      </c>
      <c r="F33" s="72">
        <f>INDEX($F$5:$F$14,MATCH(D33,$C$5:$C$14,0))</f>
        <v/>
      </c>
      <c r="G33" s="72">
        <f>INDEX($G$5:$G$14,MATCH(D33,$C$5:$C$14,0))</f>
        <v/>
      </c>
      <c r="H33" s="72" t="inlineStr">
        <is>
          <t>A02</t>
        </is>
      </c>
      <c r="I33" s="72" t="inlineStr">
        <is>
          <t>stjt2B1</t>
        </is>
      </c>
      <c r="J33" s="80" t="n">
        <v>950</v>
      </c>
      <c r="K33" s="72" t="inlineStr">
        <is>
          <t>Erik Brown</t>
        </is>
      </c>
      <c r="L33" s="81" t="n">
        <v>1075</v>
      </c>
      <c r="M33" s="81">
        <f>Y33</f>
        <v/>
      </c>
      <c r="N33" s="82" t="n">
        <v>43402</v>
      </c>
      <c r="O33" s="82" t="n">
        <v>43402</v>
      </c>
      <c r="P33" s="82" t="n">
        <v>46193</v>
      </c>
      <c r="R33" s="81">
        <f>SUM(AB33:AK33)</f>
        <v/>
      </c>
      <c r="S33" s="81">
        <f>SUM(AM33:AQ33)</f>
        <v/>
      </c>
      <c r="T33" s="81">
        <f>SUM(AS33:AW33)</f>
        <v/>
      </c>
      <c r="Y33" s="81" t="n">
        <v>975</v>
      </c>
    </row>
    <row r="34">
      <c r="A34" s="72">
        <f>$D$27</f>
        <v/>
      </c>
      <c r="B34" s="72">
        <f>B33+1</f>
        <v/>
      </c>
      <c r="C34" s="72">
        <f>IF(K34="Vacant","Vac",IF(K34="Model","Model",IF(K34="Admin","Admin",IF(K34="Down","Down",IF(K34="Super","Super","Occ")))))</f>
        <v/>
      </c>
      <c r="D34" s="72">
        <f>INDEX($C$5:$C$14,MATCH(I34,$D$5:$D$14,0))</f>
        <v/>
      </c>
      <c r="E34" s="72">
        <f>INDEX($E$5:$E$14,MATCH(D34,$C$5:$C$14,0))</f>
        <v/>
      </c>
      <c r="F34" s="72">
        <f>INDEX($F$5:$F$14,MATCH(D34,$C$5:$C$14,0))</f>
        <v/>
      </c>
      <c r="G34" s="72">
        <f>INDEX($G$5:$G$14,MATCH(D34,$C$5:$C$14,0))</f>
        <v/>
      </c>
      <c r="H34" s="72" t="inlineStr">
        <is>
          <t>A03</t>
        </is>
      </c>
      <c r="I34" s="72" t="inlineStr">
        <is>
          <t>stjt2B1R</t>
        </is>
      </c>
      <c r="J34" s="80" t="n">
        <v>950</v>
      </c>
      <c r="K34" s="72" t="inlineStr">
        <is>
          <t>Kimberly Carter</t>
        </is>
      </c>
      <c r="L34" s="81" t="n">
        <v>1175</v>
      </c>
      <c r="M34" s="81">
        <f>Y34</f>
        <v/>
      </c>
      <c r="N34" s="82" t="n">
        <v>44699</v>
      </c>
      <c r="O34" s="82" t="n">
        <v>44699</v>
      </c>
      <c r="P34" s="82" t="n">
        <v>46190</v>
      </c>
      <c r="R34" s="81">
        <f>SUM(AB34:AK34)</f>
        <v/>
      </c>
      <c r="S34" s="81">
        <f>SUM(AM34:AQ34)</f>
        <v/>
      </c>
      <c r="T34" s="81">
        <f>SUM(AS34:AW34)</f>
        <v/>
      </c>
      <c r="Y34" s="81" t="n">
        <v>1200</v>
      </c>
    </row>
    <row r="35">
      <c r="A35" s="72">
        <f>$D$27</f>
        <v/>
      </c>
      <c r="B35" s="72">
        <f>B34+1</f>
        <v/>
      </c>
      <c r="C35" s="72">
        <f>IF(K35="Vacant","Vac",IF(K35="Model","Model",IF(K35="Admin","Admin",IF(K35="Down","Down",IF(K35="Super","Super","Occ")))))</f>
        <v/>
      </c>
      <c r="D35" s="72">
        <f>INDEX($C$5:$C$14,MATCH(I35,$D$5:$D$14,0))</f>
        <v/>
      </c>
      <c r="E35" s="72">
        <f>INDEX($E$5:$E$14,MATCH(D35,$C$5:$C$14,0))</f>
        <v/>
      </c>
      <c r="F35" s="72">
        <f>INDEX($F$5:$F$14,MATCH(D35,$C$5:$C$14,0))</f>
        <v/>
      </c>
      <c r="G35" s="72">
        <f>INDEX($G$5:$G$14,MATCH(D35,$C$5:$C$14,0))</f>
        <v/>
      </c>
      <c r="H35" s="72" t="inlineStr">
        <is>
          <t>A04</t>
        </is>
      </c>
      <c r="I35" s="72" t="inlineStr">
        <is>
          <t>stjt2B1</t>
        </is>
      </c>
      <c r="J35" s="80" t="n">
        <v>950</v>
      </c>
      <c r="K35" s="72" t="inlineStr">
        <is>
          <t>Susie Perez Quiroa</t>
        </is>
      </c>
      <c r="L35" s="81" t="n">
        <v>1140</v>
      </c>
      <c r="M35" s="81">
        <f>Y35</f>
        <v/>
      </c>
      <c r="N35" s="82" t="n">
        <v>45958</v>
      </c>
      <c r="O35" s="82" t="n">
        <v>45958</v>
      </c>
      <c r="P35" s="82" t="n">
        <v>46504</v>
      </c>
      <c r="R35" s="81">
        <f>SUM(AB35:AK35)</f>
        <v/>
      </c>
      <c r="S35" s="81">
        <f>SUM(AM35:AQ35)</f>
        <v/>
      </c>
      <c r="T35" s="81">
        <f>SUM(AS35:AW35)</f>
        <v/>
      </c>
      <c r="Y35" s="81" t="n">
        <v>1130</v>
      </c>
    </row>
    <row r="36">
      <c r="A36" s="72">
        <f>$D$27</f>
        <v/>
      </c>
      <c r="B36" s="72">
        <f>B35+1</f>
        <v/>
      </c>
      <c r="C36" s="72">
        <f>IF(K36="Vacant","Vac",IF(K36="Model","Model",IF(K36="Admin","Admin",IF(K36="Down","Down",IF(K36="Super","Super","Occ")))))</f>
        <v/>
      </c>
      <c r="D36" s="72">
        <f>INDEX($C$5:$C$14,MATCH(I36,$D$5:$D$14,0))</f>
        <v/>
      </c>
      <c r="E36" s="72">
        <f>INDEX($E$5:$E$14,MATCH(D36,$C$5:$C$14,0))</f>
        <v/>
      </c>
      <c r="F36" s="72">
        <f>INDEX($F$5:$F$14,MATCH(D36,$C$5:$C$14,0))</f>
        <v/>
      </c>
      <c r="G36" s="72">
        <f>INDEX($G$5:$G$14,MATCH(D36,$C$5:$C$14,0))</f>
        <v/>
      </c>
      <c r="H36" s="72" t="inlineStr">
        <is>
          <t>A05</t>
        </is>
      </c>
      <c r="I36" s="72" t="inlineStr">
        <is>
          <t>stjt2B1</t>
        </is>
      </c>
      <c r="J36" s="80" t="n">
        <v>950</v>
      </c>
      <c r="K36" s="72" t="inlineStr">
        <is>
          <t>Linda Stamper</t>
        </is>
      </c>
      <c r="L36" s="81" t="n">
        <v>1090</v>
      </c>
      <c r="M36" s="81">
        <f>Y36</f>
        <v/>
      </c>
      <c r="N36" s="82" t="n">
        <v>29460</v>
      </c>
      <c r="O36" s="82" t="n">
        <v>29460</v>
      </c>
      <c r="P36" s="82" t="n">
        <v>46203</v>
      </c>
      <c r="R36" s="81">
        <f>SUM(AB36:AK36)</f>
        <v/>
      </c>
      <c r="S36" s="81">
        <f>SUM(AM36:AQ36)</f>
        <v/>
      </c>
      <c r="T36" s="81">
        <f>SUM(AS36:AW36)</f>
        <v/>
      </c>
      <c r="Y36" s="81" t="n">
        <v>1022</v>
      </c>
    </row>
    <row r="37">
      <c r="A37" s="72">
        <f>$D$27</f>
        <v/>
      </c>
      <c r="B37" s="72">
        <f>B36+1</f>
        <v/>
      </c>
      <c r="C37" s="72">
        <f>IF(K37="Vacant","Vac",IF(K37="Model","Model",IF(K37="Admin","Admin",IF(K37="Down","Down",IF(K37="Super","Super","Occ")))))</f>
        <v/>
      </c>
      <c r="D37" s="72">
        <f>INDEX($C$5:$C$14,MATCH(I37,$D$5:$D$14,0))</f>
        <v/>
      </c>
      <c r="E37" s="72">
        <f>INDEX($E$5:$E$14,MATCH(D37,$C$5:$C$14,0))</f>
        <v/>
      </c>
      <c r="F37" s="72">
        <f>INDEX($F$5:$F$14,MATCH(D37,$C$5:$C$14,0))</f>
        <v/>
      </c>
      <c r="G37" s="72">
        <f>INDEX($G$5:$G$14,MATCH(D37,$C$5:$C$14,0))</f>
        <v/>
      </c>
      <c r="H37" s="72" t="inlineStr">
        <is>
          <t>A06</t>
        </is>
      </c>
      <c r="I37" s="72" t="inlineStr">
        <is>
          <t>stjt2B1</t>
        </is>
      </c>
      <c r="J37" s="80" t="n">
        <v>950</v>
      </c>
      <c r="K37" s="72" t="inlineStr">
        <is>
          <t>Joanna White</t>
        </is>
      </c>
      <c r="L37" s="81" t="n">
        <v>1090</v>
      </c>
      <c r="M37" s="81">
        <f>Y37</f>
        <v/>
      </c>
      <c r="N37" s="82" t="n">
        <v>45381</v>
      </c>
      <c r="O37" s="82" t="n">
        <v>45381</v>
      </c>
      <c r="P37" s="82" t="n">
        <v>46487</v>
      </c>
      <c r="R37" s="81">
        <f>SUM(AB37:AK37)</f>
        <v/>
      </c>
      <c r="S37" s="81">
        <f>SUM(AM37:AQ37)</f>
        <v/>
      </c>
      <c r="T37" s="81">
        <f>SUM(AS37:AW37)</f>
        <v/>
      </c>
      <c r="Y37" s="81" t="n">
        <v>1020</v>
      </c>
    </row>
    <row r="38">
      <c r="A38" s="72">
        <f>$D$27</f>
        <v/>
      </c>
      <c r="B38" s="72">
        <f>B37+1</f>
        <v/>
      </c>
      <c r="C38" s="72">
        <f>IF(K38="Vacant","Vac",IF(K38="Model","Model",IF(K38="Admin","Admin",IF(K38="Down","Down",IF(K38="Super","Super","Occ")))))</f>
        <v/>
      </c>
      <c r="D38" s="72">
        <f>INDEX($C$5:$C$14,MATCH(I38,$D$5:$D$14,0))</f>
        <v/>
      </c>
      <c r="E38" s="72">
        <f>INDEX($E$5:$E$14,MATCH(D38,$C$5:$C$14,0))</f>
        <v/>
      </c>
      <c r="F38" s="72">
        <f>INDEX($F$5:$F$14,MATCH(D38,$C$5:$C$14,0))</f>
        <v/>
      </c>
      <c r="G38" s="72">
        <f>INDEX($G$5:$G$14,MATCH(D38,$C$5:$C$14,0))</f>
        <v/>
      </c>
      <c r="H38" s="72" t="inlineStr">
        <is>
          <t>A07</t>
        </is>
      </c>
      <c r="I38" s="72" t="inlineStr">
        <is>
          <t>stjt2B1R</t>
        </is>
      </c>
      <c r="J38" s="80" t="n">
        <v>950</v>
      </c>
      <c r="K38" s="72" t="inlineStr">
        <is>
          <t>Alex Saunders</t>
        </is>
      </c>
      <c r="L38" s="81" t="n">
        <v>1190</v>
      </c>
      <c r="M38" s="81">
        <f>Y38</f>
        <v/>
      </c>
      <c r="N38" s="82" t="n">
        <v>45849</v>
      </c>
      <c r="O38" s="82" t="n">
        <v>45849</v>
      </c>
      <c r="P38" s="82" t="n">
        <v>46213</v>
      </c>
      <c r="R38" s="81">
        <f>SUM(AB38:AK38)</f>
        <v/>
      </c>
      <c r="S38" s="81">
        <f>SUM(AM38:AQ38)</f>
        <v/>
      </c>
      <c r="T38" s="81">
        <f>SUM(AS38:AW38)</f>
        <v/>
      </c>
      <c r="Y38" s="81" t="n">
        <v>1180</v>
      </c>
    </row>
    <row r="39">
      <c r="A39" s="72">
        <f>$D$27</f>
        <v/>
      </c>
      <c r="B39" s="72">
        <f>B38+1</f>
        <v/>
      </c>
      <c r="C39" s="72">
        <f>IF(K39="Vacant","Vac",IF(K39="Model","Model",IF(K39="Admin","Admin",IF(K39="Down","Down",IF(K39="Super","Super","Occ")))))</f>
        <v/>
      </c>
      <c r="D39" s="72">
        <f>INDEX($C$5:$C$14,MATCH(I39,$D$5:$D$14,0))</f>
        <v/>
      </c>
      <c r="E39" s="72">
        <f>INDEX($E$5:$E$14,MATCH(D39,$C$5:$C$14,0))</f>
        <v/>
      </c>
      <c r="F39" s="72">
        <f>INDEX($F$5:$F$14,MATCH(D39,$C$5:$C$14,0))</f>
        <v/>
      </c>
      <c r="G39" s="72">
        <f>INDEX($G$5:$G$14,MATCH(D39,$C$5:$C$14,0))</f>
        <v/>
      </c>
      <c r="H39" s="72" t="inlineStr">
        <is>
          <t>A08</t>
        </is>
      </c>
      <c r="I39" s="72" t="inlineStr">
        <is>
          <t>stjt2B1R</t>
        </is>
      </c>
      <c r="J39" s="80" t="n">
        <v>950</v>
      </c>
      <c r="K39" s="72" t="inlineStr">
        <is>
          <t>Christian Castro</t>
        </is>
      </c>
      <c r="L39" s="81" t="n">
        <v>1190</v>
      </c>
      <c r="M39" s="81">
        <f>Y39</f>
        <v/>
      </c>
      <c r="N39" s="82" t="n">
        <v>45856</v>
      </c>
      <c r="O39" s="82" t="n">
        <v>45856</v>
      </c>
      <c r="P39" s="82" t="n">
        <v>46220</v>
      </c>
      <c r="R39" s="81">
        <f>SUM(AB39:AK39)</f>
        <v/>
      </c>
      <c r="S39" s="81">
        <f>SUM(AM39:AQ39)</f>
        <v/>
      </c>
      <c r="T39" s="81">
        <f>SUM(AS39:AW39)</f>
        <v/>
      </c>
      <c r="Y39" s="81" t="n">
        <v>1115</v>
      </c>
    </row>
    <row r="40">
      <c r="A40" s="72">
        <f>$D$27</f>
        <v/>
      </c>
      <c r="B40" s="72">
        <f>B39+1</f>
        <v/>
      </c>
      <c r="C40" s="72">
        <f>IF(K40="Vacant","Vac",IF(K40="Model","Model",IF(K40="Admin","Admin",IF(K40="Down","Down",IF(K40="Super","Super","Occ")))))</f>
        <v/>
      </c>
      <c r="D40" s="72">
        <f>INDEX($C$5:$C$14,MATCH(I40,$D$5:$D$14,0))</f>
        <v/>
      </c>
      <c r="E40" s="72">
        <f>INDEX($E$5:$E$14,MATCH(D40,$C$5:$C$14,0))</f>
        <v/>
      </c>
      <c r="F40" s="72">
        <f>INDEX($F$5:$F$14,MATCH(D40,$C$5:$C$14,0))</f>
        <v/>
      </c>
      <c r="G40" s="72">
        <f>INDEX($G$5:$G$14,MATCH(D40,$C$5:$C$14,0))</f>
        <v/>
      </c>
      <c r="H40" s="72" t="inlineStr">
        <is>
          <t>A09</t>
        </is>
      </c>
      <c r="I40" s="72" t="inlineStr">
        <is>
          <t>stjt2B1R</t>
        </is>
      </c>
      <c r="J40" s="80" t="n">
        <v>950</v>
      </c>
      <c r="K40" s="72" t="inlineStr">
        <is>
          <t>Morgan Ernspiker</t>
        </is>
      </c>
      <c r="L40" s="81" t="n">
        <v>1190</v>
      </c>
      <c r="M40" s="81">
        <f>Y40</f>
        <v/>
      </c>
      <c r="N40" s="82" t="n">
        <v>45243</v>
      </c>
      <c r="O40" s="82" t="n">
        <v>45243</v>
      </c>
      <c r="P40" s="82" t="n">
        <v>46885</v>
      </c>
      <c r="R40" s="81">
        <f>SUM(AB40:AK40)</f>
        <v/>
      </c>
      <c r="S40" s="81">
        <f>SUM(AM40:AQ40)</f>
        <v/>
      </c>
      <c r="T40" s="81">
        <f>SUM(AS40:AW40)</f>
        <v/>
      </c>
      <c r="Y40" s="81" t="n">
        <v>1140</v>
      </c>
    </row>
    <row r="41">
      <c r="A41" s="72">
        <f>$D$27</f>
        <v/>
      </c>
      <c r="B41" s="72">
        <f>B40+1</f>
        <v/>
      </c>
      <c r="C41" s="72">
        <f>IF(K41="Vacant","Vac",IF(K41="Model","Model",IF(K41="Admin","Admin",IF(K41="Down","Down",IF(K41="Super","Super","Occ")))))</f>
        <v/>
      </c>
      <c r="D41" s="72">
        <f>INDEX($C$5:$C$14,MATCH(I41,$D$5:$D$14,0))</f>
        <v/>
      </c>
      <c r="E41" s="72">
        <f>INDEX($E$5:$E$14,MATCH(D41,$C$5:$C$14,0))</f>
        <v/>
      </c>
      <c r="F41" s="72">
        <f>INDEX($F$5:$F$14,MATCH(D41,$C$5:$C$14,0))</f>
        <v/>
      </c>
      <c r="G41" s="72">
        <f>INDEX($G$5:$G$14,MATCH(D41,$C$5:$C$14,0))</f>
        <v/>
      </c>
      <c r="H41" s="72" t="inlineStr">
        <is>
          <t>A10</t>
        </is>
      </c>
      <c r="I41" s="72" t="inlineStr">
        <is>
          <t>stjt2B1R</t>
        </is>
      </c>
      <c r="J41" s="80" t="n">
        <v>950</v>
      </c>
      <c r="K41" s="72" t="inlineStr">
        <is>
          <t>Gianna Presta</t>
        </is>
      </c>
      <c r="L41" s="81" t="n">
        <v>1190</v>
      </c>
      <c r="M41" s="81">
        <f>Y41</f>
        <v/>
      </c>
      <c r="N41" s="82" t="n">
        <v>45688</v>
      </c>
      <c r="O41" s="82" t="n">
        <v>45688</v>
      </c>
      <c r="P41" s="82" t="n">
        <v>46507</v>
      </c>
      <c r="R41" s="81">
        <f>SUM(AB41:AK41)</f>
        <v/>
      </c>
      <c r="S41" s="81">
        <f>SUM(AM41:AQ41)</f>
        <v/>
      </c>
      <c r="T41" s="81">
        <f>SUM(AS41:AW41)</f>
        <v/>
      </c>
      <c r="Y41" s="81" t="n">
        <v>1115</v>
      </c>
    </row>
    <row r="42">
      <c r="A42" s="72">
        <f>$D$27</f>
        <v/>
      </c>
      <c r="B42" s="72">
        <f>B41+1</f>
        <v/>
      </c>
      <c r="C42" s="72">
        <f>IF(K42="Vacant","Vac",IF(K42="Model","Model",IF(K42="Admin","Admin",IF(K42="Down","Down",IF(K42="Super","Super","Occ")))))</f>
        <v/>
      </c>
      <c r="D42" s="72">
        <f>INDEX($C$5:$C$14,MATCH(I42,$D$5:$D$14,0))</f>
        <v/>
      </c>
      <c r="E42" s="72">
        <f>INDEX($E$5:$E$14,MATCH(D42,$C$5:$C$14,0))</f>
        <v/>
      </c>
      <c r="F42" s="72">
        <f>INDEX($F$5:$F$14,MATCH(D42,$C$5:$C$14,0))</f>
        <v/>
      </c>
      <c r="G42" s="72">
        <f>INDEX($G$5:$G$14,MATCH(D42,$C$5:$C$14,0))</f>
        <v/>
      </c>
      <c r="H42" s="72" t="inlineStr">
        <is>
          <t>A11</t>
        </is>
      </c>
      <c r="I42" s="72" t="inlineStr">
        <is>
          <t>stjt2B1R</t>
        </is>
      </c>
      <c r="J42" s="80" t="n">
        <v>950</v>
      </c>
      <c r="K42" s="72" t="inlineStr">
        <is>
          <t>Dena Chadwick</t>
        </is>
      </c>
      <c r="L42" s="81" t="n">
        <v>1190</v>
      </c>
      <c r="M42" s="81">
        <f>Y42</f>
        <v/>
      </c>
      <c r="N42" s="82" t="n">
        <v>45393</v>
      </c>
      <c r="O42" s="82" t="n">
        <v>45393</v>
      </c>
      <c r="P42" s="82" t="n">
        <v>46853</v>
      </c>
      <c r="R42" s="81">
        <f>SUM(AB42:AK42)</f>
        <v/>
      </c>
      <c r="S42" s="81">
        <f>SUM(AM42:AQ42)</f>
        <v/>
      </c>
      <c r="T42" s="81">
        <f>SUM(AS42:AW42)</f>
        <v/>
      </c>
      <c r="Y42" s="81" t="n">
        <v>1140</v>
      </c>
    </row>
    <row r="43">
      <c r="A43" s="72">
        <f>$D$27</f>
        <v/>
      </c>
      <c r="B43" s="72">
        <f>B42+1</f>
        <v/>
      </c>
      <c r="C43" s="72">
        <f>IF(K43="Vacant","Vac",IF(K43="Model","Model",IF(K43="Admin","Admin",IF(K43="Down","Down",IF(K43="Super","Super","Occ")))))</f>
        <v/>
      </c>
      <c r="D43" s="72">
        <f>INDEX($C$5:$C$14,MATCH(I43,$D$5:$D$14,0))</f>
        <v/>
      </c>
      <c r="E43" s="72">
        <f>INDEX($E$5:$E$14,MATCH(D43,$C$5:$C$14,0))</f>
        <v/>
      </c>
      <c r="F43" s="72">
        <f>INDEX($F$5:$F$14,MATCH(D43,$C$5:$C$14,0))</f>
        <v/>
      </c>
      <c r="G43" s="72">
        <f>INDEX($G$5:$G$14,MATCH(D43,$C$5:$C$14,0))</f>
        <v/>
      </c>
      <c r="H43" s="72" t="inlineStr">
        <is>
          <t>A12</t>
        </is>
      </c>
      <c r="I43" s="72" t="inlineStr">
        <is>
          <t>stjt2B1</t>
        </is>
      </c>
      <c r="J43" s="80" t="n">
        <v>950</v>
      </c>
      <c r="K43" s="72" t="inlineStr">
        <is>
          <t>Karianne Mayle</t>
        </is>
      </c>
      <c r="L43" s="81" t="n">
        <v>1155</v>
      </c>
      <c r="M43" s="81">
        <f>Y43</f>
        <v/>
      </c>
      <c r="N43" s="82" t="n">
        <v>46134</v>
      </c>
      <c r="O43" s="82" t="n">
        <v>46134</v>
      </c>
      <c r="P43" s="82" t="n">
        <v>46498</v>
      </c>
      <c r="R43" s="81">
        <f>SUM(AB43:AK43)</f>
        <v/>
      </c>
      <c r="S43" s="81">
        <f>SUM(AM43:AQ43)</f>
        <v/>
      </c>
      <c r="T43" s="81">
        <f>SUM(AS43:AW43)</f>
        <v/>
      </c>
      <c r="Y43" s="81" t="n">
        <v>1085</v>
      </c>
    </row>
    <row r="44">
      <c r="A44" s="72">
        <f>$D$27</f>
        <v/>
      </c>
      <c r="B44" s="72">
        <f>B43+1</f>
        <v/>
      </c>
      <c r="C44" s="72">
        <f>IF(K44="Vacant","Vac",IF(K44="Model","Model",IF(K44="Admin","Admin",IF(K44="Down","Down",IF(K44="Super","Super","Occ")))))</f>
        <v/>
      </c>
      <c r="D44" s="72">
        <f>INDEX($C$5:$C$14,MATCH(I44,$D$5:$D$14,0))</f>
        <v/>
      </c>
      <c r="E44" s="72">
        <f>INDEX($E$5:$E$14,MATCH(D44,$C$5:$C$14,0))</f>
        <v/>
      </c>
      <c r="F44" s="72">
        <f>INDEX($F$5:$F$14,MATCH(D44,$C$5:$C$14,0))</f>
        <v/>
      </c>
      <c r="G44" s="72">
        <f>INDEX($G$5:$G$14,MATCH(D44,$C$5:$C$14,0))</f>
        <v/>
      </c>
      <c r="H44" s="72" t="inlineStr">
        <is>
          <t>A13</t>
        </is>
      </c>
      <c r="I44" s="72" t="inlineStr">
        <is>
          <t>stjt2B1R</t>
        </is>
      </c>
      <c r="J44" s="80" t="n">
        <v>950</v>
      </c>
      <c r="K44" s="72" t="inlineStr">
        <is>
          <t>Benjamin Garcia Ortiz</t>
        </is>
      </c>
      <c r="L44" s="81" t="n">
        <v>1175</v>
      </c>
      <c r="M44" s="81">
        <f>Y44</f>
        <v/>
      </c>
      <c r="N44" s="82" t="n">
        <v>45868</v>
      </c>
      <c r="O44" s="82" t="n">
        <v>45868</v>
      </c>
      <c r="P44" s="82" t="n">
        <v>46263</v>
      </c>
      <c r="R44" s="81">
        <f>SUM(AB44:AK44)</f>
        <v/>
      </c>
      <c r="S44" s="81">
        <f>SUM(AM44:AQ44)</f>
        <v/>
      </c>
      <c r="T44" s="81">
        <f>SUM(AS44:AW44)</f>
        <v/>
      </c>
      <c r="Y44" s="81" t="n">
        <v>1165</v>
      </c>
    </row>
    <row r="45">
      <c r="A45" s="72">
        <f>$D$27</f>
        <v/>
      </c>
      <c r="B45" s="72">
        <f>B44+1</f>
        <v/>
      </c>
      <c r="C45" s="72">
        <f>IF(K45="Vacant","Vac",IF(K45="Model","Model",IF(K45="Admin","Admin",IF(K45="Down","Down",IF(K45="Super","Super","Occ")))))</f>
        <v/>
      </c>
      <c r="D45" s="72">
        <f>INDEX($C$5:$C$14,MATCH(I45,$D$5:$D$14,0))</f>
        <v/>
      </c>
      <c r="E45" s="72">
        <f>INDEX($E$5:$E$14,MATCH(D45,$C$5:$C$14,0))</f>
        <v/>
      </c>
      <c r="F45" s="72">
        <f>INDEX($F$5:$F$14,MATCH(D45,$C$5:$C$14,0))</f>
        <v/>
      </c>
      <c r="G45" s="72">
        <f>INDEX($G$5:$G$14,MATCH(D45,$C$5:$C$14,0))</f>
        <v/>
      </c>
      <c r="H45" s="72" t="inlineStr">
        <is>
          <t>A14</t>
        </is>
      </c>
      <c r="I45" s="72" t="inlineStr">
        <is>
          <t>stjt2B1R</t>
        </is>
      </c>
      <c r="J45" s="80" t="n">
        <v>950</v>
      </c>
      <c r="K45" s="72" t="inlineStr">
        <is>
          <t>Julio Nunez Mendoza</t>
        </is>
      </c>
      <c r="L45" s="81" t="n">
        <v>1175</v>
      </c>
      <c r="M45" s="81">
        <f>Y45</f>
        <v/>
      </c>
      <c r="N45" s="82" t="n">
        <v>45068</v>
      </c>
      <c r="O45" s="82" t="n">
        <v>45068</v>
      </c>
      <c r="P45" s="82" t="n">
        <v>46194</v>
      </c>
      <c r="R45" s="81">
        <f>SUM(AB45:AK45)</f>
        <v/>
      </c>
      <c r="S45" s="81">
        <f>SUM(AM45:AQ45)</f>
        <v/>
      </c>
      <c r="T45" s="81">
        <f>SUM(AS45:AW45)</f>
        <v/>
      </c>
      <c r="Y45" s="81" t="n">
        <v>1125</v>
      </c>
    </row>
    <row r="46">
      <c r="A46" s="72">
        <f>$D$27</f>
        <v/>
      </c>
      <c r="B46" s="72">
        <f>B45+1</f>
        <v/>
      </c>
      <c r="C46" s="72">
        <f>IF(K46="Vacant","Vac",IF(K46="Model","Model",IF(K46="Admin","Admin",IF(K46="Down","Down",IF(K46="Super","Super","Occ")))))</f>
        <v/>
      </c>
      <c r="D46" s="72">
        <f>INDEX($C$5:$C$14,MATCH(I46,$D$5:$D$14,0))</f>
        <v/>
      </c>
      <c r="E46" s="72">
        <f>INDEX($E$5:$E$14,MATCH(D46,$C$5:$C$14,0))</f>
        <v/>
      </c>
      <c r="F46" s="72">
        <f>INDEX($F$5:$F$14,MATCH(D46,$C$5:$C$14,0))</f>
        <v/>
      </c>
      <c r="G46" s="72">
        <f>INDEX($G$5:$G$14,MATCH(D46,$C$5:$C$14,0))</f>
        <v/>
      </c>
      <c r="H46" s="72" t="inlineStr">
        <is>
          <t>A15</t>
        </is>
      </c>
      <c r="I46" s="72" t="inlineStr">
        <is>
          <t>stjt2B1</t>
        </is>
      </c>
      <c r="J46" s="80" t="n">
        <v>950</v>
      </c>
      <c r="K46" s="72" t="inlineStr">
        <is>
          <t>Ariel Santos</t>
        </is>
      </c>
      <c r="L46" s="81" t="n">
        <v>1075</v>
      </c>
      <c r="M46" s="81">
        <f>Y46</f>
        <v/>
      </c>
      <c r="N46" s="82" t="n">
        <v>44491</v>
      </c>
      <c r="O46" s="82" t="n">
        <v>44491</v>
      </c>
      <c r="P46" s="82" t="n">
        <v>46255</v>
      </c>
      <c r="R46" s="81">
        <f>SUM(AB46:AK46)</f>
        <v/>
      </c>
      <c r="S46" s="81">
        <f>SUM(AM46:AQ46)</f>
        <v/>
      </c>
      <c r="T46" s="81">
        <f>SUM(AS46:AW46)</f>
        <v/>
      </c>
      <c r="Y46" s="81" t="n">
        <v>1007</v>
      </c>
    </row>
    <row r="47">
      <c r="A47" s="72">
        <f>$D$27</f>
        <v/>
      </c>
      <c r="B47" s="72">
        <f>B46+1</f>
        <v/>
      </c>
      <c r="C47" s="72">
        <f>IF(K47="Vacant","Vac",IF(K47="Model","Model",IF(K47="Admin","Admin",IF(K47="Down","Down",IF(K47="Super","Super","Occ")))))</f>
        <v/>
      </c>
      <c r="D47" s="72">
        <f>INDEX($C$5:$C$14,MATCH(I47,$D$5:$D$14,0))</f>
        <v/>
      </c>
      <c r="E47" s="72">
        <f>INDEX($E$5:$E$14,MATCH(D47,$C$5:$C$14,0))</f>
        <v/>
      </c>
      <c r="F47" s="72">
        <f>INDEX($F$5:$F$14,MATCH(D47,$C$5:$C$14,0))</f>
        <v/>
      </c>
      <c r="G47" s="72">
        <f>INDEX($G$5:$G$14,MATCH(D47,$C$5:$C$14,0))</f>
        <v/>
      </c>
      <c r="H47" s="72" t="inlineStr">
        <is>
          <t>A16</t>
        </is>
      </c>
      <c r="I47" s="72" t="inlineStr">
        <is>
          <t>stjt2B1R</t>
        </is>
      </c>
      <c r="J47" s="80" t="n">
        <v>950</v>
      </c>
      <c r="K47" s="72" t="inlineStr">
        <is>
          <t>Sarah Buchanan</t>
        </is>
      </c>
      <c r="L47" s="81" t="n">
        <v>1175</v>
      </c>
      <c r="M47" s="81">
        <f>Y47</f>
        <v/>
      </c>
      <c r="N47" s="82" t="n">
        <v>44873</v>
      </c>
      <c r="O47" s="82" t="n">
        <v>44873</v>
      </c>
      <c r="P47" s="82" t="n">
        <v>46880</v>
      </c>
      <c r="R47" s="81">
        <f>SUM(AB47:AK47)</f>
        <v/>
      </c>
      <c r="S47" s="81">
        <f>SUM(AM47:AQ47)</f>
        <v/>
      </c>
      <c r="T47" s="81">
        <f>SUM(AS47:AW47)</f>
        <v/>
      </c>
      <c r="Y47" s="81" t="n">
        <v>1090</v>
      </c>
    </row>
    <row r="48">
      <c r="A48" s="72">
        <f>$D$27</f>
        <v/>
      </c>
      <c r="B48" s="72">
        <f>B47+1</f>
        <v/>
      </c>
      <c r="C48" s="72">
        <f>IF(K48="Vacant","Vac",IF(K48="Model","Model",IF(K48="Admin","Admin",IF(K48="Down","Down",IF(K48="Super","Super","Occ")))))</f>
        <v/>
      </c>
      <c r="D48" s="72">
        <f>INDEX($C$5:$C$14,MATCH(I48,$D$5:$D$14,0))</f>
        <v/>
      </c>
      <c r="E48" s="72">
        <f>INDEX($E$5:$E$14,MATCH(D48,$C$5:$C$14,0))</f>
        <v/>
      </c>
      <c r="F48" s="72">
        <f>INDEX($F$5:$F$14,MATCH(D48,$C$5:$C$14,0))</f>
        <v/>
      </c>
      <c r="G48" s="72">
        <f>INDEX($G$5:$G$14,MATCH(D48,$C$5:$C$14,0))</f>
        <v/>
      </c>
      <c r="H48" s="72" t="inlineStr">
        <is>
          <t>A17</t>
        </is>
      </c>
      <c r="I48" s="72" t="inlineStr">
        <is>
          <t>stjt2B1R</t>
        </is>
      </c>
      <c r="J48" s="80" t="n">
        <v>950</v>
      </c>
      <c r="K48" s="72" t="inlineStr">
        <is>
          <t>Jaden Horn</t>
        </is>
      </c>
      <c r="L48" s="81" t="n">
        <v>1190</v>
      </c>
      <c r="M48" s="81">
        <f>Y48</f>
        <v/>
      </c>
      <c r="N48" s="82" t="n">
        <v>45940</v>
      </c>
      <c r="O48" s="82" t="n">
        <v>45940</v>
      </c>
      <c r="P48" s="82" t="n">
        <v>46304</v>
      </c>
      <c r="R48" s="81">
        <f>SUM(AB48:AK48)</f>
        <v/>
      </c>
      <c r="S48" s="81">
        <f>SUM(AM48:AQ48)</f>
        <v/>
      </c>
      <c r="T48" s="81">
        <f>SUM(AS48:AW48)</f>
        <v/>
      </c>
      <c r="Y48" s="81" t="n">
        <v>1180</v>
      </c>
    </row>
    <row r="49">
      <c r="A49" s="72">
        <f>$D$27</f>
        <v/>
      </c>
      <c r="B49" s="72">
        <f>B48+1</f>
        <v/>
      </c>
      <c r="C49" s="72">
        <f>IF(K49="Vacant","Vac",IF(K49="Model","Model",IF(K49="Admin","Admin",IF(K49="Down","Down",IF(K49="Super","Super","Occ")))))</f>
        <v/>
      </c>
      <c r="D49" s="72">
        <f>INDEX($C$5:$C$14,MATCH(I49,$D$5:$D$14,0))</f>
        <v/>
      </c>
      <c r="E49" s="72">
        <f>INDEX($E$5:$E$14,MATCH(D49,$C$5:$C$14,0))</f>
        <v/>
      </c>
      <c r="F49" s="72">
        <f>INDEX($F$5:$F$14,MATCH(D49,$C$5:$C$14,0))</f>
        <v/>
      </c>
      <c r="G49" s="72">
        <f>INDEX($G$5:$G$14,MATCH(D49,$C$5:$C$14,0))</f>
        <v/>
      </c>
      <c r="H49" s="72" t="inlineStr">
        <is>
          <t>A18</t>
        </is>
      </c>
      <c r="I49" s="72" t="inlineStr">
        <is>
          <t>stjt2B1R</t>
        </is>
      </c>
      <c r="J49" s="80" t="n">
        <v>950</v>
      </c>
      <c r="K49" s="72" t="inlineStr">
        <is>
          <t>Diego Rojas</t>
        </is>
      </c>
      <c r="L49" s="81" t="n">
        <v>1190</v>
      </c>
      <c r="M49" s="81">
        <f>Y49</f>
        <v/>
      </c>
      <c r="N49" s="82" t="n">
        <v>45958</v>
      </c>
      <c r="O49" s="82" t="n">
        <v>45958</v>
      </c>
      <c r="P49" s="82" t="n">
        <v>46504</v>
      </c>
      <c r="R49" s="81">
        <f>SUM(AB49:AK49)</f>
        <v/>
      </c>
      <c r="S49" s="81">
        <f>SUM(AM49:AQ49)</f>
        <v/>
      </c>
      <c r="T49" s="81">
        <f>SUM(AS49:AW49)</f>
        <v/>
      </c>
      <c r="Y49" s="81" t="n">
        <v>1165</v>
      </c>
    </row>
    <row r="50">
      <c r="A50" s="72">
        <f>$D$27</f>
        <v/>
      </c>
      <c r="B50" s="72">
        <f>B49+1</f>
        <v/>
      </c>
      <c r="C50" s="72">
        <f>IF(K50="Vacant","Vac",IF(K50="Model","Model",IF(K50="Admin","Admin",IF(K50="Down","Down",IF(K50="Super","Super","Occ")))))</f>
        <v/>
      </c>
      <c r="D50" s="72">
        <f>INDEX($C$5:$C$14,MATCH(I50,$D$5:$D$14,0))</f>
        <v/>
      </c>
      <c r="E50" s="72">
        <f>INDEX($E$5:$E$14,MATCH(D50,$C$5:$C$14,0))</f>
        <v/>
      </c>
      <c r="F50" s="72">
        <f>INDEX($F$5:$F$14,MATCH(D50,$C$5:$C$14,0))</f>
        <v/>
      </c>
      <c r="G50" s="72">
        <f>INDEX($G$5:$G$14,MATCH(D50,$C$5:$C$14,0))</f>
        <v/>
      </c>
      <c r="H50" s="72" t="inlineStr">
        <is>
          <t>A19</t>
        </is>
      </c>
      <c r="I50" s="72" t="inlineStr">
        <is>
          <t>stjt2B1</t>
        </is>
      </c>
      <c r="J50" s="80" t="n">
        <v>950</v>
      </c>
      <c r="K50" s="72" t="inlineStr">
        <is>
          <t>Baylee Modaff</t>
        </is>
      </c>
      <c r="L50" s="81" t="n">
        <v>1090</v>
      </c>
      <c r="M50" s="81">
        <f>Y50</f>
        <v/>
      </c>
      <c r="N50" s="82" t="n">
        <v>45717</v>
      </c>
      <c r="O50" s="82" t="n">
        <v>45717</v>
      </c>
      <c r="P50" s="82" t="n">
        <v>46173</v>
      </c>
      <c r="R50" s="81">
        <f>SUM(AB50:AK50)</f>
        <v/>
      </c>
      <c r="S50" s="81">
        <f>SUM(AM50:AQ50)</f>
        <v/>
      </c>
      <c r="T50" s="81">
        <f>SUM(AS50:AW50)</f>
        <v/>
      </c>
      <c r="Y50" s="81" t="n">
        <v>950</v>
      </c>
    </row>
    <row r="51">
      <c r="A51" s="72">
        <f>$D$27</f>
        <v/>
      </c>
      <c r="B51" s="72">
        <f>B50+1</f>
        <v/>
      </c>
      <c r="C51" s="72">
        <f>IF(K51="Vacant","Vac",IF(K51="Model","Model",IF(K51="Admin","Admin",IF(K51="Down","Down",IF(K51="Super","Super","Occ")))))</f>
        <v/>
      </c>
      <c r="D51" s="72">
        <f>INDEX($C$5:$C$14,MATCH(I51,$D$5:$D$14,0))</f>
        <v/>
      </c>
      <c r="E51" s="72">
        <f>INDEX($E$5:$E$14,MATCH(D51,$C$5:$C$14,0))</f>
        <v/>
      </c>
      <c r="F51" s="72">
        <f>INDEX($F$5:$F$14,MATCH(D51,$C$5:$C$14,0))</f>
        <v/>
      </c>
      <c r="G51" s="72">
        <f>INDEX($G$5:$G$14,MATCH(D51,$C$5:$C$14,0))</f>
        <v/>
      </c>
      <c r="H51" s="72" t="inlineStr">
        <is>
          <t>A20</t>
        </is>
      </c>
      <c r="I51" s="72" t="inlineStr">
        <is>
          <t>stjt2B1R</t>
        </is>
      </c>
      <c r="J51" s="80" t="n">
        <v>950</v>
      </c>
      <c r="K51" s="72" t="inlineStr">
        <is>
          <t>Dominic Scurci</t>
        </is>
      </c>
      <c r="L51" s="81" t="n">
        <v>1190</v>
      </c>
      <c r="M51" s="81">
        <f>Y51</f>
        <v/>
      </c>
      <c r="N51" s="82" t="n">
        <v>45924</v>
      </c>
      <c r="O51" s="82" t="n">
        <v>45924</v>
      </c>
      <c r="P51" s="82" t="n">
        <v>46288</v>
      </c>
      <c r="R51" s="81">
        <f>SUM(AB51:AK51)</f>
        <v/>
      </c>
      <c r="S51" s="81">
        <f>SUM(AM51:AQ51)</f>
        <v/>
      </c>
      <c r="T51" s="81">
        <f>SUM(AS51:AW51)</f>
        <v/>
      </c>
      <c r="Y51" s="81" t="n">
        <v>1180</v>
      </c>
    </row>
    <row r="52">
      <c r="A52" s="72">
        <f>$D$27</f>
        <v/>
      </c>
      <c r="B52" s="72">
        <f>B51+1</f>
        <v/>
      </c>
      <c r="C52" s="72">
        <f>IF(K52="Vacant","Vac",IF(K52="Model","Model",IF(K52="Admin","Admin",IF(K52="Down","Down",IF(K52="Super","Super","Occ")))))</f>
        <v/>
      </c>
      <c r="D52" s="72">
        <f>INDEX($C$5:$C$14,MATCH(I52,$D$5:$D$14,0))</f>
        <v/>
      </c>
      <c r="E52" s="72">
        <f>INDEX($E$5:$E$14,MATCH(D52,$C$5:$C$14,0))</f>
        <v/>
      </c>
      <c r="F52" s="72">
        <f>INDEX($F$5:$F$14,MATCH(D52,$C$5:$C$14,0))</f>
        <v/>
      </c>
      <c r="G52" s="72">
        <f>INDEX($G$5:$G$14,MATCH(D52,$C$5:$C$14,0))</f>
        <v/>
      </c>
      <c r="H52" s="72" t="inlineStr">
        <is>
          <t>A21</t>
        </is>
      </c>
      <c r="I52" s="72" t="inlineStr">
        <is>
          <t>stjt2B1</t>
        </is>
      </c>
      <c r="J52" s="80" t="n">
        <v>950</v>
      </c>
      <c r="K52" s="72" t="inlineStr">
        <is>
          <t>Linda Banks</t>
        </is>
      </c>
      <c r="L52" s="81" t="n">
        <v>1110</v>
      </c>
      <c r="M52" s="81">
        <f>Y52</f>
        <v/>
      </c>
      <c r="N52" s="82" t="n">
        <v>45233</v>
      </c>
      <c r="O52" s="82" t="n">
        <v>45233</v>
      </c>
      <c r="P52" s="82" t="n">
        <v>46326</v>
      </c>
      <c r="R52" s="81">
        <f>SUM(AB52:AK52)</f>
        <v/>
      </c>
      <c r="S52" s="81">
        <f>SUM(AM52:AQ52)</f>
        <v/>
      </c>
      <c r="T52" s="81">
        <f>SUM(AS52:AW52)</f>
        <v/>
      </c>
      <c r="Y52" s="81" t="n">
        <v>1040</v>
      </c>
    </row>
    <row r="53">
      <c r="A53" s="72">
        <f>$D$27</f>
        <v/>
      </c>
      <c r="B53" s="72">
        <f>B52+1</f>
        <v/>
      </c>
      <c r="C53" s="72">
        <f>IF(K53="Vacant","Vac",IF(K53="Model","Model",IF(K53="Admin","Admin",IF(K53="Down","Down",IF(K53="Super","Super","Occ")))))</f>
        <v/>
      </c>
      <c r="D53" s="72">
        <f>INDEX($C$5:$C$14,MATCH(I53,$D$5:$D$14,0))</f>
        <v/>
      </c>
      <c r="E53" s="72">
        <f>INDEX($E$5:$E$14,MATCH(D53,$C$5:$C$14,0))</f>
        <v/>
      </c>
      <c r="F53" s="72">
        <f>INDEX($F$5:$F$14,MATCH(D53,$C$5:$C$14,0))</f>
        <v/>
      </c>
      <c r="G53" s="72">
        <f>INDEX($G$5:$G$14,MATCH(D53,$C$5:$C$14,0))</f>
        <v/>
      </c>
      <c r="H53" s="72" t="inlineStr">
        <is>
          <t>A22</t>
        </is>
      </c>
      <c r="I53" s="72" t="inlineStr">
        <is>
          <t>stjt2B1</t>
        </is>
      </c>
      <c r="J53" s="80" t="n">
        <v>950</v>
      </c>
      <c r="K53" s="72" t="inlineStr">
        <is>
          <t>Andy Davis</t>
        </is>
      </c>
      <c r="L53" s="81" t="n">
        <v>1090</v>
      </c>
      <c r="M53" s="81">
        <f>Y53</f>
        <v/>
      </c>
      <c r="N53" s="82" t="n">
        <v>45366</v>
      </c>
      <c r="O53" s="82" t="n">
        <v>45366</v>
      </c>
      <c r="P53" s="82" t="n">
        <v>46460</v>
      </c>
      <c r="R53" s="81">
        <f>SUM(AB53:AK53)</f>
        <v/>
      </c>
      <c r="S53" s="81">
        <f>SUM(AM53:AQ53)</f>
        <v/>
      </c>
      <c r="T53" s="81">
        <f>SUM(AS53:AW53)</f>
        <v/>
      </c>
      <c r="Y53" s="81" t="n">
        <v>1090</v>
      </c>
    </row>
    <row r="54">
      <c r="A54" s="72">
        <f>$D$27</f>
        <v/>
      </c>
      <c r="B54" s="72">
        <f>B53+1</f>
        <v/>
      </c>
      <c r="C54" s="72">
        <f>IF(K54="Vacant","Vac",IF(K54="Model","Model",IF(K54="Admin","Admin",IF(K54="Down","Down",IF(K54="Super","Super","Occ")))))</f>
        <v/>
      </c>
      <c r="D54" s="72">
        <f>INDEX($C$5:$C$14,MATCH(I54,$D$5:$D$14,0))</f>
        <v/>
      </c>
      <c r="E54" s="72">
        <f>INDEX($E$5:$E$14,MATCH(D54,$C$5:$C$14,0))</f>
        <v/>
      </c>
      <c r="F54" s="72">
        <f>INDEX($F$5:$F$14,MATCH(D54,$C$5:$C$14,0))</f>
        <v/>
      </c>
      <c r="G54" s="72">
        <f>INDEX($G$5:$G$14,MATCH(D54,$C$5:$C$14,0))</f>
        <v/>
      </c>
      <c r="H54" s="72" t="inlineStr">
        <is>
          <t>A23</t>
        </is>
      </c>
      <c r="I54" s="72" t="inlineStr">
        <is>
          <t>stjt2B1</t>
        </is>
      </c>
      <c r="J54" s="80" t="n">
        <v>950</v>
      </c>
      <c r="K54" s="72" t="inlineStr">
        <is>
          <t>Victoria Castillo Quinteros</t>
        </is>
      </c>
      <c r="L54" s="81" t="n">
        <v>1090</v>
      </c>
      <c r="M54" s="81">
        <f>Y54</f>
        <v/>
      </c>
      <c r="N54" s="82" t="n">
        <v>45982</v>
      </c>
      <c r="O54" s="82" t="n">
        <v>45982</v>
      </c>
      <c r="P54" s="82" t="n">
        <v>46346</v>
      </c>
      <c r="R54" s="81">
        <f>SUM(AB54:AK54)</f>
        <v/>
      </c>
      <c r="S54" s="81">
        <f>SUM(AM54:AQ54)</f>
        <v/>
      </c>
      <c r="T54" s="81">
        <f>SUM(AS54:AW54)</f>
        <v/>
      </c>
      <c r="Y54" s="81" t="n">
        <v>1080</v>
      </c>
    </row>
    <row r="55">
      <c r="A55" s="72">
        <f>$D$27</f>
        <v/>
      </c>
      <c r="B55" s="72">
        <f>B54+1</f>
        <v/>
      </c>
      <c r="C55" s="72">
        <f>IF(K55="Vacant","Vac",IF(K55="Model","Model",IF(K55="Admin","Admin",IF(K55="Down","Down",IF(K55="Super","Super","Occ")))))</f>
        <v/>
      </c>
      <c r="D55" s="72">
        <f>INDEX($C$5:$C$14,MATCH(I55,$D$5:$D$14,0))</f>
        <v/>
      </c>
      <c r="E55" s="72">
        <f>INDEX($E$5:$E$14,MATCH(D55,$C$5:$C$14,0))</f>
        <v/>
      </c>
      <c r="F55" s="72">
        <f>INDEX($F$5:$F$14,MATCH(D55,$C$5:$C$14,0))</f>
        <v/>
      </c>
      <c r="G55" s="72">
        <f>INDEX($G$5:$G$14,MATCH(D55,$C$5:$C$14,0))</f>
        <v/>
      </c>
      <c r="H55" s="72" t="inlineStr">
        <is>
          <t>A24</t>
        </is>
      </c>
      <c r="I55" s="72" t="inlineStr">
        <is>
          <t>stjt2B1</t>
        </is>
      </c>
      <c r="J55" s="80" t="n">
        <v>950</v>
      </c>
      <c r="K55" s="72" t="inlineStr">
        <is>
          <t>Jennifer Lyons</t>
        </is>
      </c>
      <c r="L55" s="81" t="n">
        <v>1090</v>
      </c>
      <c r="M55" s="81">
        <f>Y55</f>
        <v/>
      </c>
      <c r="N55" s="82" t="n">
        <v>45960</v>
      </c>
      <c r="O55" s="82" t="n">
        <v>45960</v>
      </c>
      <c r="P55" s="82" t="n">
        <v>46324</v>
      </c>
      <c r="R55" s="81">
        <f>SUM(AB55:AK55)</f>
        <v/>
      </c>
      <c r="S55" s="81">
        <f>SUM(AM55:AQ55)</f>
        <v/>
      </c>
      <c r="T55" s="81">
        <f>SUM(AS55:AW55)</f>
        <v/>
      </c>
      <c r="Y55" s="81" t="n">
        <v>1080</v>
      </c>
    </row>
    <row r="56">
      <c r="A56" s="72">
        <f>$D$27</f>
        <v/>
      </c>
      <c r="B56" s="72">
        <f>B55+1</f>
        <v/>
      </c>
      <c r="C56" s="72">
        <f>IF(K56="Vacant","Vac",IF(K56="Model","Model",IF(K56="Admin","Admin",IF(K56="Down","Down",IF(K56="Super","Super","Occ")))))</f>
        <v/>
      </c>
      <c r="D56" s="72">
        <f>INDEX($C$5:$C$14,MATCH(I56,$D$5:$D$14,0))</f>
        <v/>
      </c>
      <c r="E56" s="72">
        <f>INDEX($E$5:$E$14,MATCH(D56,$C$5:$C$14,0))</f>
        <v/>
      </c>
      <c r="F56" s="72">
        <f>INDEX($F$5:$F$14,MATCH(D56,$C$5:$C$14,0))</f>
        <v/>
      </c>
      <c r="G56" s="72">
        <f>INDEX($G$5:$G$14,MATCH(D56,$C$5:$C$14,0))</f>
        <v/>
      </c>
      <c r="H56" s="72" t="inlineStr">
        <is>
          <t>A25</t>
        </is>
      </c>
      <c r="I56" s="72" t="inlineStr">
        <is>
          <t>stjt2B1R</t>
        </is>
      </c>
      <c r="J56" s="80" t="n">
        <v>950</v>
      </c>
      <c r="K56" s="72" t="inlineStr">
        <is>
          <t>Daniel Ruark</t>
        </is>
      </c>
      <c r="L56" s="81" t="n">
        <v>1175</v>
      </c>
      <c r="M56" s="81">
        <f>Y56</f>
        <v/>
      </c>
      <c r="N56" s="82" t="n">
        <v>45544</v>
      </c>
      <c r="O56" s="82" t="n">
        <v>45544</v>
      </c>
      <c r="P56" s="82" t="n">
        <v>46273</v>
      </c>
      <c r="R56" s="81">
        <f>SUM(AB56:AK56)</f>
        <v/>
      </c>
      <c r="S56" s="81">
        <f>SUM(AM56:AQ56)</f>
        <v/>
      </c>
      <c r="T56" s="81">
        <f>SUM(AS56:AW56)</f>
        <v/>
      </c>
      <c r="Y56" s="81" t="n">
        <v>1140</v>
      </c>
    </row>
    <row r="57">
      <c r="A57" s="72">
        <f>$D$27</f>
        <v/>
      </c>
      <c r="B57" s="72">
        <f>B56+1</f>
        <v/>
      </c>
      <c r="C57" s="72">
        <f>IF(K57="Vacant","Vac",IF(K57="Model","Model",IF(K57="Admin","Admin",IF(K57="Down","Down",IF(K57="Super","Super","Occ")))))</f>
        <v/>
      </c>
      <c r="D57" s="72">
        <f>INDEX($C$5:$C$14,MATCH(I57,$D$5:$D$14,0))</f>
        <v/>
      </c>
      <c r="E57" s="72">
        <f>INDEX($E$5:$E$14,MATCH(D57,$C$5:$C$14,0))</f>
        <v/>
      </c>
      <c r="F57" s="72">
        <f>INDEX($F$5:$F$14,MATCH(D57,$C$5:$C$14,0))</f>
        <v/>
      </c>
      <c r="G57" s="72">
        <f>INDEX($G$5:$G$14,MATCH(D57,$C$5:$C$14,0))</f>
        <v/>
      </c>
      <c r="H57" s="72" t="inlineStr">
        <is>
          <t>A26</t>
        </is>
      </c>
      <c r="I57" s="72" t="inlineStr">
        <is>
          <t>stjt2B1R</t>
        </is>
      </c>
      <c r="J57" s="80" t="n">
        <v>950</v>
      </c>
      <c r="K57" s="72" t="inlineStr">
        <is>
          <t>Alexis Pfeiffer</t>
        </is>
      </c>
      <c r="L57" s="81" t="n">
        <v>1175</v>
      </c>
      <c r="M57" s="81">
        <f>Y57</f>
        <v/>
      </c>
      <c r="N57" s="82" t="n">
        <v>45822</v>
      </c>
      <c r="O57" s="82" t="n">
        <v>45822</v>
      </c>
      <c r="P57" s="82" t="n">
        <v>46369</v>
      </c>
      <c r="R57" s="81">
        <f>SUM(AB57:AK57)</f>
        <v/>
      </c>
      <c r="S57" s="81">
        <f>SUM(AM57:AQ57)</f>
        <v/>
      </c>
      <c r="T57" s="81">
        <f>SUM(AS57:AW57)</f>
        <v/>
      </c>
      <c r="Y57" s="81" t="n">
        <v>1100</v>
      </c>
    </row>
    <row r="58">
      <c r="A58" s="72">
        <f>$D$27</f>
        <v/>
      </c>
      <c r="B58" s="72">
        <f>B57+1</f>
        <v/>
      </c>
      <c r="C58" s="72">
        <f>IF(K58="Vacant","Vac",IF(K58="Model","Model",IF(K58="Admin","Admin",IF(K58="Down","Down",IF(K58="Super","Super","Occ")))))</f>
        <v/>
      </c>
      <c r="D58" s="72">
        <f>INDEX($C$5:$C$14,MATCH(I58,$D$5:$D$14,0))</f>
        <v/>
      </c>
      <c r="E58" s="72">
        <f>INDEX($E$5:$E$14,MATCH(D58,$C$5:$C$14,0))</f>
        <v/>
      </c>
      <c r="F58" s="72">
        <f>INDEX($F$5:$F$14,MATCH(D58,$C$5:$C$14,0))</f>
        <v/>
      </c>
      <c r="G58" s="72">
        <f>INDEX($G$5:$G$14,MATCH(D58,$C$5:$C$14,0))</f>
        <v/>
      </c>
      <c r="H58" s="72" t="inlineStr">
        <is>
          <t>A27</t>
        </is>
      </c>
      <c r="I58" s="72" t="inlineStr">
        <is>
          <t>stjt2B1</t>
        </is>
      </c>
      <c r="J58" s="80" t="n">
        <v>950</v>
      </c>
      <c r="K58" s="72" t="inlineStr">
        <is>
          <t>Derrick Ogden</t>
        </is>
      </c>
      <c r="L58" s="81" t="n">
        <v>1140</v>
      </c>
      <c r="M58" s="81">
        <f>Y58</f>
        <v/>
      </c>
      <c r="N58" s="82" t="n">
        <v>46119</v>
      </c>
      <c r="O58" s="82" t="n">
        <v>46119</v>
      </c>
      <c r="P58" s="82" t="n">
        <v>46483</v>
      </c>
      <c r="R58" s="81">
        <f>SUM(AB58:AK58)</f>
        <v/>
      </c>
      <c r="S58" s="81">
        <f>SUM(AM58:AQ58)</f>
        <v/>
      </c>
      <c r="T58" s="81">
        <f>SUM(AS58:AW58)</f>
        <v/>
      </c>
      <c r="Y58" s="81" t="n">
        <v>1140</v>
      </c>
    </row>
    <row r="59">
      <c r="A59" s="72">
        <f>$D$27</f>
        <v/>
      </c>
      <c r="B59" s="72">
        <f>B58+1</f>
        <v/>
      </c>
      <c r="C59" s="72">
        <f>IF(K59="Vacant","Vac",IF(K59="Model","Model",IF(K59="Admin","Admin",IF(K59="Down","Down",IF(K59="Super","Super","Occ")))))</f>
        <v/>
      </c>
      <c r="D59" s="72">
        <f>INDEX($C$5:$C$14,MATCH(I59,$D$5:$D$14,0))</f>
        <v/>
      </c>
      <c r="E59" s="72">
        <f>INDEX($E$5:$E$14,MATCH(D59,$C$5:$C$14,0))</f>
        <v/>
      </c>
      <c r="F59" s="72">
        <f>INDEX($F$5:$F$14,MATCH(D59,$C$5:$C$14,0))</f>
        <v/>
      </c>
      <c r="G59" s="72">
        <f>INDEX($G$5:$G$14,MATCH(D59,$C$5:$C$14,0))</f>
        <v/>
      </c>
      <c r="H59" s="72" t="inlineStr">
        <is>
          <t>A28</t>
        </is>
      </c>
      <c r="I59" s="72" t="inlineStr">
        <is>
          <t>stjt2B1</t>
        </is>
      </c>
      <c r="J59" s="80" t="n">
        <v>950</v>
      </c>
      <c r="K59" s="72" t="inlineStr">
        <is>
          <t>D Mccombs</t>
        </is>
      </c>
      <c r="L59" s="81" t="n">
        <v>1075</v>
      </c>
      <c r="M59" s="81">
        <f>Y59</f>
        <v/>
      </c>
      <c r="N59" s="82" t="n">
        <v>45899</v>
      </c>
      <c r="O59" s="82" t="n">
        <v>45899</v>
      </c>
      <c r="P59" s="82" t="n">
        <v>46446</v>
      </c>
      <c r="R59" s="81">
        <f>SUM(AB59:AK59)</f>
        <v/>
      </c>
      <c r="S59" s="81">
        <f>SUM(AM59:AQ59)</f>
        <v/>
      </c>
      <c r="T59" s="81">
        <f>SUM(AS59:AW59)</f>
        <v/>
      </c>
      <c r="Y59" s="81" t="n">
        <v>1065</v>
      </c>
    </row>
    <row r="60">
      <c r="A60" s="72">
        <f>$D$27</f>
        <v/>
      </c>
      <c r="B60" s="72">
        <f>B59+1</f>
        <v/>
      </c>
      <c r="C60" s="72">
        <f>IF(K60="Vacant","Vac",IF(K60="Model","Model",IF(K60="Admin","Admin",IF(K60="Down","Down",IF(K60="Super","Super","Occ")))))</f>
        <v/>
      </c>
      <c r="D60" s="72">
        <f>INDEX($C$5:$C$14,MATCH(I60,$D$5:$D$14,0))</f>
        <v/>
      </c>
      <c r="E60" s="72">
        <f>INDEX($E$5:$E$14,MATCH(D60,$C$5:$C$14,0))</f>
        <v/>
      </c>
      <c r="F60" s="72">
        <f>INDEX($F$5:$F$14,MATCH(D60,$C$5:$C$14,0))</f>
        <v/>
      </c>
      <c r="G60" s="72">
        <f>INDEX($G$5:$G$14,MATCH(D60,$C$5:$C$14,0))</f>
        <v/>
      </c>
      <c r="H60" s="72" t="inlineStr">
        <is>
          <t>A29</t>
        </is>
      </c>
      <c r="I60" s="72" t="inlineStr">
        <is>
          <t>stjt2B1</t>
        </is>
      </c>
      <c r="J60" s="80" t="n">
        <v>950</v>
      </c>
      <c r="K60" s="72" t="inlineStr">
        <is>
          <t>Franklin Gulledge</t>
        </is>
      </c>
      <c r="L60" s="81" t="n">
        <v>1090</v>
      </c>
      <c r="M60" s="81">
        <f>Y60</f>
        <v/>
      </c>
      <c r="N60" s="82" t="n">
        <v>46128</v>
      </c>
      <c r="O60" s="82" t="n">
        <v>46128</v>
      </c>
      <c r="P60" s="82" t="n">
        <v>46492</v>
      </c>
      <c r="R60" s="81">
        <f>SUM(AB60:AK60)</f>
        <v/>
      </c>
      <c r="S60" s="81">
        <f>SUM(AM60:AQ60)</f>
        <v/>
      </c>
      <c r="T60" s="81">
        <f>SUM(AS60:AW60)</f>
        <v/>
      </c>
      <c r="Y60" s="81" t="n">
        <v>1020</v>
      </c>
    </row>
    <row r="61">
      <c r="A61" s="72">
        <f>$D$27</f>
        <v/>
      </c>
      <c r="B61" s="72">
        <f>B60+1</f>
        <v/>
      </c>
      <c r="C61" s="72">
        <f>IF(K61="Vacant","Vac",IF(K61="Model","Model",IF(K61="Admin","Admin",IF(K61="Down","Down",IF(K61="Super","Super","Occ")))))</f>
        <v/>
      </c>
      <c r="D61" s="72">
        <f>INDEX($C$5:$C$14,MATCH(I61,$D$5:$D$14,0))</f>
        <v/>
      </c>
      <c r="E61" s="72">
        <f>INDEX($E$5:$E$14,MATCH(D61,$C$5:$C$14,0))</f>
        <v/>
      </c>
      <c r="F61" s="72">
        <f>INDEX($F$5:$F$14,MATCH(D61,$C$5:$C$14,0))</f>
        <v/>
      </c>
      <c r="G61" s="72">
        <f>INDEX($G$5:$G$14,MATCH(D61,$C$5:$C$14,0))</f>
        <v/>
      </c>
      <c r="H61" s="72" t="inlineStr">
        <is>
          <t>A30</t>
        </is>
      </c>
      <c r="I61" s="72" t="inlineStr">
        <is>
          <t>stjt2B1</t>
        </is>
      </c>
      <c r="J61" s="80" t="n">
        <v>950</v>
      </c>
      <c r="K61" s="72" t="inlineStr">
        <is>
          <t>Ronald Baril</t>
        </is>
      </c>
      <c r="L61" s="81" t="n">
        <v>1090</v>
      </c>
      <c r="M61" s="81">
        <f>Y61</f>
        <v/>
      </c>
      <c r="N61" s="82" t="n">
        <v>45238</v>
      </c>
      <c r="O61" s="82" t="n">
        <v>45238</v>
      </c>
      <c r="P61" s="82" t="n">
        <v>46356</v>
      </c>
      <c r="R61" s="81">
        <f>SUM(AB61:AK61)</f>
        <v/>
      </c>
      <c r="S61" s="81">
        <f>SUM(AM61:AQ61)</f>
        <v/>
      </c>
      <c r="T61" s="81">
        <f>SUM(AS61:AW61)</f>
        <v/>
      </c>
      <c r="Y61" s="81" t="n">
        <v>1020</v>
      </c>
    </row>
    <row r="62">
      <c r="A62" s="72">
        <f>$D$27</f>
        <v/>
      </c>
      <c r="B62" s="72">
        <f>B61+1</f>
        <v/>
      </c>
      <c r="C62" s="72">
        <f>IF(K62="Vacant","Vac",IF(K62="Model","Model",IF(K62="Admin","Admin",IF(K62="Down","Down",IF(K62="Super","Super","Occ")))))</f>
        <v/>
      </c>
      <c r="D62" s="72">
        <f>INDEX($C$5:$C$14,MATCH(I62,$D$5:$D$14,0))</f>
        <v/>
      </c>
      <c r="E62" s="72">
        <f>INDEX($E$5:$E$14,MATCH(D62,$C$5:$C$14,0))</f>
        <v/>
      </c>
      <c r="F62" s="72">
        <f>INDEX($F$5:$F$14,MATCH(D62,$C$5:$C$14,0))</f>
        <v/>
      </c>
      <c r="G62" s="72">
        <f>INDEX($G$5:$G$14,MATCH(D62,$C$5:$C$14,0))</f>
        <v/>
      </c>
      <c r="H62" s="72" t="inlineStr">
        <is>
          <t>A31</t>
        </is>
      </c>
      <c r="I62" s="72" t="inlineStr">
        <is>
          <t>stjt2B1R</t>
        </is>
      </c>
      <c r="J62" s="80" t="n">
        <v>950</v>
      </c>
      <c r="K62" s="72" t="inlineStr">
        <is>
          <t>Christian Hartigan</t>
        </is>
      </c>
      <c r="L62" s="81" t="n">
        <v>1190</v>
      </c>
      <c r="M62" s="81">
        <f>Y62</f>
        <v/>
      </c>
      <c r="N62" s="82" t="n">
        <v>45429</v>
      </c>
      <c r="O62" s="82" t="n">
        <v>45429</v>
      </c>
      <c r="P62" s="82" t="n">
        <v>46158</v>
      </c>
      <c r="R62" s="81">
        <f>SUM(AB62:AK62)</f>
        <v/>
      </c>
      <c r="S62" s="81">
        <f>SUM(AM62:AQ62)</f>
        <v/>
      </c>
      <c r="T62" s="81">
        <f>SUM(AS62:AW62)</f>
        <v/>
      </c>
      <c r="Y62" s="81" t="n">
        <v>1140</v>
      </c>
    </row>
    <row r="63">
      <c r="A63" s="72">
        <f>$D$27</f>
        <v/>
      </c>
      <c r="B63" s="72">
        <f>B62+1</f>
        <v/>
      </c>
      <c r="C63" s="72">
        <f>IF(K63="Vacant","Vac",IF(K63="Model","Model",IF(K63="Admin","Admin",IF(K63="Down","Down",IF(K63="Super","Super","Occ")))))</f>
        <v/>
      </c>
      <c r="D63" s="72">
        <f>INDEX($C$5:$C$14,MATCH(I63,$D$5:$D$14,0))</f>
        <v/>
      </c>
      <c r="E63" s="72">
        <f>INDEX($E$5:$E$14,MATCH(D63,$C$5:$C$14,0))</f>
        <v/>
      </c>
      <c r="F63" s="72">
        <f>INDEX($F$5:$F$14,MATCH(D63,$C$5:$C$14,0))</f>
        <v/>
      </c>
      <c r="G63" s="72">
        <f>INDEX($G$5:$G$14,MATCH(D63,$C$5:$C$14,0))</f>
        <v/>
      </c>
      <c r="H63" s="72" t="inlineStr">
        <is>
          <t>A32</t>
        </is>
      </c>
      <c r="I63" s="72" t="inlineStr">
        <is>
          <t>stjt2B1</t>
        </is>
      </c>
      <c r="J63" s="80" t="n">
        <v>950</v>
      </c>
      <c r="K63" s="72" t="inlineStr">
        <is>
          <t>Jarrod Davis</t>
        </is>
      </c>
      <c r="L63" s="81" t="n">
        <v>1090</v>
      </c>
      <c r="M63" s="81">
        <f>Y63</f>
        <v/>
      </c>
      <c r="N63" s="82" t="n">
        <v>46052</v>
      </c>
      <c r="O63" s="82" t="n">
        <v>46052</v>
      </c>
      <c r="P63" s="82" t="n">
        <v>46416</v>
      </c>
      <c r="R63" s="81">
        <f>SUM(AB63:AK63)</f>
        <v/>
      </c>
      <c r="S63" s="81">
        <f>SUM(AM63:AQ63)</f>
        <v/>
      </c>
      <c r="T63" s="81">
        <f>SUM(AS63:AW63)</f>
        <v/>
      </c>
      <c r="Y63" s="81" t="n">
        <v>1029</v>
      </c>
    </row>
    <row r="64">
      <c r="A64" s="72">
        <f>$D$27</f>
        <v/>
      </c>
      <c r="B64" s="72">
        <f>B63+1</f>
        <v/>
      </c>
      <c r="C64" s="72">
        <f>IF(K64="Vacant","Vac",IF(K64="Model","Model",IF(K64="Admin","Admin",IF(K64="Down","Down",IF(K64="Super","Super","Occ")))))</f>
        <v/>
      </c>
      <c r="D64" s="72">
        <f>INDEX($C$5:$C$14,MATCH(I64,$D$5:$D$14,0))</f>
        <v/>
      </c>
      <c r="E64" s="72">
        <f>INDEX($E$5:$E$14,MATCH(D64,$C$5:$C$14,0))</f>
        <v/>
      </c>
      <c r="F64" s="72">
        <f>INDEX($F$5:$F$14,MATCH(D64,$C$5:$C$14,0))</f>
        <v/>
      </c>
      <c r="G64" s="72">
        <f>INDEX($G$5:$G$14,MATCH(D64,$C$5:$C$14,0))</f>
        <v/>
      </c>
      <c r="H64" s="72" t="inlineStr">
        <is>
          <t>A33</t>
        </is>
      </c>
      <c r="I64" s="72" t="inlineStr">
        <is>
          <t>stjt2B1</t>
        </is>
      </c>
      <c r="J64" s="80" t="n">
        <v>950</v>
      </c>
      <c r="K64" s="72" t="inlineStr">
        <is>
          <t>Samuel Grimes</t>
        </is>
      </c>
      <c r="L64" s="81" t="n">
        <v>1110</v>
      </c>
      <c r="M64" s="81">
        <f>Y64</f>
        <v/>
      </c>
      <c r="N64" s="82" t="n">
        <v>46038</v>
      </c>
      <c r="O64" s="82" t="n">
        <v>46038</v>
      </c>
      <c r="P64" s="82" t="n">
        <v>46402</v>
      </c>
      <c r="R64" s="81">
        <f>SUM(AB64:AK64)</f>
        <v/>
      </c>
      <c r="S64" s="81">
        <f>SUM(AM64:AQ64)</f>
        <v/>
      </c>
      <c r="T64" s="81">
        <f>SUM(AS64:AW64)</f>
        <v/>
      </c>
      <c r="Y64" s="81" t="n">
        <v>1057</v>
      </c>
    </row>
    <row r="65">
      <c r="A65" s="72">
        <f>$D$27</f>
        <v/>
      </c>
      <c r="B65" s="72">
        <f>B64+1</f>
        <v/>
      </c>
      <c r="C65" s="72">
        <f>IF(K65="Vacant","Vac",IF(K65="Model","Model",IF(K65="Admin","Admin",IF(K65="Down","Down",IF(K65="Super","Super","Occ")))))</f>
        <v/>
      </c>
      <c r="D65" s="72">
        <f>INDEX($C$5:$C$14,MATCH(I65,$D$5:$D$14,0))</f>
        <v/>
      </c>
      <c r="E65" s="72">
        <f>INDEX($E$5:$E$14,MATCH(D65,$C$5:$C$14,0))</f>
        <v/>
      </c>
      <c r="F65" s="72">
        <f>INDEX($F$5:$F$14,MATCH(D65,$C$5:$C$14,0))</f>
        <v/>
      </c>
      <c r="G65" s="72">
        <f>INDEX($G$5:$G$14,MATCH(D65,$C$5:$C$14,0))</f>
        <v/>
      </c>
      <c r="H65" s="72" t="inlineStr">
        <is>
          <t>A34</t>
        </is>
      </c>
      <c r="I65" s="72" t="inlineStr">
        <is>
          <t>stjt2B1</t>
        </is>
      </c>
      <c r="J65" s="80" t="n">
        <v>950</v>
      </c>
      <c r="K65" s="72" t="inlineStr">
        <is>
          <t>Azia Peacock</t>
        </is>
      </c>
      <c r="L65" s="81" t="n">
        <v>1110</v>
      </c>
      <c r="M65" s="81">
        <f>Y65</f>
        <v/>
      </c>
      <c r="N65" s="82" t="n">
        <v>45489</v>
      </c>
      <c r="O65" s="82" t="n">
        <v>45489</v>
      </c>
      <c r="P65" s="82" t="n">
        <v>46218</v>
      </c>
      <c r="R65" s="81">
        <f>SUM(AB65:AK65)</f>
        <v/>
      </c>
      <c r="S65" s="81">
        <f>SUM(AM65:AQ65)</f>
        <v/>
      </c>
      <c r="T65" s="81">
        <f>SUM(AS65:AW65)</f>
        <v/>
      </c>
      <c r="Y65" s="81" t="n">
        <v>1089</v>
      </c>
    </row>
    <row r="66">
      <c r="A66" s="72">
        <f>$D$27</f>
        <v/>
      </c>
      <c r="B66" s="72">
        <f>B65+1</f>
        <v/>
      </c>
      <c r="C66" s="72">
        <f>IF(K66="Vacant","Vac",IF(K66="Model","Model",IF(K66="Admin","Admin",IF(K66="Down","Down",IF(K66="Super","Super","Occ")))))</f>
        <v/>
      </c>
      <c r="D66" s="72">
        <f>INDEX($C$5:$C$14,MATCH(I66,$D$5:$D$14,0))</f>
        <v/>
      </c>
      <c r="E66" s="72">
        <f>INDEX($E$5:$E$14,MATCH(D66,$C$5:$C$14,0))</f>
        <v/>
      </c>
      <c r="F66" s="72">
        <f>INDEX($F$5:$F$14,MATCH(D66,$C$5:$C$14,0))</f>
        <v/>
      </c>
      <c r="G66" s="72">
        <f>INDEX($G$5:$G$14,MATCH(D66,$C$5:$C$14,0))</f>
        <v/>
      </c>
      <c r="H66" s="72" t="inlineStr">
        <is>
          <t>A35</t>
        </is>
      </c>
      <c r="I66" s="72" t="inlineStr">
        <is>
          <t>stjt2B1</t>
        </is>
      </c>
      <c r="J66" s="80" t="n">
        <v>950</v>
      </c>
      <c r="K66" s="72" t="inlineStr">
        <is>
          <t>Tommy Phan</t>
        </is>
      </c>
      <c r="L66" s="81" t="n">
        <v>1155</v>
      </c>
      <c r="M66" s="81">
        <f>Y66</f>
        <v/>
      </c>
      <c r="N66" s="82" t="n">
        <v>46085</v>
      </c>
      <c r="O66" s="82" t="n">
        <v>46085</v>
      </c>
      <c r="P66" s="82" t="n">
        <v>46449</v>
      </c>
      <c r="R66" s="81">
        <f>SUM(AB66:AK66)</f>
        <v/>
      </c>
      <c r="S66" s="81">
        <f>SUM(AM66:AQ66)</f>
        <v/>
      </c>
      <c r="T66" s="81">
        <f>SUM(AS66:AW66)</f>
        <v/>
      </c>
      <c r="Y66" s="81" t="n">
        <v>1145</v>
      </c>
    </row>
    <row r="67">
      <c r="A67" s="72">
        <f>$D$27</f>
        <v/>
      </c>
      <c r="B67" s="72">
        <f>B66+1</f>
        <v/>
      </c>
      <c r="C67" s="72">
        <f>IF(K67="Vacant","Vac",IF(K67="Model","Model",IF(K67="Admin","Admin",IF(K67="Down","Down",IF(K67="Super","Super","Occ")))))</f>
        <v/>
      </c>
      <c r="D67" s="72">
        <f>INDEX($C$5:$C$14,MATCH(I67,$D$5:$D$14,0))</f>
        <v/>
      </c>
      <c r="E67" s="72">
        <f>INDEX($E$5:$E$14,MATCH(D67,$C$5:$C$14,0))</f>
        <v/>
      </c>
      <c r="F67" s="72">
        <f>INDEX($F$5:$F$14,MATCH(D67,$C$5:$C$14,0))</f>
        <v/>
      </c>
      <c r="G67" s="72">
        <f>INDEX($G$5:$G$14,MATCH(D67,$C$5:$C$14,0))</f>
        <v/>
      </c>
      <c r="H67" s="72" t="inlineStr">
        <is>
          <t>A36</t>
        </is>
      </c>
      <c r="I67" s="72" t="inlineStr">
        <is>
          <t>stjt2B1R</t>
        </is>
      </c>
      <c r="J67" s="80" t="n">
        <v>950</v>
      </c>
      <c r="K67" s="72" t="inlineStr">
        <is>
          <t>Dakota Autrey</t>
        </is>
      </c>
      <c r="L67" s="81" t="n">
        <v>1210</v>
      </c>
      <c r="M67" s="81">
        <f>Y67</f>
        <v/>
      </c>
      <c r="N67" s="82" t="n">
        <v>45860</v>
      </c>
      <c r="O67" s="82" t="n">
        <v>45860</v>
      </c>
      <c r="P67" s="82" t="n">
        <v>46224</v>
      </c>
      <c r="R67" s="81">
        <f>SUM(AB67:AK67)</f>
        <v/>
      </c>
      <c r="S67" s="81">
        <f>SUM(AM67:AQ67)</f>
        <v/>
      </c>
      <c r="T67" s="81">
        <f>SUM(AS67:AW67)</f>
        <v/>
      </c>
      <c r="Y67" s="81" t="n">
        <v>1185</v>
      </c>
    </row>
    <row r="68">
      <c r="A68" s="72">
        <f>$D$27</f>
        <v/>
      </c>
      <c r="B68" s="72">
        <f>B67+1</f>
        <v/>
      </c>
      <c r="C68" s="72">
        <f>IF(K68="Vacant","Vac",IF(K68="Model","Model",IF(K68="Admin","Admin",IF(K68="Down","Down",IF(K68="Super","Super","Occ")))))</f>
        <v/>
      </c>
      <c r="D68" s="72">
        <f>INDEX($C$5:$C$14,MATCH(I68,$D$5:$D$14,0))</f>
        <v/>
      </c>
      <c r="E68" s="72">
        <f>INDEX($E$5:$E$14,MATCH(D68,$C$5:$C$14,0))</f>
        <v/>
      </c>
      <c r="F68" s="72">
        <f>INDEX($F$5:$F$14,MATCH(D68,$C$5:$C$14,0))</f>
        <v/>
      </c>
      <c r="G68" s="72">
        <f>INDEX($G$5:$G$14,MATCH(D68,$C$5:$C$14,0))</f>
        <v/>
      </c>
      <c r="H68" s="72" t="inlineStr">
        <is>
          <t>A37</t>
        </is>
      </c>
      <c r="I68" s="72" t="inlineStr">
        <is>
          <t>stjt2C1</t>
        </is>
      </c>
      <c r="J68" s="80" t="n">
        <v>1075</v>
      </c>
      <c r="K68" s="72" t="inlineStr">
        <is>
          <t>Shelby Cosper</t>
        </is>
      </c>
      <c r="L68" s="81" t="n">
        <v>1310</v>
      </c>
      <c r="M68" s="81">
        <f>Y68</f>
        <v/>
      </c>
      <c r="N68" s="82" t="n">
        <v>45887</v>
      </c>
      <c r="O68" s="82" t="n">
        <v>45887</v>
      </c>
      <c r="P68" s="82" t="n">
        <v>46251</v>
      </c>
      <c r="R68" s="81">
        <f>SUM(AB68:AK68)</f>
        <v/>
      </c>
      <c r="S68" s="81">
        <f>SUM(AM68:AQ68)</f>
        <v/>
      </c>
      <c r="T68" s="81">
        <f>SUM(AS68:AW68)</f>
        <v/>
      </c>
      <c r="Y68" s="81" t="n">
        <v>1285</v>
      </c>
    </row>
    <row r="69">
      <c r="A69" s="72">
        <f>$D$27</f>
        <v/>
      </c>
      <c r="B69" s="72">
        <f>B68+1</f>
        <v/>
      </c>
      <c r="C69" s="72">
        <f>IF(K69="Vacant","Vac",IF(K69="Model","Model",IF(K69="Admin","Admin",IF(K69="Down","Down",IF(K69="Super","Super","Occ")))))</f>
        <v/>
      </c>
      <c r="D69" s="72">
        <f>INDEX($C$5:$C$14,MATCH(I69,$D$5:$D$14,0))</f>
        <v/>
      </c>
      <c r="E69" s="72">
        <f>INDEX($E$5:$E$14,MATCH(D69,$C$5:$C$14,0))</f>
        <v/>
      </c>
      <c r="F69" s="72">
        <f>INDEX($F$5:$F$14,MATCH(D69,$C$5:$C$14,0))</f>
        <v/>
      </c>
      <c r="G69" s="72">
        <f>INDEX($G$5:$G$14,MATCH(D69,$C$5:$C$14,0))</f>
        <v/>
      </c>
      <c r="H69" s="72" t="inlineStr">
        <is>
          <t>A38</t>
        </is>
      </c>
      <c r="I69" s="72" t="inlineStr">
        <is>
          <t>stjt2C1R</t>
        </is>
      </c>
      <c r="J69" s="80" t="n">
        <v>1075</v>
      </c>
      <c r="K69" s="72" t="inlineStr">
        <is>
          <t>Tierra Nunley</t>
        </is>
      </c>
      <c r="L69" s="81" t="n">
        <v>1405</v>
      </c>
      <c r="M69" s="81">
        <f>Y69</f>
        <v/>
      </c>
      <c r="N69" s="82" t="n">
        <v>45979</v>
      </c>
      <c r="O69" s="82" t="n">
        <v>45979</v>
      </c>
      <c r="P69" s="82" t="n">
        <v>46343</v>
      </c>
      <c r="R69" s="81">
        <f>SUM(AB69:AK69)</f>
        <v/>
      </c>
      <c r="S69" s="81">
        <f>SUM(AM69:AQ69)</f>
        <v/>
      </c>
      <c r="T69" s="81">
        <f>SUM(AS69:AW69)</f>
        <v/>
      </c>
      <c r="Y69" s="81" t="n">
        <v>1100</v>
      </c>
    </row>
    <row r="70">
      <c r="A70" s="72">
        <f>$D$27</f>
        <v/>
      </c>
      <c r="B70" s="72">
        <f>B69+1</f>
        <v/>
      </c>
      <c r="C70" s="72">
        <f>IF(K70="Vacant","Vac",IF(K70="Model","Model",IF(K70="Admin","Admin",IF(K70="Down","Down",IF(K70="Super","Super","Occ")))))</f>
        <v/>
      </c>
      <c r="D70" s="72">
        <f>INDEX($C$5:$C$14,MATCH(I70,$D$5:$D$14,0))</f>
        <v/>
      </c>
      <c r="E70" s="72">
        <f>INDEX($E$5:$E$14,MATCH(D70,$C$5:$C$14,0))</f>
        <v/>
      </c>
      <c r="F70" s="72">
        <f>INDEX($F$5:$F$14,MATCH(D70,$C$5:$C$14,0))</f>
        <v/>
      </c>
      <c r="G70" s="72">
        <f>INDEX($G$5:$G$14,MATCH(D70,$C$5:$C$14,0))</f>
        <v/>
      </c>
      <c r="H70" s="72" t="inlineStr">
        <is>
          <t>A39</t>
        </is>
      </c>
      <c r="I70" s="72" t="inlineStr">
        <is>
          <t>stjt2C1</t>
        </is>
      </c>
      <c r="J70" s="80" t="n">
        <v>1075</v>
      </c>
      <c r="K70" s="72" t="inlineStr">
        <is>
          <t>Miranda Roach</t>
        </is>
      </c>
      <c r="L70" s="81" t="n">
        <v>1265</v>
      </c>
      <c r="M70" s="81">
        <f>Y70</f>
        <v/>
      </c>
      <c r="N70" s="82" t="n">
        <v>45765</v>
      </c>
      <c r="O70" s="82" t="n">
        <v>45765</v>
      </c>
      <c r="P70" s="82" t="n">
        <v>46129</v>
      </c>
      <c r="R70" s="81">
        <f>SUM(AB70:AK70)</f>
        <v/>
      </c>
      <c r="S70" s="81">
        <f>SUM(AM70:AQ70)</f>
        <v/>
      </c>
      <c r="T70" s="81">
        <f>SUM(AS70:AW70)</f>
        <v/>
      </c>
      <c r="Y70" s="81" t="n">
        <v>1240</v>
      </c>
    </row>
    <row r="71">
      <c r="A71" s="72">
        <f>$D$27</f>
        <v/>
      </c>
      <c r="B71" s="72">
        <f>B70+1</f>
        <v/>
      </c>
      <c r="C71" s="72">
        <f>IF(K71="Vacant","Vac",IF(K71="Model","Model",IF(K71="Admin","Admin",IF(K71="Down","Down",IF(K71="Super","Super","Occ")))))</f>
        <v/>
      </c>
      <c r="D71" s="72">
        <f>INDEX($C$5:$C$14,MATCH(I71,$D$5:$D$14,0))</f>
        <v/>
      </c>
      <c r="E71" s="72">
        <f>INDEX($E$5:$E$14,MATCH(D71,$C$5:$C$14,0))</f>
        <v/>
      </c>
      <c r="F71" s="72">
        <f>INDEX($F$5:$F$14,MATCH(D71,$C$5:$C$14,0))</f>
        <v/>
      </c>
      <c r="G71" s="72">
        <f>INDEX($G$5:$G$14,MATCH(D71,$C$5:$C$14,0))</f>
        <v/>
      </c>
      <c r="H71" s="72" t="inlineStr">
        <is>
          <t>A40</t>
        </is>
      </c>
      <c r="I71" s="72" t="inlineStr">
        <is>
          <t>stjt2C1R</t>
        </is>
      </c>
      <c r="J71" s="80" t="n">
        <v>1075</v>
      </c>
      <c r="K71" s="72" t="inlineStr">
        <is>
          <t>Chris King</t>
        </is>
      </c>
      <c r="L71" s="81" t="n">
        <v>1405</v>
      </c>
      <c r="M71" s="81">
        <f>Y71</f>
        <v/>
      </c>
      <c r="N71" s="82" t="n">
        <v>45772</v>
      </c>
      <c r="O71" s="82" t="n">
        <v>45772</v>
      </c>
      <c r="P71" s="82" t="n">
        <v>46319</v>
      </c>
      <c r="R71" s="81">
        <f>SUM(AB71:AK71)</f>
        <v/>
      </c>
      <c r="S71" s="81">
        <f>SUM(AM71:AQ71)</f>
        <v/>
      </c>
      <c r="T71" s="81">
        <f>SUM(AS71:AW71)</f>
        <v/>
      </c>
      <c r="Y71" s="81" t="n">
        <v>1380</v>
      </c>
    </row>
    <row r="72">
      <c r="A72" s="72">
        <f>$D$27</f>
        <v/>
      </c>
      <c r="B72" s="72">
        <f>B71+1</f>
        <v/>
      </c>
      <c r="C72" s="72">
        <f>IF(K72="Vacant","Vac",IF(K72="Model","Model",IF(K72="Admin","Admin",IF(K72="Down","Down",IF(K72="Super","Super","Occ")))))</f>
        <v/>
      </c>
      <c r="D72" s="72">
        <f>INDEX($C$5:$C$14,MATCH(I72,$D$5:$D$14,0))</f>
        <v/>
      </c>
      <c r="E72" s="72">
        <f>INDEX($E$5:$E$14,MATCH(D72,$C$5:$C$14,0))</f>
        <v/>
      </c>
      <c r="F72" s="72">
        <f>INDEX($F$5:$F$14,MATCH(D72,$C$5:$C$14,0))</f>
        <v/>
      </c>
      <c r="G72" s="72">
        <f>INDEX($G$5:$G$14,MATCH(D72,$C$5:$C$14,0))</f>
        <v/>
      </c>
      <c r="H72" s="72" t="inlineStr">
        <is>
          <t>A41</t>
        </is>
      </c>
      <c r="I72" s="72" t="inlineStr">
        <is>
          <t>stjt2C1R</t>
        </is>
      </c>
      <c r="J72" s="80" t="n">
        <v>1075</v>
      </c>
      <c r="K72" s="72" t="inlineStr">
        <is>
          <t>Alvin Holloway</t>
        </is>
      </c>
      <c r="L72" s="81" t="n">
        <v>1420</v>
      </c>
      <c r="M72" s="81">
        <f>Y72</f>
        <v/>
      </c>
      <c r="N72" s="82" t="n">
        <v>45597</v>
      </c>
      <c r="O72" s="82" t="n">
        <v>45597</v>
      </c>
      <c r="P72" s="82" t="n">
        <v>46326</v>
      </c>
      <c r="R72" s="81">
        <f>SUM(AB72:AK72)</f>
        <v/>
      </c>
      <c r="S72" s="81">
        <f>SUM(AM72:AQ72)</f>
        <v/>
      </c>
      <c r="T72" s="81">
        <f>SUM(AS72:AW72)</f>
        <v/>
      </c>
      <c r="Y72" s="81" t="n">
        <v>1425</v>
      </c>
    </row>
    <row r="73">
      <c r="A73" s="72">
        <f>$D$27</f>
        <v/>
      </c>
      <c r="B73" s="72">
        <f>B72+1</f>
        <v/>
      </c>
      <c r="C73" s="72">
        <f>IF(K73="Vacant","Vac",IF(K73="Model","Model",IF(K73="Admin","Admin",IF(K73="Down","Down",IF(K73="Super","Super","Occ")))))</f>
        <v/>
      </c>
      <c r="D73" s="72">
        <f>INDEX($C$5:$C$14,MATCH(I73,$D$5:$D$14,0))</f>
        <v/>
      </c>
      <c r="E73" s="72">
        <f>INDEX($E$5:$E$14,MATCH(D73,$C$5:$C$14,0))</f>
        <v/>
      </c>
      <c r="F73" s="72">
        <f>INDEX($F$5:$F$14,MATCH(D73,$C$5:$C$14,0))</f>
        <v/>
      </c>
      <c r="G73" s="72">
        <f>INDEX($G$5:$G$14,MATCH(D73,$C$5:$C$14,0))</f>
        <v/>
      </c>
      <c r="H73" s="72" t="inlineStr">
        <is>
          <t>A42</t>
        </is>
      </c>
      <c r="I73" s="72" t="inlineStr">
        <is>
          <t>stjt2C1</t>
        </is>
      </c>
      <c r="J73" s="80" t="n">
        <v>1075</v>
      </c>
      <c r="K73" s="72" t="inlineStr">
        <is>
          <t>Sara Hernandez Cordovi</t>
        </is>
      </c>
      <c r="L73" s="81" t="n">
        <v>1260</v>
      </c>
      <c r="M73" s="81">
        <f>Y73</f>
        <v/>
      </c>
      <c r="N73" s="82" t="n">
        <v>46038</v>
      </c>
      <c r="O73" s="82" t="n">
        <v>46038</v>
      </c>
      <c r="P73" s="82" t="n">
        <v>46402</v>
      </c>
      <c r="R73" s="81">
        <f>SUM(AB73:AK73)</f>
        <v/>
      </c>
      <c r="S73" s="81">
        <f>SUM(AM73:AQ73)</f>
        <v/>
      </c>
      <c r="T73" s="81">
        <f>SUM(AS73:AW73)</f>
        <v/>
      </c>
      <c r="Y73" s="81" t="n">
        <v>999</v>
      </c>
    </row>
    <row r="74">
      <c r="A74" s="72">
        <f>$D$27</f>
        <v/>
      </c>
      <c r="B74" s="72">
        <f>B73+1</f>
        <v/>
      </c>
      <c r="C74" s="72">
        <f>IF(K74="Vacant","Vac",IF(K74="Model","Model",IF(K74="Admin","Admin",IF(K74="Down","Down",IF(K74="Super","Super","Occ")))))</f>
        <v/>
      </c>
      <c r="D74" s="72">
        <f>INDEX($C$5:$C$14,MATCH(I74,$D$5:$D$14,0))</f>
        <v/>
      </c>
      <c r="E74" s="72">
        <f>INDEX($E$5:$E$14,MATCH(D74,$C$5:$C$14,0))</f>
        <v/>
      </c>
      <c r="F74" s="72">
        <f>INDEX($F$5:$F$14,MATCH(D74,$C$5:$C$14,0))</f>
        <v/>
      </c>
      <c r="G74" s="72">
        <f>INDEX($G$5:$G$14,MATCH(D74,$C$5:$C$14,0))</f>
        <v/>
      </c>
      <c r="H74" s="72" t="inlineStr">
        <is>
          <t>A43</t>
        </is>
      </c>
      <c r="I74" s="72" t="inlineStr">
        <is>
          <t>stjt2C1</t>
        </is>
      </c>
      <c r="J74" s="80" t="n">
        <v>1075</v>
      </c>
      <c r="K74" s="72" t="inlineStr">
        <is>
          <t>Khadija Harrison</t>
        </is>
      </c>
      <c r="L74" s="81" t="n">
        <v>1260</v>
      </c>
      <c r="M74" s="81">
        <f>Y74</f>
        <v/>
      </c>
      <c r="N74" s="82" t="n">
        <v>45125</v>
      </c>
      <c r="O74" s="82" t="n">
        <v>45125</v>
      </c>
      <c r="P74" s="82" t="n">
        <v>46220</v>
      </c>
      <c r="R74" s="81">
        <f>SUM(AB74:AK74)</f>
        <v/>
      </c>
      <c r="S74" s="81">
        <f>SUM(AM74:AQ74)</f>
        <v/>
      </c>
      <c r="T74" s="81">
        <f>SUM(AS74:AW74)</f>
        <v/>
      </c>
      <c r="Y74" s="81" t="n">
        <v>1255</v>
      </c>
    </row>
    <row r="75">
      <c r="A75" s="72">
        <f>$D$27</f>
        <v/>
      </c>
      <c r="B75" s="72">
        <f>B74+1</f>
        <v/>
      </c>
      <c r="C75" s="72">
        <f>IF(K75="Vacant","Vac",IF(K75="Model","Model",IF(K75="Admin","Admin",IF(K75="Down","Down",IF(K75="Super","Super","Occ")))))</f>
        <v/>
      </c>
      <c r="D75" s="72">
        <f>INDEX($C$5:$C$14,MATCH(I75,$D$5:$D$14,0))</f>
        <v/>
      </c>
      <c r="E75" s="72">
        <f>INDEX($E$5:$E$14,MATCH(D75,$C$5:$C$14,0))</f>
        <v/>
      </c>
      <c r="F75" s="72">
        <f>INDEX($F$5:$F$14,MATCH(D75,$C$5:$C$14,0))</f>
        <v/>
      </c>
      <c r="G75" s="72">
        <f>INDEX($G$5:$G$14,MATCH(D75,$C$5:$C$14,0))</f>
        <v/>
      </c>
      <c r="H75" s="72" t="inlineStr">
        <is>
          <t>A44</t>
        </is>
      </c>
      <c r="I75" s="72" t="inlineStr">
        <is>
          <t>stjt2C1R</t>
        </is>
      </c>
      <c r="J75" s="80" t="n">
        <v>1075</v>
      </c>
      <c r="K75" s="72" t="inlineStr">
        <is>
          <t>Karen Crecelius</t>
        </is>
      </c>
      <c r="L75" s="81" t="n">
        <v>1420</v>
      </c>
      <c r="M75" s="81">
        <f>Y75</f>
        <v/>
      </c>
      <c r="N75" s="82" t="n">
        <v>45792</v>
      </c>
      <c r="O75" s="82" t="n">
        <v>45792</v>
      </c>
      <c r="P75" s="82" t="n">
        <v>46156</v>
      </c>
      <c r="R75" s="81">
        <f>SUM(AB75:AK75)</f>
        <v/>
      </c>
      <c r="S75" s="81">
        <f>SUM(AM75:AQ75)</f>
        <v/>
      </c>
      <c r="T75" s="81">
        <f>SUM(AS75:AW75)</f>
        <v/>
      </c>
      <c r="Y75" s="81" t="n">
        <v>1395</v>
      </c>
    </row>
    <row r="76">
      <c r="A76" s="72">
        <f>$D$27</f>
        <v/>
      </c>
      <c r="B76" s="72">
        <f>B75+1</f>
        <v/>
      </c>
      <c r="C76" s="72">
        <f>IF(K76="Vacant","Vac",IF(K76="Model","Model",IF(K76="Admin","Admin",IF(K76="Down","Down",IF(K76="Super","Super","Occ")))))</f>
        <v/>
      </c>
      <c r="D76" s="72">
        <f>INDEX($C$5:$C$14,MATCH(I76,$D$5:$D$14,0))</f>
        <v/>
      </c>
      <c r="E76" s="72">
        <f>INDEX($E$5:$E$14,MATCH(D76,$C$5:$C$14,0))</f>
        <v/>
      </c>
      <c r="F76" s="72">
        <f>INDEX($F$5:$F$14,MATCH(D76,$C$5:$C$14,0))</f>
        <v/>
      </c>
      <c r="G76" s="72">
        <f>INDEX($G$5:$G$14,MATCH(D76,$C$5:$C$14,0))</f>
        <v/>
      </c>
      <c r="H76" s="72" t="inlineStr">
        <is>
          <t>A45</t>
        </is>
      </c>
      <c r="I76" s="72" t="inlineStr">
        <is>
          <t>stjt2C1</t>
        </is>
      </c>
      <c r="J76" s="80" t="n">
        <v>1075</v>
      </c>
      <c r="K76" s="72" t="inlineStr">
        <is>
          <t>Baba Tomy</t>
        </is>
      </c>
      <c r="L76" s="81" t="n">
        <v>1260</v>
      </c>
      <c r="M76" s="81">
        <f>Y76</f>
        <v/>
      </c>
      <c r="N76" s="82" t="n">
        <v>45908</v>
      </c>
      <c r="O76" s="82" t="n">
        <v>45908</v>
      </c>
      <c r="P76" s="82" t="n">
        <v>46272</v>
      </c>
      <c r="R76" s="81">
        <f>SUM(AB76:AK76)</f>
        <v/>
      </c>
      <c r="S76" s="81">
        <f>SUM(AM76:AQ76)</f>
        <v/>
      </c>
      <c r="T76" s="81">
        <f>SUM(AS76:AW76)</f>
        <v/>
      </c>
      <c r="Y76" s="81" t="n">
        <v>1235</v>
      </c>
    </row>
    <row r="77">
      <c r="A77" s="72">
        <f>$D$27</f>
        <v/>
      </c>
      <c r="B77" s="72">
        <f>B76+1</f>
        <v/>
      </c>
      <c r="C77" s="72">
        <f>IF(K77="Vacant","Vac",IF(K77="Model","Model",IF(K77="Admin","Admin",IF(K77="Down","Down",IF(K77="Super","Super","Occ")))))</f>
        <v/>
      </c>
      <c r="D77" s="72">
        <f>INDEX($C$5:$C$14,MATCH(I77,$D$5:$D$14,0))</f>
        <v/>
      </c>
      <c r="E77" s="72">
        <f>INDEX($E$5:$E$14,MATCH(D77,$C$5:$C$14,0))</f>
        <v/>
      </c>
      <c r="F77" s="72">
        <f>INDEX($F$5:$F$14,MATCH(D77,$C$5:$C$14,0))</f>
        <v/>
      </c>
      <c r="G77" s="72">
        <f>INDEX($G$5:$G$14,MATCH(D77,$C$5:$C$14,0))</f>
        <v/>
      </c>
      <c r="H77" s="72" t="inlineStr">
        <is>
          <t>A46</t>
        </is>
      </c>
      <c r="I77" s="72" t="inlineStr">
        <is>
          <t>stjt2C1</t>
        </is>
      </c>
      <c r="J77" s="80" t="n">
        <v>1075</v>
      </c>
      <c r="K77" s="72" t="inlineStr">
        <is>
          <t>Marysol Keller</t>
        </is>
      </c>
      <c r="L77" s="81" t="n">
        <v>1260</v>
      </c>
      <c r="M77" s="81">
        <f>Y77</f>
        <v/>
      </c>
      <c r="N77" s="82" t="n">
        <v>46017</v>
      </c>
      <c r="O77" s="82" t="n">
        <v>46017</v>
      </c>
      <c r="P77" s="82" t="n">
        <v>46381</v>
      </c>
      <c r="R77" s="81">
        <f>SUM(AB77:AK77)</f>
        <v/>
      </c>
      <c r="S77" s="81">
        <f>SUM(AM77:AQ77)</f>
        <v/>
      </c>
      <c r="T77" s="81">
        <f>SUM(AS77:AW77)</f>
        <v/>
      </c>
      <c r="Y77" s="81" t="n">
        <v>1181</v>
      </c>
    </row>
    <row r="78">
      <c r="A78" s="72">
        <f>$D$27</f>
        <v/>
      </c>
      <c r="B78" s="72">
        <f>B77+1</f>
        <v/>
      </c>
      <c r="C78" s="72">
        <f>IF(K78="Vacant","Vac",IF(K78="Model","Model",IF(K78="Admin","Admin",IF(K78="Down","Down",IF(K78="Super","Super","Occ")))))</f>
        <v/>
      </c>
      <c r="D78" s="72">
        <f>INDEX($C$5:$C$14,MATCH(I78,$D$5:$D$14,0))</f>
        <v/>
      </c>
      <c r="E78" s="72">
        <f>INDEX($E$5:$E$14,MATCH(D78,$C$5:$C$14,0))</f>
        <v/>
      </c>
      <c r="F78" s="72">
        <f>INDEX($F$5:$F$14,MATCH(D78,$C$5:$C$14,0))</f>
        <v/>
      </c>
      <c r="G78" s="72">
        <f>INDEX($G$5:$G$14,MATCH(D78,$C$5:$C$14,0))</f>
        <v/>
      </c>
      <c r="H78" s="72" t="inlineStr">
        <is>
          <t>A47</t>
        </is>
      </c>
      <c r="I78" s="72" t="inlineStr">
        <is>
          <t>stjt2C2R</t>
        </is>
      </c>
      <c r="J78" s="80" t="n">
        <v>1075</v>
      </c>
      <c r="K78" s="72" t="inlineStr">
        <is>
          <t>Christopher Webb</t>
        </is>
      </c>
      <c r="L78" s="81" t="n">
        <v>1469</v>
      </c>
      <c r="M78" s="81">
        <f>Y78</f>
        <v/>
      </c>
      <c r="N78" s="82" t="n">
        <v>46094</v>
      </c>
      <c r="O78" s="82" t="n">
        <v>46094</v>
      </c>
      <c r="P78" s="82" t="n">
        <v>46461</v>
      </c>
      <c r="R78" s="81">
        <f>SUM(AB78:AK78)</f>
        <v/>
      </c>
      <c r="S78" s="81">
        <f>SUM(AM78:AQ78)</f>
        <v/>
      </c>
      <c r="T78" s="81">
        <f>SUM(AS78:AW78)</f>
        <v/>
      </c>
      <c r="Y78" s="81" t="n">
        <v>1450</v>
      </c>
    </row>
    <row r="79">
      <c r="A79" s="72">
        <f>$D$27</f>
        <v/>
      </c>
      <c r="B79" s="72">
        <f>B78+1</f>
        <v/>
      </c>
      <c r="C79" s="72">
        <f>IF(K79="Vacant","Vac",IF(K79="Model","Model",IF(K79="Admin","Admin",IF(K79="Down","Down",IF(K79="Super","Super","Occ")))))</f>
        <v/>
      </c>
      <c r="D79" s="72">
        <f>INDEX($C$5:$C$14,MATCH(I79,$D$5:$D$14,0))</f>
        <v/>
      </c>
      <c r="E79" s="72">
        <f>INDEX($E$5:$E$14,MATCH(D79,$C$5:$C$14,0))</f>
        <v/>
      </c>
      <c r="F79" s="72">
        <f>INDEX($F$5:$F$14,MATCH(D79,$C$5:$C$14,0))</f>
        <v/>
      </c>
      <c r="G79" s="72">
        <f>INDEX($G$5:$G$14,MATCH(D79,$C$5:$C$14,0))</f>
        <v/>
      </c>
      <c r="H79" s="72" t="inlineStr">
        <is>
          <t>A48</t>
        </is>
      </c>
      <c r="I79" s="72" t="inlineStr">
        <is>
          <t>stjt2C1</t>
        </is>
      </c>
      <c r="J79" s="80" t="n">
        <v>1075</v>
      </c>
      <c r="K79" s="72" t="inlineStr">
        <is>
          <t>Tyler Goodin</t>
        </is>
      </c>
      <c r="L79" s="81" t="n">
        <v>1260</v>
      </c>
      <c r="M79" s="81">
        <f>Y79</f>
        <v/>
      </c>
      <c r="N79" s="82" t="n">
        <v>45975</v>
      </c>
      <c r="O79" s="82" t="n">
        <v>45975</v>
      </c>
      <c r="P79" s="82" t="n">
        <v>46339</v>
      </c>
      <c r="R79" s="81">
        <f>SUM(AB79:AK79)</f>
        <v/>
      </c>
      <c r="S79" s="81">
        <f>SUM(AM79:AQ79)</f>
        <v/>
      </c>
      <c r="T79" s="81">
        <f>SUM(AS79:AW79)</f>
        <v/>
      </c>
      <c r="Y79" s="81" t="n">
        <v>1080</v>
      </c>
    </row>
    <row r="80">
      <c r="A80" s="72">
        <f>$D$27</f>
        <v/>
      </c>
      <c r="B80" s="72">
        <f>B79+1</f>
        <v/>
      </c>
      <c r="C80" s="72">
        <f>IF(K80="Vacant","Vac",IF(K80="Model","Model",IF(K80="Admin","Admin",IF(K80="Down","Down",IF(K80="Super","Super","Occ")))))</f>
        <v/>
      </c>
      <c r="D80" s="72">
        <f>INDEX($C$5:$C$14,MATCH(I80,$D$5:$D$14,0))</f>
        <v/>
      </c>
      <c r="E80" s="72">
        <f>INDEX($E$5:$E$14,MATCH(D80,$C$5:$C$14,0))</f>
        <v/>
      </c>
      <c r="F80" s="72">
        <f>INDEX($F$5:$F$14,MATCH(D80,$C$5:$C$14,0))</f>
        <v/>
      </c>
      <c r="G80" s="72">
        <f>INDEX($G$5:$G$14,MATCH(D80,$C$5:$C$14,0))</f>
        <v/>
      </c>
      <c r="H80" s="72" t="inlineStr">
        <is>
          <t>B01</t>
        </is>
      </c>
      <c r="I80" s="72" t="inlineStr">
        <is>
          <t>stjt2B1R</t>
        </is>
      </c>
      <c r="J80" s="80" t="n">
        <v>950</v>
      </c>
      <c r="K80" s="72" t="inlineStr">
        <is>
          <t>Leia Lyons</t>
        </is>
      </c>
      <c r="L80" s="81" t="n">
        <v>1120</v>
      </c>
      <c r="M80" s="81">
        <f>Y80</f>
        <v/>
      </c>
      <c r="N80" s="82" t="n">
        <v>45849</v>
      </c>
      <c r="O80" s="82" t="n">
        <v>45849</v>
      </c>
      <c r="P80" s="82" t="n">
        <v>46213</v>
      </c>
      <c r="R80" s="81">
        <f>SUM(AB80:AK80)</f>
        <v/>
      </c>
      <c r="S80" s="81">
        <f>SUM(AM80:AQ80)</f>
        <v/>
      </c>
      <c r="T80" s="81">
        <f>SUM(AS80:AW80)</f>
        <v/>
      </c>
      <c r="Y80" s="81" t="n">
        <v>1095</v>
      </c>
    </row>
    <row r="81">
      <c r="A81" s="72">
        <f>$D$27</f>
        <v/>
      </c>
      <c r="B81" s="72">
        <f>B80+1</f>
        <v/>
      </c>
      <c r="C81" s="72">
        <f>IF(K81="Vacant","Vac",IF(K81="Model","Model",IF(K81="Admin","Admin",IF(K81="Down","Down",IF(K81="Super","Super","Occ")))))</f>
        <v/>
      </c>
      <c r="D81" s="72">
        <f>INDEX($C$5:$C$14,MATCH(I81,$D$5:$D$14,0))</f>
        <v/>
      </c>
      <c r="E81" s="72">
        <f>INDEX($E$5:$E$14,MATCH(D81,$C$5:$C$14,0))</f>
        <v/>
      </c>
      <c r="F81" s="72">
        <f>INDEX($F$5:$F$14,MATCH(D81,$C$5:$C$14,0))</f>
        <v/>
      </c>
      <c r="G81" s="72">
        <f>INDEX($G$5:$G$14,MATCH(D81,$C$5:$C$14,0))</f>
        <v/>
      </c>
      <c r="H81" s="72" t="inlineStr">
        <is>
          <t>B02</t>
        </is>
      </c>
      <c r="I81" s="72" t="inlineStr">
        <is>
          <t>stjt2A1R</t>
        </is>
      </c>
      <c r="J81" s="80" t="n">
        <v>850</v>
      </c>
      <c r="K81" s="72" t="inlineStr">
        <is>
          <t>Zalayah Skinner</t>
        </is>
      </c>
      <c r="L81" s="81" t="n">
        <v>1040</v>
      </c>
      <c r="M81" s="81">
        <f>Y81</f>
        <v/>
      </c>
      <c r="N81" s="82" t="n">
        <v>45786</v>
      </c>
      <c r="O81" s="82" t="n">
        <v>45786</v>
      </c>
      <c r="P81" s="82" t="n">
        <v>46150</v>
      </c>
      <c r="R81" s="81">
        <f>SUM(AB81:AK81)</f>
        <v/>
      </c>
      <c r="S81" s="81">
        <f>SUM(AM81:AQ81)</f>
        <v/>
      </c>
      <c r="T81" s="81">
        <f>SUM(AS81:AW81)</f>
        <v/>
      </c>
      <c r="Y81" s="81" t="n">
        <v>1025</v>
      </c>
    </row>
    <row r="82">
      <c r="A82" s="72">
        <f>$D$27</f>
        <v/>
      </c>
      <c r="B82" s="72">
        <f>B81+1</f>
        <v/>
      </c>
      <c r="C82" s="72">
        <f>IF(K82="Vacant","Vac",IF(K82="Model","Model",IF(K82="Admin","Admin",IF(K82="Down","Down",IF(K82="Super","Super","Occ")))))</f>
        <v/>
      </c>
      <c r="D82" s="72">
        <f>INDEX($C$5:$C$14,MATCH(I82,$D$5:$D$14,0))</f>
        <v/>
      </c>
      <c r="E82" s="72">
        <f>INDEX($E$5:$E$14,MATCH(D82,$C$5:$C$14,0))</f>
        <v/>
      </c>
      <c r="F82" s="72">
        <f>INDEX($F$5:$F$14,MATCH(D82,$C$5:$C$14,0))</f>
        <v/>
      </c>
      <c r="G82" s="72">
        <f>INDEX($G$5:$G$14,MATCH(D82,$C$5:$C$14,0))</f>
        <v/>
      </c>
      <c r="H82" s="72" t="inlineStr">
        <is>
          <t>B03</t>
        </is>
      </c>
      <c r="I82" s="72" t="inlineStr">
        <is>
          <t>stjt2B1</t>
        </is>
      </c>
      <c r="J82" s="80" t="n">
        <v>950</v>
      </c>
      <c r="K82" s="72" t="inlineStr">
        <is>
          <t>VACANT</t>
        </is>
      </c>
      <c r="L82" s="81" t="n">
        <v>965</v>
      </c>
      <c r="M82" s="81">
        <f>Y82</f>
        <v/>
      </c>
      <c r="R82" s="81">
        <f>SUM(AB82:AK82)</f>
        <v/>
      </c>
      <c r="S82" s="81">
        <f>SUM(AM82:AQ82)</f>
        <v/>
      </c>
      <c r="T82" s="81">
        <f>SUM(AS82:AW82)</f>
        <v/>
      </c>
      <c r="Y82" s="81" t="n">
        <v>0</v>
      </c>
    </row>
    <row r="83">
      <c r="A83" s="72">
        <f>$D$27</f>
        <v/>
      </c>
      <c r="B83" s="72">
        <f>B82+1</f>
        <v/>
      </c>
      <c r="C83" s="72">
        <f>IF(K83="Vacant","Vac",IF(K83="Model","Model",IF(K83="Admin","Admin",IF(K83="Down","Down",IF(K83="Super","Super","Occ")))))</f>
        <v/>
      </c>
      <c r="D83" s="72">
        <f>INDEX($C$5:$C$14,MATCH(I83,$D$5:$D$14,0))</f>
        <v/>
      </c>
      <c r="E83" s="72">
        <f>INDEX($E$5:$E$14,MATCH(D83,$C$5:$C$14,0))</f>
        <v/>
      </c>
      <c r="F83" s="72">
        <f>INDEX($F$5:$F$14,MATCH(D83,$C$5:$C$14,0))</f>
        <v/>
      </c>
      <c r="G83" s="72">
        <f>INDEX($G$5:$G$14,MATCH(D83,$C$5:$C$14,0))</f>
        <v/>
      </c>
      <c r="H83" s="72" t="inlineStr">
        <is>
          <t>B04</t>
        </is>
      </c>
      <c r="I83" s="72" t="inlineStr">
        <is>
          <t>stjt2A1</t>
        </is>
      </c>
      <c r="J83" s="80" t="n">
        <v>850</v>
      </c>
      <c r="K83" s="72" t="inlineStr">
        <is>
          <t>Parker Robinson~</t>
        </is>
      </c>
      <c r="L83" s="81" t="n">
        <v>995</v>
      </c>
      <c r="M83" s="81">
        <f>Y83</f>
        <v/>
      </c>
      <c r="N83" s="82" t="n">
        <v>45233</v>
      </c>
      <c r="O83" s="82" t="n">
        <v>45233</v>
      </c>
      <c r="P83" s="82" t="n">
        <v>46509</v>
      </c>
      <c r="R83" s="81">
        <f>SUM(AB83:AK83)</f>
        <v/>
      </c>
      <c r="S83" s="81">
        <f>SUM(AM83:AQ83)</f>
        <v/>
      </c>
      <c r="T83" s="81">
        <f>SUM(AS83:AW83)</f>
        <v/>
      </c>
      <c r="Y83" s="81" t="n">
        <v>835</v>
      </c>
    </row>
    <row r="84">
      <c r="A84" s="72">
        <f>$D$27</f>
        <v/>
      </c>
      <c r="B84" s="72">
        <f>B83+1</f>
        <v/>
      </c>
      <c r="C84" s="72">
        <f>IF(K84="Vacant","Vac",IF(K84="Model","Model",IF(K84="Admin","Admin",IF(K84="Down","Down",IF(K84="Super","Super","Occ")))))</f>
        <v/>
      </c>
      <c r="D84" s="72">
        <f>INDEX($C$5:$C$14,MATCH(I84,$D$5:$D$14,0))</f>
        <v/>
      </c>
      <c r="E84" s="72">
        <f>INDEX($E$5:$E$14,MATCH(D84,$C$5:$C$14,0))</f>
        <v/>
      </c>
      <c r="F84" s="72">
        <f>INDEX($F$5:$F$14,MATCH(D84,$C$5:$C$14,0))</f>
        <v/>
      </c>
      <c r="G84" s="72">
        <f>INDEX($G$5:$G$14,MATCH(D84,$C$5:$C$14,0))</f>
        <v/>
      </c>
      <c r="H84" s="72" t="inlineStr">
        <is>
          <t>B05</t>
        </is>
      </c>
      <c r="I84" s="72" t="inlineStr">
        <is>
          <t>stjt2B1R</t>
        </is>
      </c>
      <c r="J84" s="80" t="n">
        <v>950</v>
      </c>
      <c r="K84" s="72" t="inlineStr">
        <is>
          <t>Joshua Norrington</t>
        </is>
      </c>
      <c r="L84" s="81" t="n">
        <v>1135</v>
      </c>
      <c r="M84" s="81">
        <f>Y84</f>
        <v/>
      </c>
      <c r="N84" s="82" t="n">
        <v>46150</v>
      </c>
      <c r="O84" s="82" t="n">
        <v>46150</v>
      </c>
      <c r="P84" s="82" t="n">
        <v>46575</v>
      </c>
      <c r="R84" s="81">
        <f>SUM(AB84:AK84)</f>
        <v/>
      </c>
      <c r="S84" s="81">
        <f>SUM(AM84:AQ84)</f>
        <v/>
      </c>
      <c r="T84" s="81">
        <f>SUM(AS84:AW84)</f>
        <v/>
      </c>
      <c r="Y84" s="81" t="n">
        <v>1135</v>
      </c>
    </row>
    <row r="85">
      <c r="A85" s="72">
        <f>$D$27</f>
        <v/>
      </c>
      <c r="B85" s="72">
        <f>B84+1</f>
        <v/>
      </c>
      <c r="C85" s="72">
        <f>IF(K85="Vacant","Vac",IF(K85="Model","Model",IF(K85="Admin","Admin",IF(K85="Down","Down",IF(K85="Super","Super","Occ")))))</f>
        <v/>
      </c>
      <c r="D85" s="72">
        <f>INDEX($C$5:$C$14,MATCH(I85,$D$5:$D$14,0))</f>
        <v/>
      </c>
      <c r="E85" s="72">
        <f>INDEX($E$5:$E$14,MATCH(D85,$C$5:$C$14,0))</f>
        <v/>
      </c>
      <c r="F85" s="72">
        <f>INDEX($F$5:$F$14,MATCH(D85,$C$5:$C$14,0))</f>
        <v/>
      </c>
      <c r="G85" s="72">
        <f>INDEX($G$5:$G$14,MATCH(D85,$C$5:$C$14,0))</f>
        <v/>
      </c>
      <c r="H85" s="72" t="inlineStr">
        <is>
          <t>B06</t>
        </is>
      </c>
      <c r="I85" s="72" t="inlineStr">
        <is>
          <t>stjt2A1</t>
        </is>
      </c>
      <c r="J85" s="80" t="n">
        <v>850</v>
      </c>
      <c r="K85" s="72" t="inlineStr">
        <is>
          <t>Greg Thorpe</t>
        </is>
      </c>
      <c r="L85" s="81" t="n">
        <v>990</v>
      </c>
      <c r="M85" s="81">
        <f>Y85</f>
        <v/>
      </c>
      <c r="N85" s="82" t="n">
        <v>44310</v>
      </c>
      <c r="O85" s="82" t="n">
        <v>44310</v>
      </c>
      <c r="P85" s="82" t="n">
        <v>46196</v>
      </c>
      <c r="R85" s="81">
        <f>SUM(AB85:AK85)</f>
        <v/>
      </c>
      <c r="S85" s="81">
        <f>SUM(AM85:AQ85)</f>
        <v/>
      </c>
      <c r="T85" s="81">
        <f>SUM(AS85:AW85)</f>
        <v/>
      </c>
      <c r="Y85" s="81" t="n">
        <v>897</v>
      </c>
    </row>
    <row r="86">
      <c r="A86" s="72">
        <f>$D$27</f>
        <v/>
      </c>
      <c r="B86" s="72">
        <f>B85+1</f>
        <v/>
      </c>
      <c r="C86" s="72">
        <f>IF(K86="Vacant","Vac",IF(K86="Model","Model",IF(K86="Admin","Admin",IF(K86="Down","Down",IF(K86="Super","Super","Occ")))))</f>
        <v/>
      </c>
      <c r="D86" s="72">
        <f>INDEX($C$5:$C$14,MATCH(I86,$D$5:$D$14,0))</f>
        <v/>
      </c>
      <c r="E86" s="72">
        <f>INDEX($E$5:$E$14,MATCH(D86,$C$5:$C$14,0))</f>
        <v/>
      </c>
      <c r="F86" s="72">
        <f>INDEX($F$5:$F$14,MATCH(D86,$C$5:$C$14,0))</f>
        <v/>
      </c>
      <c r="G86" s="72">
        <f>INDEX($G$5:$G$14,MATCH(D86,$C$5:$C$14,0))</f>
        <v/>
      </c>
      <c r="H86" s="72" t="inlineStr">
        <is>
          <t>B07</t>
        </is>
      </c>
      <c r="I86" s="72" t="inlineStr">
        <is>
          <t>stjt2B1R</t>
        </is>
      </c>
      <c r="J86" s="80" t="n">
        <v>950</v>
      </c>
      <c r="K86" s="72" t="inlineStr">
        <is>
          <t>Acacia Acantha</t>
        </is>
      </c>
      <c r="L86" s="81" t="n">
        <v>1135</v>
      </c>
      <c r="M86" s="81">
        <f>Y86</f>
        <v/>
      </c>
      <c r="N86" s="82" t="n">
        <v>45106</v>
      </c>
      <c r="O86" s="82" t="n">
        <v>45106</v>
      </c>
      <c r="P86" s="82" t="n">
        <v>46201</v>
      </c>
      <c r="R86" s="81">
        <f>SUM(AB86:AK86)</f>
        <v/>
      </c>
      <c r="S86" s="81">
        <f>SUM(AM86:AQ86)</f>
        <v/>
      </c>
      <c r="T86" s="81">
        <f>SUM(AS86:AW86)</f>
        <v/>
      </c>
      <c r="Y86" s="81" t="n">
        <v>1050</v>
      </c>
    </row>
    <row r="87">
      <c r="A87" s="72">
        <f>$D$27</f>
        <v/>
      </c>
      <c r="B87" s="72">
        <f>B86+1</f>
        <v/>
      </c>
      <c r="C87" s="72">
        <f>IF(K87="Vacant","Vac",IF(K87="Model","Model",IF(K87="Admin","Admin",IF(K87="Down","Down",IF(K87="Super","Super","Occ")))))</f>
        <v/>
      </c>
      <c r="D87" s="72">
        <f>INDEX($C$5:$C$14,MATCH(I87,$D$5:$D$14,0))</f>
        <v/>
      </c>
      <c r="E87" s="72">
        <f>INDEX($E$5:$E$14,MATCH(D87,$C$5:$C$14,0))</f>
        <v/>
      </c>
      <c r="F87" s="72">
        <f>INDEX($F$5:$F$14,MATCH(D87,$C$5:$C$14,0))</f>
        <v/>
      </c>
      <c r="G87" s="72">
        <f>INDEX($G$5:$G$14,MATCH(D87,$C$5:$C$14,0))</f>
        <v/>
      </c>
      <c r="H87" s="72" t="inlineStr">
        <is>
          <t>B08</t>
        </is>
      </c>
      <c r="I87" s="72" t="inlineStr">
        <is>
          <t>stjt2A1</t>
        </is>
      </c>
      <c r="J87" s="80" t="n">
        <v>850</v>
      </c>
      <c r="K87" s="72" t="inlineStr">
        <is>
          <t>Carlos Ntchou</t>
        </is>
      </c>
      <c r="L87" s="81" t="n">
        <v>990</v>
      </c>
      <c r="M87" s="81">
        <f>Y87</f>
        <v/>
      </c>
      <c r="N87" s="82" t="n">
        <v>44322</v>
      </c>
      <c r="O87" s="82" t="n">
        <v>44322</v>
      </c>
      <c r="P87" s="82" t="n">
        <v>46178</v>
      </c>
      <c r="R87" s="81">
        <f>SUM(AB87:AK87)</f>
        <v/>
      </c>
      <c r="S87" s="81">
        <f>SUM(AM87:AQ87)</f>
        <v/>
      </c>
      <c r="T87" s="81">
        <f>SUM(AS87:AW87)</f>
        <v/>
      </c>
      <c r="Y87" s="81" t="n">
        <v>898</v>
      </c>
    </row>
    <row r="88">
      <c r="A88" s="72">
        <f>$D$27</f>
        <v/>
      </c>
      <c r="B88" s="72">
        <f>B87+1</f>
        <v/>
      </c>
      <c r="C88" s="72">
        <f>IF(K88="Vacant","Vac",IF(K88="Model","Model",IF(K88="Admin","Admin",IF(K88="Down","Down",IF(K88="Super","Super","Occ")))))</f>
        <v/>
      </c>
      <c r="D88" s="72">
        <f>INDEX($C$5:$C$14,MATCH(I88,$D$5:$D$14,0))</f>
        <v/>
      </c>
      <c r="E88" s="72">
        <f>INDEX($E$5:$E$14,MATCH(D88,$C$5:$C$14,0))</f>
        <v/>
      </c>
      <c r="F88" s="72">
        <f>INDEX($F$5:$F$14,MATCH(D88,$C$5:$C$14,0))</f>
        <v/>
      </c>
      <c r="G88" s="72">
        <f>INDEX($G$5:$G$14,MATCH(D88,$C$5:$C$14,0))</f>
        <v/>
      </c>
      <c r="H88" s="72" t="inlineStr">
        <is>
          <t>B09</t>
        </is>
      </c>
      <c r="I88" s="72" t="inlineStr">
        <is>
          <t>stjt2B1</t>
        </is>
      </c>
      <c r="J88" s="80" t="n">
        <v>950</v>
      </c>
      <c r="K88" s="72" t="inlineStr">
        <is>
          <t>Aminata Bassirou</t>
        </is>
      </c>
      <c r="L88" s="81" t="n">
        <v>1035</v>
      </c>
      <c r="M88" s="81">
        <f>Y88</f>
        <v/>
      </c>
      <c r="N88" s="82" t="n">
        <v>45860</v>
      </c>
      <c r="O88" s="82" t="n">
        <v>45860</v>
      </c>
      <c r="P88" s="82" t="n">
        <v>46255</v>
      </c>
      <c r="R88" s="81">
        <f>SUM(AB88:AK88)</f>
        <v/>
      </c>
      <c r="S88" s="81">
        <f>SUM(AM88:AQ88)</f>
        <v/>
      </c>
      <c r="T88" s="81">
        <f>SUM(AS88:AW88)</f>
        <v/>
      </c>
      <c r="Y88" s="81" t="n">
        <v>1025</v>
      </c>
    </row>
    <row r="89">
      <c r="A89" s="72">
        <f>$D$27</f>
        <v/>
      </c>
      <c r="B89" s="72">
        <f>B88+1</f>
        <v/>
      </c>
      <c r="C89" s="72">
        <f>IF(K89="Vacant","Vac",IF(K89="Model","Model",IF(K89="Admin","Admin",IF(K89="Down","Down",IF(K89="Super","Super","Occ")))))</f>
        <v/>
      </c>
      <c r="D89" s="72">
        <f>INDEX($C$5:$C$14,MATCH(I89,$D$5:$D$14,0))</f>
        <v/>
      </c>
      <c r="E89" s="72">
        <f>INDEX($E$5:$E$14,MATCH(D89,$C$5:$C$14,0))</f>
        <v/>
      </c>
      <c r="F89" s="72">
        <f>INDEX($F$5:$F$14,MATCH(D89,$C$5:$C$14,0))</f>
        <v/>
      </c>
      <c r="G89" s="72">
        <f>INDEX($G$5:$G$14,MATCH(D89,$C$5:$C$14,0))</f>
        <v/>
      </c>
      <c r="H89" s="72" t="inlineStr">
        <is>
          <t>B10</t>
        </is>
      </c>
      <c r="I89" s="72" t="inlineStr">
        <is>
          <t>stjt2A1</t>
        </is>
      </c>
      <c r="J89" s="80" t="n">
        <v>850</v>
      </c>
      <c r="K89" s="72" t="inlineStr">
        <is>
          <t>Jaden Thompson</t>
        </is>
      </c>
      <c r="L89" s="81" t="n">
        <v>990</v>
      </c>
      <c r="M89" s="81">
        <f>Y89</f>
        <v/>
      </c>
      <c r="N89" s="82" t="n">
        <v>45831</v>
      </c>
      <c r="O89" s="82" t="n">
        <v>45831</v>
      </c>
      <c r="P89" s="82" t="n">
        <v>46195</v>
      </c>
      <c r="R89" s="81">
        <f>SUM(AB89:AK89)</f>
        <v/>
      </c>
      <c r="S89" s="81">
        <f>SUM(AM89:AQ89)</f>
        <v/>
      </c>
      <c r="T89" s="81">
        <f>SUM(AS89:AW89)</f>
        <v/>
      </c>
      <c r="Y89" s="81" t="n">
        <v>925</v>
      </c>
    </row>
    <row r="90">
      <c r="A90" s="72">
        <f>$D$27</f>
        <v/>
      </c>
      <c r="B90" s="72">
        <f>B89+1</f>
        <v/>
      </c>
      <c r="C90" s="72">
        <f>IF(K90="Vacant","Vac",IF(K90="Model","Model",IF(K90="Admin","Admin",IF(K90="Down","Down",IF(K90="Super","Super","Occ")))))</f>
        <v/>
      </c>
      <c r="D90" s="72">
        <f>INDEX($C$5:$C$14,MATCH(I90,$D$5:$D$14,0))</f>
        <v/>
      </c>
      <c r="E90" s="72">
        <f>INDEX($E$5:$E$14,MATCH(D90,$C$5:$C$14,0))</f>
        <v/>
      </c>
      <c r="F90" s="72">
        <f>INDEX($F$5:$F$14,MATCH(D90,$C$5:$C$14,0))</f>
        <v/>
      </c>
      <c r="G90" s="72">
        <f>INDEX($G$5:$G$14,MATCH(D90,$C$5:$C$14,0))</f>
        <v/>
      </c>
      <c r="H90" s="72" t="inlineStr">
        <is>
          <t>B11</t>
        </is>
      </c>
      <c r="I90" s="72" t="inlineStr">
        <is>
          <t>stjt2B2R</t>
        </is>
      </c>
      <c r="J90" s="80" t="n">
        <v>950</v>
      </c>
      <c r="K90" s="72" t="inlineStr">
        <is>
          <t>Tim Miller</t>
        </is>
      </c>
      <c r="L90" s="81" t="n">
        <v>1214</v>
      </c>
      <c r="M90" s="81">
        <f>Y90</f>
        <v/>
      </c>
      <c r="N90" s="82" t="n">
        <v>45985</v>
      </c>
      <c r="O90" s="82" t="n">
        <v>45985</v>
      </c>
      <c r="P90" s="82" t="n">
        <v>46349</v>
      </c>
      <c r="R90" s="81">
        <f>SUM(AB90:AK90)</f>
        <v/>
      </c>
      <c r="S90" s="81">
        <f>SUM(AM90:AQ90)</f>
        <v/>
      </c>
      <c r="T90" s="81">
        <f>SUM(AS90:AW90)</f>
        <v/>
      </c>
      <c r="Y90" s="81" t="n">
        <v>1075</v>
      </c>
    </row>
    <row r="91">
      <c r="A91" s="72">
        <f>$D$27</f>
        <v/>
      </c>
      <c r="B91" s="72">
        <f>B90+1</f>
        <v/>
      </c>
      <c r="C91" s="72">
        <f>IF(K91="Vacant","Vac",IF(K91="Model","Model",IF(K91="Admin","Admin",IF(K91="Down","Down",IF(K91="Super","Super","Occ")))))</f>
        <v/>
      </c>
      <c r="D91" s="72">
        <f>INDEX($C$5:$C$14,MATCH(I91,$D$5:$D$14,0))</f>
        <v/>
      </c>
      <c r="E91" s="72">
        <f>INDEX($E$5:$E$14,MATCH(D91,$C$5:$C$14,0))</f>
        <v/>
      </c>
      <c r="F91" s="72">
        <f>INDEX($F$5:$F$14,MATCH(D91,$C$5:$C$14,0))</f>
        <v/>
      </c>
      <c r="G91" s="72">
        <f>INDEX($G$5:$G$14,MATCH(D91,$C$5:$C$14,0))</f>
        <v/>
      </c>
      <c r="H91" s="72" t="inlineStr">
        <is>
          <t>B12</t>
        </is>
      </c>
      <c r="I91" s="72" t="inlineStr">
        <is>
          <t>stjt2A1</t>
        </is>
      </c>
      <c r="J91" s="80" t="n">
        <v>850</v>
      </c>
      <c r="K91" s="72" t="inlineStr">
        <is>
          <t>Austin Avery</t>
        </is>
      </c>
      <c r="L91" s="81" t="n">
        <v>990</v>
      </c>
      <c r="M91" s="81">
        <f>Y91</f>
        <v/>
      </c>
      <c r="N91" s="82" t="n">
        <v>45836</v>
      </c>
      <c r="O91" s="82" t="n">
        <v>45836</v>
      </c>
      <c r="P91" s="82" t="n">
        <v>46383</v>
      </c>
      <c r="R91" s="81">
        <f>SUM(AB91:AK91)</f>
        <v/>
      </c>
      <c r="S91" s="81">
        <f>SUM(AM91:AQ91)</f>
        <v/>
      </c>
      <c r="T91" s="81">
        <f>SUM(AS91:AW91)</f>
        <v/>
      </c>
      <c r="Y91" s="81" t="n">
        <v>925</v>
      </c>
    </row>
    <row r="92">
      <c r="A92" s="72">
        <f>$D$27</f>
        <v/>
      </c>
      <c r="B92" s="72">
        <f>B91+1</f>
        <v/>
      </c>
      <c r="C92" s="72">
        <f>IF(K92="Vacant","Vac",IF(K92="Model","Model",IF(K92="Admin","Admin",IF(K92="Down","Down",IF(K92="Super","Super","Occ")))))</f>
        <v/>
      </c>
      <c r="D92" s="72">
        <f>INDEX($C$5:$C$14,MATCH(I92,$D$5:$D$14,0))</f>
        <v/>
      </c>
      <c r="E92" s="72">
        <f>INDEX($E$5:$E$14,MATCH(D92,$C$5:$C$14,0))</f>
        <v/>
      </c>
      <c r="F92" s="72">
        <f>INDEX($F$5:$F$14,MATCH(D92,$C$5:$C$14,0))</f>
        <v/>
      </c>
      <c r="G92" s="72">
        <f>INDEX($G$5:$G$14,MATCH(D92,$C$5:$C$14,0))</f>
        <v/>
      </c>
      <c r="H92" s="72" t="inlineStr">
        <is>
          <t>B13</t>
        </is>
      </c>
      <c r="I92" s="72" t="inlineStr">
        <is>
          <t>stjt2A1</t>
        </is>
      </c>
      <c r="J92" s="80" t="n">
        <v>850</v>
      </c>
      <c r="K92" s="72" t="inlineStr">
        <is>
          <t>Daniel Zegelin</t>
        </is>
      </c>
      <c r="L92" s="81" t="n">
        <v>975</v>
      </c>
      <c r="M92" s="81">
        <f>Y92</f>
        <v/>
      </c>
      <c r="N92" s="82" t="n">
        <v>45964</v>
      </c>
      <c r="O92" s="82" t="n">
        <v>45964</v>
      </c>
      <c r="P92" s="82" t="n">
        <v>46328</v>
      </c>
      <c r="R92" s="81">
        <f>SUM(AB92:AK92)</f>
        <v/>
      </c>
      <c r="S92" s="81">
        <f>SUM(AM92:AQ92)</f>
        <v/>
      </c>
      <c r="T92" s="81">
        <f>SUM(AS92:AW92)</f>
        <v/>
      </c>
      <c r="Y92" s="81" t="n">
        <v>960</v>
      </c>
    </row>
    <row r="93">
      <c r="A93" s="72">
        <f>$D$27</f>
        <v/>
      </c>
      <c r="B93" s="72">
        <f>B92+1</f>
        <v/>
      </c>
      <c r="C93" s="72">
        <f>IF(K93="Vacant","Vac",IF(K93="Model","Model",IF(K93="Admin","Admin",IF(K93="Down","Down",IF(K93="Super","Super","Occ")))))</f>
        <v/>
      </c>
      <c r="D93" s="72">
        <f>INDEX($C$5:$C$14,MATCH(I93,$D$5:$D$14,0))</f>
        <v/>
      </c>
      <c r="E93" s="72">
        <f>INDEX($E$5:$E$14,MATCH(D93,$C$5:$C$14,0))</f>
        <v/>
      </c>
      <c r="F93" s="72">
        <f>INDEX($F$5:$F$14,MATCH(D93,$C$5:$C$14,0))</f>
        <v/>
      </c>
      <c r="G93" s="72">
        <f>INDEX($G$5:$G$14,MATCH(D93,$C$5:$C$14,0))</f>
        <v/>
      </c>
      <c r="H93" s="72" t="inlineStr">
        <is>
          <t>B14</t>
        </is>
      </c>
      <c r="I93" s="72" t="inlineStr">
        <is>
          <t>stjt2B1</t>
        </is>
      </c>
      <c r="J93" s="80" t="n">
        <v>950</v>
      </c>
      <c r="K93" s="72" t="inlineStr">
        <is>
          <t>Zadin Moore</t>
        </is>
      </c>
      <c r="L93" s="81" t="n">
        <v>1020</v>
      </c>
      <c r="M93" s="81">
        <f>Y93</f>
        <v/>
      </c>
      <c r="N93" s="82" t="n">
        <v>46112</v>
      </c>
      <c r="O93" s="82" t="n">
        <v>46112</v>
      </c>
      <c r="P93" s="82" t="n">
        <v>46476</v>
      </c>
      <c r="R93" s="81">
        <f>SUM(AB93:AK93)</f>
        <v/>
      </c>
      <c r="S93" s="81">
        <f>SUM(AM93:AQ93)</f>
        <v/>
      </c>
      <c r="T93" s="81">
        <f>SUM(AS93:AW93)</f>
        <v/>
      </c>
      <c r="Y93" s="81" t="n">
        <v>1010</v>
      </c>
    </row>
    <row r="94">
      <c r="A94" s="72">
        <f>$D$27</f>
        <v/>
      </c>
      <c r="B94" s="72">
        <f>B93+1</f>
        <v/>
      </c>
      <c r="C94" s="72">
        <f>IF(K94="Vacant","Vac",IF(K94="Model","Model",IF(K94="Admin","Admin",IF(K94="Down","Down",IF(K94="Super","Super","Occ")))))</f>
        <v/>
      </c>
      <c r="D94" s="72">
        <f>INDEX($C$5:$C$14,MATCH(I94,$D$5:$D$14,0))</f>
        <v/>
      </c>
      <c r="E94" s="72">
        <f>INDEX($E$5:$E$14,MATCH(D94,$C$5:$C$14,0))</f>
        <v/>
      </c>
      <c r="F94" s="72">
        <f>INDEX($F$5:$F$14,MATCH(D94,$C$5:$C$14,0))</f>
        <v/>
      </c>
      <c r="G94" s="72">
        <f>INDEX($G$5:$G$14,MATCH(D94,$C$5:$C$14,0))</f>
        <v/>
      </c>
      <c r="H94" s="72" t="inlineStr">
        <is>
          <t>B15</t>
        </is>
      </c>
      <c r="I94" s="72" t="inlineStr">
        <is>
          <t>stjt2A1</t>
        </is>
      </c>
      <c r="J94" s="80" t="n">
        <v>850</v>
      </c>
      <c r="K94" s="72" t="inlineStr">
        <is>
          <t>William Poirier</t>
        </is>
      </c>
      <c r="L94" s="81" t="n">
        <v>975</v>
      </c>
      <c r="M94" s="81">
        <f>Y94</f>
        <v/>
      </c>
      <c r="N94" s="82" t="n">
        <v>45813</v>
      </c>
      <c r="O94" s="82" t="n">
        <v>45813</v>
      </c>
      <c r="P94" s="82" t="n">
        <v>46177</v>
      </c>
      <c r="R94" s="81">
        <f>SUM(AB94:AK94)</f>
        <v/>
      </c>
      <c r="S94" s="81">
        <f>SUM(AM94:AQ94)</f>
        <v/>
      </c>
      <c r="T94" s="81">
        <f>SUM(AS94:AW94)</f>
        <v/>
      </c>
      <c r="Y94" s="81" t="n">
        <v>910</v>
      </c>
    </row>
    <row r="95">
      <c r="A95" s="72">
        <f>$D$27</f>
        <v/>
      </c>
      <c r="B95" s="72">
        <f>B94+1</f>
        <v/>
      </c>
      <c r="C95" s="72">
        <f>IF(K95="Vacant","Vac",IF(K95="Model","Model",IF(K95="Admin","Admin",IF(K95="Down","Down",IF(K95="Super","Super","Occ")))))</f>
        <v/>
      </c>
      <c r="D95" s="72">
        <f>INDEX($C$5:$C$14,MATCH(I95,$D$5:$D$14,0))</f>
        <v/>
      </c>
      <c r="E95" s="72">
        <f>INDEX($E$5:$E$14,MATCH(D95,$C$5:$C$14,0))</f>
        <v/>
      </c>
      <c r="F95" s="72">
        <f>INDEX($F$5:$F$14,MATCH(D95,$C$5:$C$14,0))</f>
        <v/>
      </c>
      <c r="G95" s="72">
        <f>INDEX($G$5:$G$14,MATCH(D95,$C$5:$C$14,0))</f>
        <v/>
      </c>
      <c r="H95" s="72" t="inlineStr">
        <is>
          <t>B16</t>
        </is>
      </c>
      <c r="I95" s="72" t="inlineStr">
        <is>
          <t>stjt2B1R</t>
        </is>
      </c>
      <c r="J95" s="80" t="n">
        <v>950</v>
      </c>
      <c r="K95" s="72" t="inlineStr">
        <is>
          <t>Noah Koerper</t>
        </is>
      </c>
      <c r="L95" s="81" t="n">
        <v>1120</v>
      </c>
      <c r="M95" s="81">
        <f>Y95</f>
        <v/>
      </c>
      <c r="N95" s="82" t="n">
        <v>45766</v>
      </c>
      <c r="O95" s="82" t="n">
        <v>45766</v>
      </c>
      <c r="P95" s="82" t="n">
        <v>46130</v>
      </c>
      <c r="R95" s="81">
        <f>SUM(AB95:AK95)</f>
        <v/>
      </c>
      <c r="S95" s="81">
        <f>SUM(AM95:AQ95)</f>
        <v/>
      </c>
      <c r="T95" s="81">
        <f>SUM(AS95:AW95)</f>
        <v/>
      </c>
      <c r="Y95" s="81" t="n">
        <v>1045</v>
      </c>
    </row>
    <row r="96">
      <c r="A96" s="72">
        <f>$D$27</f>
        <v/>
      </c>
      <c r="B96" s="72">
        <f>B95+1</f>
        <v/>
      </c>
      <c r="C96" s="72">
        <f>IF(K96="Vacant","Vac",IF(K96="Model","Model",IF(K96="Admin","Admin",IF(K96="Down","Down",IF(K96="Super","Super","Occ")))))</f>
        <v/>
      </c>
      <c r="D96" s="72">
        <f>INDEX($C$5:$C$14,MATCH(I96,$D$5:$D$14,0))</f>
        <v/>
      </c>
      <c r="E96" s="72">
        <f>INDEX($E$5:$E$14,MATCH(D96,$C$5:$C$14,0))</f>
        <v/>
      </c>
      <c r="F96" s="72">
        <f>INDEX($F$5:$F$14,MATCH(D96,$C$5:$C$14,0))</f>
        <v/>
      </c>
      <c r="G96" s="72">
        <f>INDEX($G$5:$G$14,MATCH(D96,$C$5:$C$14,0))</f>
        <v/>
      </c>
      <c r="H96" s="72" t="inlineStr">
        <is>
          <t>B17</t>
        </is>
      </c>
      <c r="I96" s="72" t="inlineStr">
        <is>
          <t>stjt2A1</t>
        </is>
      </c>
      <c r="J96" s="80" t="n">
        <v>850</v>
      </c>
      <c r="K96" s="72" t="inlineStr">
        <is>
          <t>Jonathan Rahoman</t>
        </is>
      </c>
      <c r="L96" s="81" t="n">
        <v>990</v>
      </c>
      <c r="M96" s="81">
        <f>Y96</f>
        <v/>
      </c>
      <c r="N96" s="82" t="n">
        <v>45615</v>
      </c>
      <c r="O96" s="82" t="n">
        <v>45615</v>
      </c>
      <c r="P96" s="82" t="n">
        <v>46160</v>
      </c>
      <c r="R96" s="81">
        <f>SUM(AB96:AK96)</f>
        <v/>
      </c>
      <c r="S96" s="81">
        <f>SUM(AM96:AQ96)</f>
        <v/>
      </c>
      <c r="T96" s="81">
        <f>SUM(AS96:AW96)</f>
        <v/>
      </c>
      <c r="Y96" s="81" t="n">
        <v>910</v>
      </c>
    </row>
    <row r="97">
      <c r="A97" s="72">
        <f>$D$27</f>
        <v/>
      </c>
      <c r="B97" s="72">
        <f>B96+1</f>
        <v/>
      </c>
      <c r="C97" s="72">
        <f>IF(K97="Vacant","Vac",IF(K97="Model","Model",IF(K97="Admin","Admin",IF(K97="Down","Down",IF(K97="Super","Super","Occ")))))</f>
        <v/>
      </c>
      <c r="D97" s="72">
        <f>INDEX($C$5:$C$14,MATCH(I97,$D$5:$D$14,0))</f>
        <v/>
      </c>
      <c r="E97" s="72">
        <f>INDEX($E$5:$E$14,MATCH(D97,$C$5:$C$14,0))</f>
        <v/>
      </c>
      <c r="F97" s="72">
        <f>INDEX($F$5:$F$14,MATCH(D97,$C$5:$C$14,0))</f>
        <v/>
      </c>
      <c r="G97" s="72">
        <f>INDEX($G$5:$G$14,MATCH(D97,$C$5:$C$14,0))</f>
        <v/>
      </c>
      <c r="H97" s="72" t="inlineStr">
        <is>
          <t>B18</t>
        </is>
      </c>
      <c r="I97" s="72" t="inlineStr">
        <is>
          <t>stjt2B1</t>
        </is>
      </c>
      <c r="J97" s="80" t="n">
        <v>950</v>
      </c>
      <c r="K97" s="72" t="inlineStr">
        <is>
          <t>Sisalle Evans</t>
        </is>
      </c>
      <c r="L97" s="81" t="n">
        <v>1035</v>
      </c>
      <c r="M97" s="81">
        <f>Y97</f>
        <v/>
      </c>
      <c r="N97" s="82" t="n">
        <v>45958</v>
      </c>
      <c r="O97" s="82" t="n">
        <v>45958</v>
      </c>
      <c r="P97" s="82" t="n">
        <v>46322</v>
      </c>
      <c r="R97" s="81">
        <f>SUM(AB97:AK97)</f>
        <v/>
      </c>
      <c r="S97" s="81">
        <f>SUM(AM97:AQ97)</f>
        <v/>
      </c>
      <c r="T97" s="81">
        <f>SUM(AS97:AW97)</f>
        <v/>
      </c>
      <c r="Y97" s="81" t="n">
        <v>925</v>
      </c>
    </row>
    <row r="98">
      <c r="A98" s="72">
        <f>$D$27</f>
        <v/>
      </c>
      <c r="B98" s="72">
        <f>B97+1</f>
        <v/>
      </c>
      <c r="C98" s="72">
        <f>IF(K98="Vacant","Vac",IF(K98="Model","Model",IF(K98="Admin","Admin",IF(K98="Down","Down",IF(K98="Super","Super","Occ")))))</f>
        <v/>
      </c>
      <c r="D98" s="72">
        <f>INDEX($C$5:$C$14,MATCH(I98,$D$5:$D$14,0))</f>
        <v/>
      </c>
      <c r="E98" s="72">
        <f>INDEX($E$5:$E$14,MATCH(D98,$C$5:$C$14,0))</f>
        <v/>
      </c>
      <c r="F98" s="72">
        <f>INDEX($F$5:$F$14,MATCH(D98,$C$5:$C$14,0))</f>
        <v/>
      </c>
      <c r="G98" s="72">
        <f>INDEX($G$5:$G$14,MATCH(D98,$C$5:$C$14,0))</f>
        <v/>
      </c>
      <c r="H98" s="72" t="inlineStr">
        <is>
          <t>B19</t>
        </is>
      </c>
      <c r="I98" s="72" t="inlineStr">
        <is>
          <t>stjt2A1</t>
        </is>
      </c>
      <c r="J98" s="80" t="n">
        <v>850</v>
      </c>
      <c r="K98" s="72" t="inlineStr">
        <is>
          <t>Patti Shomo~</t>
        </is>
      </c>
      <c r="L98" s="81" t="n">
        <v>990</v>
      </c>
      <c r="M98" s="81">
        <f>Y98</f>
        <v/>
      </c>
      <c r="N98" s="82" t="n">
        <v>45583</v>
      </c>
      <c r="O98" s="82" t="n">
        <v>45583</v>
      </c>
      <c r="P98" s="82" t="n">
        <v>46463</v>
      </c>
      <c r="R98" s="81">
        <f>SUM(AB98:AK98)</f>
        <v/>
      </c>
      <c r="S98" s="81">
        <f>SUM(AM98:AQ98)</f>
        <v/>
      </c>
      <c r="T98" s="81">
        <f>SUM(AS98:AW98)</f>
        <v/>
      </c>
      <c r="Y98" s="81" t="n">
        <v>950</v>
      </c>
    </row>
    <row r="99">
      <c r="A99" s="72">
        <f>$D$27</f>
        <v/>
      </c>
      <c r="B99" s="72">
        <f>B98+1</f>
        <v/>
      </c>
      <c r="C99" s="72">
        <f>IF(K99="Vacant","Vac",IF(K99="Model","Model",IF(K99="Admin","Admin",IF(K99="Down","Down",IF(K99="Super","Super","Occ")))))</f>
        <v/>
      </c>
      <c r="D99" s="72">
        <f>INDEX($C$5:$C$14,MATCH(I99,$D$5:$D$14,0))</f>
        <v/>
      </c>
      <c r="E99" s="72">
        <f>INDEX($E$5:$E$14,MATCH(D99,$C$5:$C$14,0))</f>
        <v/>
      </c>
      <c r="F99" s="72">
        <f>INDEX($F$5:$F$14,MATCH(D99,$C$5:$C$14,0))</f>
        <v/>
      </c>
      <c r="G99" s="72">
        <f>INDEX($G$5:$G$14,MATCH(D99,$C$5:$C$14,0))</f>
        <v/>
      </c>
      <c r="H99" s="72" t="inlineStr">
        <is>
          <t>B20</t>
        </is>
      </c>
      <c r="I99" s="72" t="inlineStr">
        <is>
          <t>stjt2B1R</t>
        </is>
      </c>
      <c r="J99" s="80" t="n">
        <v>950</v>
      </c>
      <c r="K99" s="72" t="inlineStr">
        <is>
          <t>Jaden Foster</t>
        </is>
      </c>
      <c r="L99" s="81" t="n">
        <v>1135</v>
      </c>
      <c r="M99" s="81">
        <f>Y99</f>
        <v/>
      </c>
      <c r="N99" s="82" t="n">
        <v>45976</v>
      </c>
      <c r="O99" s="82" t="n">
        <v>45976</v>
      </c>
      <c r="P99" s="82" t="n">
        <v>46340</v>
      </c>
      <c r="R99" s="81">
        <f>SUM(AB99:AK99)</f>
        <v/>
      </c>
      <c r="S99" s="81">
        <f>SUM(AM99:AQ99)</f>
        <v/>
      </c>
      <c r="T99" s="81">
        <f>SUM(AS99:AW99)</f>
        <v/>
      </c>
      <c r="Y99" s="81" t="n">
        <v>1125</v>
      </c>
    </row>
    <row r="100">
      <c r="A100" s="72">
        <f>$D$27</f>
        <v/>
      </c>
      <c r="B100" s="72">
        <f>B99+1</f>
        <v/>
      </c>
      <c r="C100" s="72">
        <f>IF(K100="Vacant","Vac",IF(K100="Model","Model",IF(K100="Admin","Admin",IF(K100="Down","Down",IF(K100="Super","Super","Occ")))))</f>
        <v/>
      </c>
      <c r="D100" s="72">
        <f>INDEX($C$5:$C$14,MATCH(I100,$D$5:$D$14,0))</f>
        <v/>
      </c>
      <c r="E100" s="72">
        <f>INDEX($E$5:$E$14,MATCH(D100,$C$5:$C$14,0))</f>
        <v/>
      </c>
      <c r="F100" s="72">
        <f>INDEX($F$5:$F$14,MATCH(D100,$C$5:$C$14,0))</f>
        <v/>
      </c>
      <c r="G100" s="72">
        <f>INDEX($G$5:$G$14,MATCH(D100,$C$5:$C$14,0))</f>
        <v/>
      </c>
      <c r="H100" s="72" t="inlineStr">
        <is>
          <t>B21</t>
        </is>
      </c>
      <c r="I100" s="72" t="inlineStr">
        <is>
          <t>stjt2A1</t>
        </is>
      </c>
      <c r="J100" s="80" t="n">
        <v>850</v>
      </c>
      <c r="K100" s="72" t="inlineStr">
        <is>
          <t>Michael Broderick~</t>
        </is>
      </c>
      <c r="L100" s="81" t="n">
        <v>990</v>
      </c>
      <c r="M100" s="81">
        <f>Y100</f>
        <v/>
      </c>
      <c r="N100" s="82" t="n">
        <v>45779</v>
      </c>
      <c r="O100" s="82" t="n">
        <v>45779</v>
      </c>
      <c r="P100" s="82" t="n">
        <v>46874</v>
      </c>
      <c r="R100" s="81">
        <f>SUM(AB100:AK100)</f>
        <v/>
      </c>
      <c r="S100" s="81">
        <f>SUM(AM100:AQ100)</f>
        <v/>
      </c>
      <c r="T100" s="81">
        <f>SUM(AS100:AW100)</f>
        <v/>
      </c>
      <c r="Y100" s="81" t="n">
        <v>925</v>
      </c>
    </row>
    <row r="101">
      <c r="A101" s="72">
        <f>$D$27</f>
        <v/>
      </c>
      <c r="B101" s="72">
        <f>B100+1</f>
        <v/>
      </c>
      <c r="C101" s="72">
        <f>IF(K101="Vacant","Vac",IF(K101="Model","Model",IF(K101="Admin","Admin",IF(K101="Down","Down",IF(K101="Super","Super","Occ")))))</f>
        <v/>
      </c>
      <c r="D101" s="72">
        <f>INDEX($C$5:$C$14,MATCH(I101,$D$5:$D$14,0))</f>
        <v/>
      </c>
      <c r="E101" s="72">
        <f>INDEX($E$5:$E$14,MATCH(D101,$C$5:$C$14,0))</f>
        <v/>
      </c>
      <c r="F101" s="72">
        <f>INDEX($F$5:$F$14,MATCH(D101,$C$5:$C$14,0))</f>
        <v/>
      </c>
      <c r="G101" s="72">
        <f>INDEX($G$5:$G$14,MATCH(D101,$C$5:$C$14,0))</f>
        <v/>
      </c>
      <c r="H101" s="72" t="inlineStr">
        <is>
          <t>B22</t>
        </is>
      </c>
      <c r="I101" s="72" t="inlineStr">
        <is>
          <t>stjt2B1</t>
        </is>
      </c>
      <c r="J101" s="80" t="n">
        <v>950</v>
      </c>
      <c r="K101" s="72" t="inlineStr">
        <is>
          <t>Ian Salazar Gutierrez</t>
        </is>
      </c>
      <c r="L101" s="81" t="n">
        <v>1035</v>
      </c>
      <c r="M101" s="81">
        <f>Y101</f>
        <v/>
      </c>
      <c r="N101" s="82" t="n">
        <v>46137</v>
      </c>
      <c r="O101" s="82" t="n">
        <v>46137</v>
      </c>
      <c r="P101" s="82" t="n">
        <v>46562</v>
      </c>
      <c r="R101" s="81">
        <f>SUM(AB101:AK101)</f>
        <v/>
      </c>
      <c r="S101" s="81">
        <f>SUM(AM101:AQ101)</f>
        <v/>
      </c>
      <c r="T101" s="81">
        <f>SUM(AS101:AW101)</f>
        <v/>
      </c>
      <c r="Y101" s="81" t="n">
        <v>1035</v>
      </c>
    </row>
    <row r="102">
      <c r="A102" s="72">
        <f>$D$27</f>
        <v/>
      </c>
      <c r="B102" s="72">
        <f>B101+1</f>
        <v/>
      </c>
      <c r="C102" s="72">
        <f>IF(K102="Vacant","Vac",IF(K102="Model","Model",IF(K102="Admin","Admin",IF(K102="Down","Down",IF(K102="Super","Super","Occ")))))</f>
        <v/>
      </c>
      <c r="D102" s="72">
        <f>INDEX($C$5:$C$14,MATCH(I102,$D$5:$D$14,0))</f>
        <v/>
      </c>
      <c r="E102" s="72">
        <f>INDEX($E$5:$E$14,MATCH(D102,$C$5:$C$14,0))</f>
        <v/>
      </c>
      <c r="F102" s="72">
        <f>INDEX($F$5:$F$14,MATCH(D102,$C$5:$C$14,0))</f>
        <v/>
      </c>
      <c r="G102" s="72">
        <f>INDEX($G$5:$G$14,MATCH(D102,$C$5:$C$14,0))</f>
        <v/>
      </c>
      <c r="H102" s="72" t="inlineStr">
        <is>
          <t>B23</t>
        </is>
      </c>
      <c r="I102" s="72" t="inlineStr">
        <is>
          <t>stjt2A1</t>
        </is>
      </c>
      <c r="J102" s="80" t="n">
        <v>850</v>
      </c>
      <c r="K102" s="72" t="inlineStr">
        <is>
          <t>Jerrett Berry</t>
        </is>
      </c>
      <c r="L102" s="81" t="n">
        <v>990</v>
      </c>
      <c r="M102" s="81">
        <f>Y102</f>
        <v/>
      </c>
      <c r="N102" s="82" t="n">
        <v>40056</v>
      </c>
      <c r="O102" s="82" t="n">
        <v>40056</v>
      </c>
      <c r="P102" s="82" t="n">
        <v>46502</v>
      </c>
      <c r="R102" s="81">
        <f>SUM(AB102:AK102)</f>
        <v/>
      </c>
      <c r="S102" s="81">
        <f>SUM(AM102:AQ102)</f>
        <v/>
      </c>
      <c r="T102" s="81">
        <f>SUM(AS102:AW102)</f>
        <v/>
      </c>
      <c r="Y102" s="81" t="n">
        <v>830</v>
      </c>
    </row>
    <row r="103">
      <c r="A103" s="72">
        <f>$D$27</f>
        <v/>
      </c>
      <c r="B103" s="72">
        <f>B102+1</f>
        <v/>
      </c>
      <c r="C103" s="72">
        <f>IF(K103="Vacant","Vac",IF(K103="Model","Model",IF(K103="Admin","Admin",IF(K103="Down","Down",IF(K103="Super","Super","Occ")))))</f>
        <v/>
      </c>
      <c r="D103" s="72">
        <f>INDEX($C$5:$C$14,MATCH(I103,$D$5:$D$14,0))</f>
        <v/>
      </c>
      <c r="E103" s="72">
        <f>INDEX($E$5:$E$14,MATCH(D103,$C$5:$C$14,0))</f>
        <v/>
      </c>
      <c r="F103" s="72">
        <f>INDEX($F$5:$F$14,MATCH(D103,$C$5:$C$14,0))</f>
        <v/>
      </c>
      <c r="G103" s="72">
        <f>INDEX($G$5:$G$14,MATCH(D103,$C$5:$C$14,0))</f>
        <v/>
      </c>
      <c r="H103" s="72" t="inlineStr">
        <is>
          <t>B24</t>
        </is>
      </c>
      <c r="I103" s="72" t="inlineStr">
        <is>
          <t>stjt2B2</t>
        </is>
      </c>
      <c r="J103" s="80" t="n">
        <v>950</v>
      </c>
      <c r="K103" s="72" t="inlineStr">
        <is>
          <t>Juan Santos</t>
        </is>
      </c>
      <c r="L103" s="81" t="n">
        <v>1095</v>
      </c>
      <c r="M103" s="81">
        <f>Y103</f>
        <v/>
      </c>
      <c r="N103" s="82" t="n">
        <v>45601</v>
      </c>
      <c r="O103" s="82" t="n">
        <v>45601</v>
      </c>
      <c r="P103" s="82" t="n">
        <v>46511</v>
      </c>
      <c r="R103" s="81">
        <f>SUM(AB103:AK103)</f>
        <v/>
      </c>
      <c r="S103" s="81">
        <f>SUM(AM103:AQ103)</f>
        <v/>
      </c>
      <c r="T103" s="81">
        <f>SUM(AS103:AW103)</f>
        <v/>
      </c>
      <c r="Y103" s="81" t="n">
        <v>1050</v>
      </c>
    </row>
    <row r="104">
      <c r="A104" s="72">
        <f>$D$27</f>
        <v/>
      </c>
      <c r="B104" s="72">
        <f>B103+1</f>
        <v/>
      </c>
      <c r="C104" s="72">
        <f>IF(K104="Vacant","Vac",IF(K104="Model","Model",IF(K104="Admin","Admin",IF(K104="Down","Down",IF(K104="Super","Super","Occ")))))</f>
        <v/>
      </c>
      <c r="D104" s="72">
        <f>INDEX($C$5:$C$14,MATCH(I104,$D$5:$D$14,0))</f>
        <v/>
      </c>
      <c r="E104" s="72">
        <f>INDEX($E$5:$E$14,MATCH(D104,$C$5:$C$14,0))</f>
        <v/>
      </c>
      <c r="F104" s="72">
        <f>INDEX($F$5:$F$14,MATCH(D104,$C$5:$C$14,0))</f>
        <v/>
      </c>
      <c r="G104" s="72">
        <f>INDEX($G$5:$G$14,MATCH(D104,$C$5:$C$14,0))</f>
        <v/>
      </c>
      <c r="H104" s="72" t="inlineStr">
        <is>
          <t>C01</t>
        </is>
      </c>
      <c r="I104" s="72" t="inlineStr">
        <is>
          <t>stjt2B1R</t>
        </is>
      </c>
      <c r="J104" s="80" t="n">
        <v>950</v>
      </c>
      <c r="K104" s="72" t="inlineStr">
        <is>
          <t>Trentin Sronce</t>
        </is>
      </c>
      <c r="L104" s="81" t="n">
        <v>1175</v>
      </c>
      <c r="M104" s="81">
        <f>Y104</f>
        <v/>
      </c>
      <c r="N104" s="82" t="n">
        <v>45887</v>
      </c>
      <c r="O104" s="82" t="n">
        <v>45887</v>
      </c>
      <c r="P104" s="82" t="n">
        <v>46251</v>
      </c>
      <c r="R104" s="81">
        <f>SUM(AB104:AK104)</f>
        <v/>
      </c>
      <c r="S104" s="81">
        <f>SUM(AM104:AQ104)</f>
        <v/>
      </c>
      <c r="T104" s="81">
        <f>SUM(AS104:AW104)</f>
        <v/>
      </c>
      <c r="Y104" s="81" t="n">
        <v>1100</v>
      </c>
    </row>
    <row r="105">
      <c r="A105" s="72">
        <f>$D$27</f>
        <v/>
      </c>
      <c r="B105" s="72">
        <f>B104+1</f>
        <v/>
      </c>
      <c r="C105" s="72">
        <f>IF(K105="Vacant","Vac",IF(K105="Model","Model",IF(K105="Admin","Admin",IF(K105="Down","Down",IF(K105="Super","Super","Occ")))))</f>
        <v/>
      </c>
      <c r="D105" s="72">
        <f>INDEX($C$5:$C$14,MATCH(I105,$D$5:$D$14,0))</f>
        <v/>
      </c>
      <c r="E105" s="72">
        <f>INDEX($E$5:$E$14,MATCH(D105,$C$5:$C$14,0))</f>
        <v/>
      </c>
      <c r="F105" s="72">
        <f>INDEX($F$5:$F$14,MATCH(D105,$C$5:$C$14,0))</f>
        <v/>
      </c>
      <c r="G105" s="72">
        <f>INDEX($G$5:$G$14,MATCH(D105,$C$5:$C$14,0))</f>
        <v/>
      </c>
      <c r="H105" s="72" t="inlineStr">
        <is>
          <t>C02</t>
        </is>
      </c>
      <c r="I105" s="72" t="inlineStr">
        <is>
          <t>stjt2C1R</t>
        </is>
      </c>
      <c r="J105" s="80" t="n">
        <v>1075</v>
      </c>
      <c r="K105" s="72" t="inlineStr">
        <is>
          <t>Lakeisha Helton</t>
        </is>
      </c>
      <c r="L105" s="81" t="n">
        <v>1405</v>
      </c>
      <c r="M105" s="81">
        <f>Y105</f>
        <v/>
      </c>
      <c r="N105" s="82" t="n">
        <v>44699</v>
      </c>
      <c r="O105" s="82" t="n">
        <v>44699</v>
      </c>
      <c r="P105" s="82" t="n">
        <v>46190</v>
      </c>
      <c r="R105" s="81">
        <f>SUM(AB105:AK105)</f>
        <v/>
      </c>
      <c r="S105" s="81">
        <f>SUM(AM105:AQ105)</f>
        <v/>
      </c>
      <c r="T105" s="81">
        <f>SUM(AS105:AW105)</f>
        <v/>
      </c>
      <c r="Y105" s="81" t="n">
        <v>1425</v>
      </c>
    </row>
    <row r="106">
      <c r="A106" s="72">
        <f>$D$27</f>
        <v/>
      </c>
      <c r="B106" s="72">
        <f>B105+1</f>
        <v/>
      </c>
      <c r="C106" s="72">
        <f>IF(K106="Vacant","Vac",IF(K106="Model","Model",IF(K106="Admin","Admin",IF(K106="Down","Down",IF(K106="Super","Super","Occ")))))</f>
        <v/>
      </c>
      <c r="D106" s="72">
        <f>INDEX($C$5:$C$14,MATCH(I106,$D$5:$D$14,0))</f>
        <v/>
      </c>
      <c r="E106" s="72">
        <f>INDEX($E$5:$E$14,MATCH(D106,$C$5:$C$14,0))</f>
        <v/>
      </c>
      <c r="F106" s="72">
        <f>INDEX($F$5:$F$14,MATCH(D106,$C$5:$C$14,0))</f>
        <v/>
      </c>
      <c r="G106" s="72">
        <f>INDEX($G$5:$G$14,MATCH(D106,$C$5:$C$14,0))</f>
        <v/>
      </c>
      <c r="H106" s="72" t="inlineStr">
        <is>
          <t>C03</t>
        </is>
      </c>
      <c r="I106" s="72" t="inlineStr">
        <is>
          <t>stjt2B1R</t>
        </is>
      </c>
      <c r="J106" s="80" t="n">
        <v>950</v>
      </c>
      <c r="K106" s="72" t="inlineStr">
        <is>
          <t>VACANT</t>
        </is>
      </c>
      <c r="L106" s="81" t="n">
        <v>1120</v>
      </c>
      <c r="M106" s="81">
        <f>Y106</f>
        <v/>
      </c>
      <c r="R106" s="81">
        <f>SUM(AB106:AK106)</f>
        <v/>
      </c>
      <c r="S106" s="81">
        <f>SUM(AM106:AQ106)</f>
        <v/>
      </c>
      <c r="T106" s="81">
        <f>SUM(AS106:AW106)</f>
        <v/>
      </c>
      <c r="Y106" s="81" t="n">
        <v>0</v>
      </c>
    </row>
    <row r="107">
      <c r="A107" s="72">
        <f>$D$27</f>
        <v/>
      </c>
      <c r="B107" s="72">
        <f>B106+1</f>
        <v/>
      </c>
      <c r="C107" s="72">
        <f>IF(K107="Vacant","Vac",IF(K107="Model","Model",IF(K107="Admin","Admin",IF(K107="Down","Down",IF(K107="Super","Super","Occ")))))</f>
        <v/>
      </c>
      <c r="D107" s="72">
        <f>INDEX($C$5:$C$14,MATCH(I107,$D$5:$D$14,0))</f>
        <v/>
      </c>
      <c r="E107" s="72">
        <f>INDEX($E$5:$E$14,MATCH(D107,$C$5:$C$14,0))</f>
        <v/>
      </c>
      <c r="F107" s="72">
        <f>INDEX($F$5:$F$14,MATCH(D107,$C$5:$C$14,0))</f>
        <v/>
      </c>
      <c r="G107" s="72">
        <f>INDEX($G$5:$G$14,MATCH(D107,$C$5:$C$14,0))</f>
        <v/>
      </c>
      <c r="H107" s="72" t="inlineStr">
        <is>
          <t>C04</t>
        </is>
      </c>
      <c r="I107" s="72" t="inlineStr">
        <is>
          <t>stjt2C1</t>
        </is>
      </c>
      <c r="J107" s="80" t="n">
        <v>1075</v>
      </c>
      <c r="K107" s="72" t="inlineStr">
        <is>
          <t>Velencia Kidd</t>
        </is>
      </c>
      <c r="L107" s="81" t="n">
        <v>1310</v>
      </c>
      <c r="M107" s="81">
        <f>Y107</f>
        <v/>
      </c>
      <c r="N107" s="82" t="n">
        <v>45821</v>
      </c>
      <c r="O107" s="82" t="n">
        <v>45821</v>
      </c>
      <c r="P107" s="82" t="n">
        <v>46185</v>
      </c>
      <c r="R107" s="81">
        <f>SUM(AB107:AK107)</f>
        <v/>
      </c>
      <c r="S107" s="81">
        <f>SUM(AM107:AQ107)</f>
        <v/>
      </c>
      <c r="T107" s="81">
        <f>SUM(AS107:AW107)</f>
        <v/>
      </c>
      <c r="Y107" s="81" t="n">
        <v>1285</v>
      </c>
    </row>
    <row r="108">
      <c r="A108" s="72">
        <f>$D$27</f>
        <v/>
      </c>
      <c r="B108" s="72">
        <f>B107+1</f>
        <v/>
      </c>
      <c r="C108" s="72">
        <f>IF(K108="Vacant","Vac",IF(K108="Model","Model",IF(K108="Admin","Admin",IF(K108="Down","Down",IF(K108="Super","Super","Occ")))))</f>
        <v/>
      </c>
      <c r="D108" s="72">
        <f>INDEX($C$5:$C$14,MATCH(I108,$D$5:$D$14,0))</f>
        <v/>
      </c>
      <c r="E108" s="72">
        <f>INDEX($E$5:$E$14,MATCH(D108,$C$5:$C$14,0))</f>
        <v/>
      </c>
      <c r="F108" s="72">
        <f>INDEX($F$5:$F$14,MATCH(D108,$C$5:$C$14,0))</f>
        <v/>
      </c>
      <c r="G108" s="72">
        <f>INDEX($G$5:$G$14,MATCH(D108,$C$5:$C$14,0))</f>
        <v/>
      </c>
      <c r="H108" s="72" t="inlineStr">
        <is>
          <t>C05</t>
        </is>
      </c>
      <c r="I108" s="72" t="inlineStr">
        <is>
          <t>stjt2B1</t>
        </is>
      </c>
      <c r="J108" s="80" t="n">
        <v>950</v>
      </c>
      <c r="K108" s="72" t="inlineStr">
        <is>
          <t>Sonia Bermudez</t>
        </is>
      </c>
      <c r="L108" s="81" t="n">
        <v>1090</v>
      </c>
      <c r="M108" s="81">
        <f>Y108</f>
        <v/>
      </c>
      <c r="N108" s="82" t="n">
        <v>45910</v>
      </c>
      <c r="O108" s="82" t="n">
        <v>45910</v>
      </c>
      <c r="P108" s="82" t="n">
        <v>46274</v>
      </c>
      <c r="R108" s="81">
        <f>SUM(AB108:AK108)</f>
        <v/>
      </c>
      <c r="S108" s="81">
        <f>SUM(AM108:AQ108)</f>
        <v/>
      </c>
      <c r="T108" s="81">
        <f>SUM(AS108:AW108)</f>
        <v/>
      </c>
      <c r="Y108" s="81" t="n">
        <v>1080</v>
      </c>
    </row>
    <row r="109">
      <c r="A109" s="72">
        <f>$D$27</f>
        <v/>
      </c>
      <c r="B109" s="72">
        <f>B108+1</f>
        <v/>
      </c>
      <c r="C109" s="72">
        <f>IF(K109="Vacant","Vac",IF(K109="Model","Model",IF(K109="Admin","Admin",IF(K109="Down","Down",IF(K109="Super","Super","Occ")))))</f>
        <v/>
      </c>
      <c r="D109" s="72">
        <f>INDEX($C$5:$C$14,MATCH(I109,$D$5:$D$14,0))</f>
        <v/>
      </c>
      <c r="E109" s="72">
        <f>INDEX($E$5:$E$14,MATCH(D109,$C$5:$C$14,0))</f>
        <v/>
      </c>
      <c r="F109" s="72">
        <f>INDEX($F$5:$F$14,MATCH(D109,$C$5:$C$14,0))</f>
        <v/>
      </c>
      <c r="G109" s="72">
        <f>INDEX($G$5:$G$14,MATCH(D109,$C$5:$C$14,0))</f>
        <v/>
      </c>
      <c r="H109" s="72" t="inlineStr">
        <is>
          <t>C06</t>
        </is>
      </c>
      <c r="I109" s="72" t="inlineStr">
        <is>
          <t>stjt2C1R</t>
        </is>
      </c>
      <c r="J109" s="80" t="n">
        <v>1075</v>
      </c>
      <c r="K109" s="72" t="inlineStr">
        <is>
          <t>Brittany Dixon</t>
        </is>
      </c>
      <c r="L109" s="81" t="n">
        <v>1420</v>
      </c>
      <c r="M109" s="81">
        <f>Y109</f>
        <v/>
      </c>
      <c r="N109" s="82" t="n">
        <v>45717</v>
      </c>
      <c r="O109" s="82" t="n">
        <v>45717</v>
      </c>
      <c r="P109" s="82" t="n">
        <v>46173</v>
      </c>
      <c r="R109" s="81">
        <f>SUM(AB109:AK109)</f>
        <v/>
      </c>
      <c r="S109" s="81">
        <f>SUM(AM109:AQ109)</f>
        <v/>
      </c>
      <c r="T109" s="81">
        <f>SUM(AS109:AW109)</f>
        <v/>
      </c>
      <c r="Y109" s="81" t="n">
        <v>1295</v>
      </c>
    </row>
    <row r="110">
      <c r="A110" s="72">
        <f>$D$27</f>
        <v/>
      </c>
      <c r="B110" s="72">
        <f>B109+1</f>
        <v/>
      </c>
      <c r="C110" s="72">
        <f>IF(K110="Vacant","Vac",IF(K110="Model","Model",IF(K110="Admin","Admin",IF(K110="Down","Down",IF(K110="Super","Super","Occ")))))</f>
        <v/>
      </c>
      <c r="D110" s="72">
        <f>INDEX($C$5:$C$14,MATCH(I110,$D$5:$D$14,0))</f>
        <v/>
      </c>
      <c r="E110" s="72">
        <f>INDEX($E$5:$E$14,MATCH(D110,$C$5:$C$14,0))</f>
        <v/>
      </c>
      <c r="F110" s="72">
        <f>INDEX($F$5:$F$14,MATCH(D110,$C$5:$C$14,0))</f>
        <v/>
      </c>
      <c r="G110" s="72">
        <f>INDEX($G$5:$G$14,MATCH(D110,$C$5:$C$14,0))</f>
        <v/>
      </c>
      <c r="H110" s="72" t="inlineStr">
        <is>
          <t>C07</t>
        </is>
      </c>
      <c r="I110" s="72" t="inlineStr">
        <is>
          <t>stjt2B1</t>
        </is>
      </c>
      <c r="J110" s="80" t="n">
        <v>950</v>
      </c>
      <c r="K110" s="72" t="inlineStr">
        <is>
          <t>Lemrabot El Imam</t>
        </is>
      </c>
      <c r="L110" s="81" t="n">
        <v>1090</v>
      </c>
      <c r="M110" s="81">
        <f>Y110</f>
        <v/>
      </c>
      <c r="N110" s="82" t="n">
        <v>45413</v>
      </c>
      <c r="O110" s="82" t="n">
        <v>45413</v>
      </c>
      <c r="P110" s="82" t="n">
        <v>46142</v>
      </c>
      <c r="R110" s="81">
        <f>SUM(AB110:AK110)</f>
        <v/>
      </c>
      <c r="S110" s="81">
        <f>SUM(AM110:AQ110)</f>
        <v/>
      </c>
      <c r="T110" s="81">
        <f>SUM(AS110:AW110)</f>
        <v/>
      </c>
      <c r="Y110" s="81" t="n">
        <v>1055</v>
      </c>
    </row>
    <row r="111">
      <c r="A111" s="72">
        <f>$D$27</f>
        <v/>
      </c>
      <c r="B111" s="72">
        <f>B110+1</f>
        <v/>
      </c>
      <c r="C111" s="72">
        <f>IF(K111="Vacant","Vac",IF(K111="Model","Model",IF(K111="Admin","Admin",IF(K111="Down","Down",IF(K111="Super","Super","Occ")))))</f>
        <v/>
      </c>
      <c r="D111" s="72">
        <f>INDEX($C$5:$C$14,MATCH(I111,$D$5:$D$14,0))</f>
        <v/>
      </c>
      <c r="E111" s="72">
        <f>INDEX($E$5:$E$14,MATCH(D111,$C$5:$C$14,0))</f>
        <v/>
      </c>
      <c r="F111" s="72">
        <f>INDEX($F$5:$F$14,MATCH(D111,$C$5:$C$14,0))</f>
        <v/>
      </c>
      <c r="G111" s="72">
        <f>INDEX($G$5:$G$14,MATCH(D111,$C$5:$C$14,0))</f>
        <v/>
      </c>
      <c r="H111" s="72" t="inlineStr">
        <is>
          <t>C08</t>
        </is>
      </c>
      <c r="I111" s="72" t="inlineStr">
        <is>
          <t>stjt2C1R</t>
        </is>
      </c>
      <c r="J111" s="80" t="n">
        <v>1075</v>
      </c>
      <c r="K111" s="72" t="inlineStr">
        <is>
          <t>Jorge Martinez Hernandez</t>
        </is>
      </c>
      <c r="L111" s="81" t="n">
        <v>1420</v>
      </c>
      <c r="M111" s="81">
        <f>Y111</f>
        <v/>
      </c>
      <c r="N111" s="82" t="n">
        <v>45765</v>
      </c>
      <c r="O111" s="82" t="n">
        <v>45765</v>
      </c>
      <c r="P111" s="82" t="n">
        <v>46312</v>
      </c>
      <c r="R111" s="81">
        <f>SUM(AB111:AK111)</f>
        <v/>
      </c>
      <c r="S111" s="81">
        <f>SUM(AM111:AQ111)</f>
        <v/>
      </c>
      <c r="T111" s="81">
        <f>SUM(AS111:AW111)</f>
        <v/>
      </c>
      <c r="Y111" s="81" t="n">
        <v>1395</v>
      </c>
    </row>
    <row r="112">
      <c r="A112" s="72">
        <f>$D$27</f>
        <v/>
      </c>
      <c r="B112" s="72">
        <f>B111+1</f>
        <v/>
      </c>
      <c r="C112" s="72">
        <f>IF(K112="Vacant","Vac",IF(K112="Model","Model",IF(K112="Admin","Admin",IF(K112="Down","Down",IF(K112="Super","Super","Occ")))))</f>
        <v/>
      </c>
      <c r="D112" s="72">
        <f>INDEX($C$5:$C$14,MATCH(I112,$D$5:$D$14,0))</f>
        <v/>
      </c>
      <c r="E112" s="72">
        <f>INDEX($E$5:$E$14,MATCH(D112,$C$5:$C$14,0))</f>
        <v/>
      </c>
      <c r="F112" s="72">
        <f>INDEX($F$5:$F$14,MATCH(D112,$C$5:$C$14,0))</f>
        <v/>
      </c>
      <c r="G112" s="72">
        <f>INDEX($G$5:$G$14,MATCH(D112,$C$5:$C$14,0))</f>
        <v/>
      </c>
      <c r="H112" s="72" t="inlineStr">
        <is>
          <t>C09</t>
        </is>
      </c>
      <c r="I112" s="72" t="inlineStr">
        <is>
          <t>stjt2B1</t>
        </is>
      </c>
      <c r="J112" s="80" t="n">
        <v>950</v>
      </c>
      <c r="K112" s="72" t="inlineStr">
        <is>
          <t>Susan Duggins</t>
        </is>
      </c>
      <c r="L112" s="81" t="n">
        <v>1090</v>
      </c>
      <c r="M112" s="81">
        <f>Y112</f>
        <v/>
      </c>
      <c r="N112" s="82" t="n">
        <v>46141</v>
      </c>
      <c r="O112" s="82" t="n">
        <v>46141</v>
      </c>
      <c r="P112" s="82" t="n">
        <v>46505</v>
      </c>
      <c r="R112" s="81">
        <f>SUM(AB112:AK112)</f>
        <v/>
      </c>
      <c r="S112" s="81">
        <f>SUM(AM112:AQ112)</f>
        <v/>
      </c>
      <c r="T112" s="81">
        <f>SUM(AS112:AW112)</f>
        <v/>
      </c>
      <c r="Y112" s="81" t="n">
        <v>1090</v>
      </c>
    </row>
    <row r="113">
      <c r="A113" s="72">
        <f>$D$27</f>
        <v/>
      </c>
      <c r="B113" s="72">
        <f>B112+1</f>
        <v/>
      </c>
      <c r="C113" s="72">
        <f>IF(K113="Vacant","Vac",IF(K113="Model","Model",IF(K113="Admin","Admin",IF(K113="Down","Down",IF(K113="Super","Super","Occ")))))</f>
        <v/>
      </c>
      <c r="D113" s="72">
        <f>INDEX($C$5:$C$14,MATCH(I113,$D$5:$D$14,0))</f>
        <v/>
      </c>
      <c r="E113" s="72">
        <f>INDEX($E$5:$E$14,MATCH(D113,$C$5:$C$14,0))</f>
        <v/>
      </c>
      <c r="F113" s="72">
        <f>INDEX($F$5:$F$14,MATCH(D113,$C$5:$C$14,0))</f>
        <v/>
      </c>
      <c r="G113" s="72">
        <f>INDEX($G$5:$G$14,MATCH(D113,$C$5:$C$14,0))</f>
        <v/>
      </c>
      <c r="H113" s="72" t="inlineStr">
        <is>
          <t>C10</t>
        </is>
      </c>
      <c r="I113" s="72" t="inlineStr">
        <is>
          <t>stjt2C1R</t>
        </is>
      </c>
      <c r="J113" s="80" t="n">
        <v>1075</v>
      </c>
      <c r="K113" s="72" t="inlineStr">
        <is>
          <t>Ryan Pierce</t>
        </is>
      </c>
      <c r="L113" s="81" t="n">
        <v>1420</v>
      </c>
      <c r="M113" s="81">
        <f>Y113</f>
        <v/>
      </c>
      <c r="N113" s="82" t="n">
        <v>45839</v>
      </c>
      <c r="O113" s="82" t="n">
        <v>45839</v>
      </c>
      <c r="P113" s="82" t="n">
        <v>46203</v>
      </c>
      <c r="R113" s="81">
        <f>SUM(AB113:AK113)</f>
        <v/>
      </c>
      <c r="S113" s="81">
        <f>SUM(AM113:AQ113)</f>
        <v/>
      </c>
      <c r="T113" s="81">
        <f>SUM(AS113:AW113)</f>
        <v/>
      </c>
      <c r="Y113" s="81" t="n">
        <v>1395</v>
      </c>
    </row>
    <row r="114">
      <c r="A114" s="72">
        <f>$D$27</f>
        <v/>
      </c>
      <c r="B114" s="72">
        <f>B113+1</f>
        <v/>
      </c>
      <c r="C114" s="72">
        <f>IF(K114="Vacant","Vac",IF(K114="Model","Model",IF(K114="Admin","Admin",IF(K114="Down","Down",IF(K114="Super","Super","Occ")))))</f>
        <v/>
      </c>
      <c r="D114" s="72">
        <f>INDEX($C$5:$C$14,MATCH(I114,$D$5:$D$14,0))</f>
        <v/>
      </c>
      <c r="E114" s="72">
        <f>INDEX($E$5:$E$14,MATCH(D114,$C$5:$C$14,0))</f>
        <v/>
      </c>
      <c r="F114" s="72">
        <f>INDEX($F$5:$F$14,MATCH(D114,$C$5:$C$14,0))</f>
        <v/>
      </c>
      <c r="G114" s="72">
        <f>INDEX($G$5:$G$14,MATCH(D114,$C$5:$C$14,0))</f>
        <v/>
      </c>
      <c r="H114" s="72" t="inlineStr">
        <is>
          <t>C11</t>
        </is>
      </c>
      <c r="I114" s="72" t="inlineStr">
        <is>
          <t>stjt2B1</t>
        </is>
      </c>
      <c r="J114" s="80" t="n">
        <v>950</v>
      </c>
      <c r="K114" s="72" t="inlineStr">
        <is>
          <t>Divine Jones</t>
        </is>
      </c>
      <c r="L114" s="81" t="n">
        <v>1090</v>
      </c>
      <c r="M114" s="81">
        <f>Y114</f>
        <v/>
      </c>
      <c r="N114" s="82" t="n">
        <v>45626</v>
      </c>
      <c r="O114" s="82" t="n">
        <v>45626</v>
      </c>
      <c r="P114" s="82" t="n">
        <v>46171</v>
      </c>
      <c r="R114" s="81">
        <f>SUM(AB114:AK114)</f>
        <v/>
      </c>
      <c r="S114" s="81">
        <f>SUM(AM114:AQ114)</f>
        <v/>
      </c>
      <c r="T114" s="81">
        <f>SUM(AS114:AW114)</f>
        <v/>
      </c>
      <c r="Y114" s="81" t="n">
        <v>899</v>
      </c>
    </row>
    <row r="115">
      <c r="A115" s="72">
        <f>$D$27</f>
        <v/>
      </c>
      <c r="B115" s="72">
        <f>B114+1</f>
        <v/>
      </c>
      <c r="C115" s="72">
        <f>IF(K115="Vacant","Vac",IF(K115="Model","Model",IF(K115="Admin","Admin",IF(K115="Down","Down",IF(K115="Super","Super","Occ")))))</f>
        <v/>
      </c>
      <c r="D115" s="72">
        <f>INDEX($C$5:$C$14,MATCH(I115,$D$5:$D$14,0))</f>
        <v/>
      </c>
      <c r="E115" s="72">
        <f>INDEX($E$5:$E$14,MATCH(D115,$C$5:$C$14,0))</f>
        <v/>
      </c>
      <c r="F115" s="72">
        <f>INDEX($F$5:$F$14,MATCH(D115,$C$5:$C$14,0))</f>
        <v/>
      </c>
      <c r="G115" s="72">
        <f>INDEX($G$5:$G$14,MATCH(D115,$C$5:$C$14,0))</f>
        <v/>
      </c>
      <c r="H115" s="72" t="inlineStr">
        <is>
          <t>C12</t>
        </is>
      </c>
      <c r="I115" s="72" t="inlineStr">
        <is>
          <t>stjt2C2</t>
        </is>
      </c>
      <c r="J115" s="80" t="n">
        <v>1075</v>
      </c>
      <c r="K115" s="72" t="inlineStr">
        <is>
          <t>Kion Sloan</t>
        </is>
      </c>
      <c r="L115" s="81" t="n">
        <v>1335</v>
      </c>
      <c r="M115" s="81">
        <f>Y115</f>
        <v/>
      </c>
      <c r="N115" s="82" t="n">
        <v>45868</v>
      </c>
      <c r="O115" s="82" t="n">
        <v>45868</v>
      </c>
      <c r="P115" s="82" t="n">
        <v>46263</v>
      </c>
      <c r="R115" s="81">
        <f>SUM(AB115:AK115)</f>
        <v/>
      </c>
      <c r="S115" s="81">
        <f>SUM(AM115:AQ115)</f>
        <v/>
      </c>
      <c r="T115" s="81">
        <f>SUM(AS115:AW115)</f>
        <v/>
      </c>
      <c r="Y115" s="81" t="n">
        <v>1320</v>
      </c>
    </row>
    <row r="116">
      <c r="A116" s="72">
        <f>$D$27</f>
        <v/>
      </c>
      <c r="B116" s="72">
        <f>B115+1</f>
        <v/>
      </c>
      <c r="C116" s="72">
        <f>IF(K116="Vacant","Vac",IF(K116="Model","Model",IF(K116="Admin","Admin",IF(K116="Down","Down",IF(K116="Super","Super","Occ")))))</f>
        <v/>
      </c>
      <c r="D116" s="72">
        <f>INDEX($C$5:$C$14,MATCH(I116,$D$5:$D$14,0))</f>
        <v/>
      </c>
      <c r="E116" s="72">
        <f>INDEX($E$5:$E$14,MATCH(D116,$C$5:$C$14,0))</f>
        <v/>
      </c>
      <c r="F116" s="72">
        <f>INDEX($F$5:$F$14,MATCH(D116,$C$5:$C$14,0))</f>
        <v/>
      </c>
      <c r="G116" s="72">
        <f>INDEX($G$5:$G$14,MATCH(D116,$C$5:$C$14,0))</f>
        <v/>
      </c>
      <c r="H116" s="72" t="inlineStr">
        <is>
          <t>C13</t>
        </is>
      </c>
      <c r="I116" s="72" t="inlineStr">
        <is>
          <t>stjt2C1R</t>
        </is>
      </c>
      <c r="J116" s="80" t="n">
        <v>1075</v>
      </c>
      <c r="K116" s="72" t="inlineStr">
        <is>
          <t>Brianna Stelton</t>
        </is>
      </c>
      <c r="L116" s="81" t="n">
        <v>1405</v>
      </c>
      <c r="M116" s="81">
        <f>Y116</f>
        <v/>
      </c>
      <c r="N116" s="82" t="n">
        <v>46116</v>
      </c>
      <c r="O116" s="82" t="n">
        <v>46116</v>
      </c>
      <c r="P116" s="82" t="n">
        <v>46480</v>
      </c>
      <c r="R116" s="81">
        <f>SUM(AB116:AK116)</f>
        <v/>
      </c>
      <c r="S116" s="81">
        <f>SUM(AM116:AQ116)</f>
        <v/>
      </c>
      <c r="T116" s="81">
        <f>SUM(AS116:AW116)</f>
        <v/>
      </c>
      <c r="Y116" s="81" t="n">
        <v>1380</v>
      </c>
    </row>
    <row r="117">
      <c r="A117" s="72">
        <f>$D$27</f>
        <v/>
      </c>
      <c r="B117" s="72">
        <f>B116+1</f>
        <v/>
      </c>
      <c r="C117" s="72">
        <f>IF(K117="Vacant","Vac",IF(K117="Model","Model",IF(K117="Admin","Admin",IF(K117="Down","Down",IF(K117="Super","Super","Occ")))))</f>
        <v/>
      </c>
      <c r="D117" s="72">
        <f>INDEX($C$5:$C$14,MATCH(I117,$D$5:$D$14,0))</f>
        <v/>
      </c>
      <c r="E117" s="72">
        <f>INDEX($E$5:$E$14,MATCH(D117,$C$5:$C$14,0))</f>
        <v/>
      </c>
      <c r="F117" s="72">
        <f>INDEX($F$5:$F$14,MATCH(D117,$C$5:$C$14,0))</f>
        <v/>
      </c>
      <c r="G117" s="72">
        <f>INDEX($G$5:$G$14,MATCH(D117,$C$5:$C$14,0))</f>
        <v/>
      </c>
      <c r="H117" s="72" t="inlineStr">
        <is>
          <t>C14</t>
        </is>
      </c>
      <c r="I117" s="72" t="inlineStr">
        <is>
          <t>stjt2B1R</t>
        </is>
      </c>
      <c r="J117" s="80" t="n">
        <v>950</v>
      </c>
      <c r="K117" s="72" t="inlineStr">
        <is>
          <t>Jordan Tessier</t>
        </is>
      </c>
      <c r="L117" s="81" t="n">
        <v>1175</v>
      </c>
      <c r="M117" s="81">
        <f>Y117</f>
        <v/>
      </c>
      <c r="N117" s="82" t="n">
        <v>46052</v>
      </c>
      <c r="O117" s="82" t="n">
        <v>46052</v>
      </c>
      <c r="P117" s="82" t="n">
        <v>46416</v>
      </c>
      <c r="R117" s="81">
        <f>SUM(AB117:AK117)</f>
        <v/>
      </c>
      <c r="S117" s="81">
        <f>SUM(AM117:AQ117)</f>
        <v/>
      </c>
      <c r="T117" s="81">
        <f>SUM(AS117:AW117)</f>
        <v/>
      </c>
      <c r="Y117" s="81" t="n">
        <v>1165</v>
      </c>
    </row>
    <row r="118">
      <c r="A118" s="72">
        <f>$D$27</f>
        <v/>
      </c>
      <c r="B118" s="72">
        <f>B117+1</f>
        <v/>
      </c>
      <c r="C118" s="72">
        <f>IF(K118="Vacant","Vac",IF(K118="Model","Model",IF(K118="Admin","Admin",IF(K118="Down","Down",IF(K118="Super","Super","Occ")))))</f>
        <v/>
      </c>
      <c r="D118" s="72">
        <f>INDEX($C$5:$C$14,MATCH(I118,$D$5:$D$14,0))</f>
        <v/>
      </c>
      <c r="E118" s="72">
        <f>INDEX($E$5:$E$14,MATCH(D118,$C$5:$C$14,0))</f>
        <v/>
      </c>
      <c r="F118" s="72">
        <f>INDEX($F$5:$F$14,MATCH(D118,$C$5:$C$14,0))</f>
        <v/>
      </c>
      <c r="G118" s="72">
        <f>INDEX($G$5:$G$14,MATCH(D118,$C$5:$C$14,0))</f>
        <v/>
      </c>
      <c r="H118" s="72" t="inlineStr">
        <is>
          <t>C15</t>
        </is>
      </c>
      <c r="I118" s="72" t="inlineStr">
        <is>
          <t>stjt2C1R</t>
        </is>
      </c>
      <c r="J118" s="80" t="n">
        <v>1075</v>
      </c>
      <c r="K118" s="72" t="inlineStr">
        <is>
          <t>Olivia Bennett</t>
        </is>
      </c>
      <c r="L118" s="81" t="n">
        <v>1405</v>
      </c>
      <c r="M118" s="81">
        <f>Y118</f>
        <v/>
      </c>
      <c r="N118" s="82" t="n">
        <v>46059</v>
      </c>
      <c r="O118" s="82" t="n">
        <v>46059</v>
      </c>
      <c r="P118" s="82" t="n">
        <v>46423</v>
      </c>
      <c r="R118" s="81">
        <f>SUM(AB118:AK118)</f>
        <v/>
      </c>
      <c r="S118" s="81">
        <f>SUM(AM118:AQ118)</f>
        <v/>
      </c>
      <c r="T118" s="81">
        <f>SUM(AS118:AW118)</f>
        <v/>
      </c>
      <c r="Y118" s="81" t="n">
        <v>1380</v>
      </c>
    </row>
    <row r="119">
      <c r="A119" s="72">
        <f>$D$27</f>
        <v/>
      </c>
      <c r="B119" s="72">
        <f>B118+1</f>
        <v/>
      </c>
      <c r="C119" s="72">
        <f>IF(K119="Vacant","Vac",IF(K119="Model","Model",IF(K119="Admin","Admin",IF(K119="Down","Down",IF(K119="Super","Super","Occ")))))</f>
        <v/>
      </c>
      <c r="D119" s="72">
        <f>INDEX($C$5:$C$14,MATCH(I119,$D$5:$D$14,0))</f>
        <v/>
      </c>
      <c r="E119" s="72">
        <f>INDEX($E$5:$E$14,MATCH(D119,$C$5:$C$14,0))</f>
        <v/>
      </c>
      <c r="F119" s="72">
        <f>INDEX($F$5:$F$14,MATCH(D119,$C$5:$C$14,0))</f>
        <v/>
      </c>
      <c r="G119" s="72">
        <f>INDEX($G$5:$G$14,MATCH(D119,$C$5:$C$14,0))</f>
        <v/>
      </c>
      <c r="H119" s="72" t="inlineStr">
        <is>
          <t>C16</t>
        </is>
      </c>
      <c r="I119" s="72" t="inlineStr">
        <is>
          <t>stjt2B1</t>
        </is>
      </c>
      <c r="J119" s="80" t="n">
        <v>950</v>
      </c>
      <c r="K119" s="72" t="inlineStr">
        <is>
          <t>William Fuller</t>
        </is>
      </c>
      <c r="L119" s="81" t="n">
        <v>1075</v>
      </c>
      <c r="M119" s="81">
        <f>Y119</f>
        <v/>
      </c>
      <c r="N119" s="82" t="n">
        <v>45541</v>
      </c>
      <c r="O119" s="82" t="n">
        <v>45541</v>
      </c>
      <c r="P119" s="82" t="n">
        <v>46270</v>
      </c>
      <c r="R119" s="81">
        <f>SUM(AB119:AK119)</f>
        <v/>
      </c>
      <c r="S119" s="81">
        <f>SUM(AM119:AQ119)</f>
        <v/>
      </c>
      <c r="T119" s="81">
        <f>SUM(AS119:AW119)</f>
        <v/>
      </c>
      <c r="Y119" s="81" t="n">
        <v>1149</v>
      </c>
    </row>
    <row r="120">
      <c r="A120" s="72">
        <f>$D$27</f>
        <v/>
      </c>
      <c r="B120" s="72">
        <f>B119+1</f>
        <v/>
      </c>
      <c r="C120" s="72">
        <f>IF(K120="Vacant","Vac",IF(K120="Model","Model",IF(K120="Admin","Admin",IF(K120="Down","Down",IF(K120="Super","Super","Occ")))))</f>
        <v/>
      </c>
      <c r="D120" s="72">
        <f>INDEX($C$5:$C$14,MATCH(I120,$D$5:$D$14,0))</f>
        <v/>
      </c>
      <c r="E120" s="72">
        <f>INDEX($E$5:$E$14,MATCH(D120,$C$5:$C$14,0))</f>
        <v/>
      </c>
      <c r="F120" s="72">
        <f>INDEX($F$5:$F$14,MATCH(D120,$C$5:$C$14,0))</f>
        <v/>
      </c>
      <c r="G120" s="72">
        <f>INDEX($G$5:$G$14,MATCH(D120,$C$5:$C$14,0))</f>
        <v/>
      </c>
      <c r="H120" s="72" t="inlineStr">
        <is>
          <t>C17</t>
        </is>
      </c>
      <c r="I120" s="72" t="inlineStr">
        <is>
          <t>stjt2C1R</t>
        </is>
      </c>
      <c r="J120" s="80" t="n">
        <v>1075</v>
      </c>
      <c r="K120" s="72" t="inlineStr">
        <is>
          <t>Omar Njie</t>
        </is>
      </c>
      <c r="L120" s="81" t="n">
        <v>1420</v>
      </c>
      <c r="M120" s="81">
        <f>Y120</f>
        <v/>
      </c>
      <c r="N120" s="82" t="n">
        <v>45258</v>
      </c>
      <c r="O120" s="82" t="n">
        <v>45258</v>
      </c>
      <c r="P120" s="82" t="n">
        <v>46169</v>
      </c>
      <c r="R120" s="81">
        <f>SUM(AB120:AK120)</f>
        <v/>
      </c>
      <c r="S120" s="81">
        <f>SUM(AM120:AQ120)</f>
        <v/>
      </c>
      <c r="T120" s="81">
        <f>SUM(AS120:AW120)</f>
        <v/>
      </c>
      <c r="Y120" s="81" t="n">
        <v>1395</v>
      </c>
    </row>
    <row r="121">
      <c r="A121" s="72">
        <f>$D$27</f>
        <v/>
      </c>
      <c r="B121" s="72">
        <f>B120+1</f>
        <v/>
      </c>
      <c r="C121" s="72">
        <f>IF(K121="Vacant","Vac",IF(K121="Model","Model",IF(K121="Admin","Admin",IF(K121="Down","Down",IF(K121="Super","Super","Occ")))))</f>
        <v/>
      </c>
      <c r="D121" s="72">
        <f>INDEX($C$5:$C$14,MATCH(I121,$D$5:$D$14,0))</f>
        <v/>
      </c>
      <c r="E121" s="72">
        <f>INDEX($E$5:$E$14,MATCH(D121,$C$5:$C$14,0))</f>
        <v/>
      </c>
      <c r="F121" s="72">
        <f>INDEX($F$5:$F$14,MATCH(D121,$C$5:$C$14,0))</f>
        <v/>
      </c>
      <c r="G121" s="72">
        <f>INDEX($G$5:$G$14,MATCH(D121,$C$5:$C$14,0))</f>
        <v/>
      </c>
      <c r="H121" s="72" t="inlineStr">
        <is>
          <t>C18</t>
        </is>
      </c>
      <c r="I121" s="72" t="inlineStr">
        <is>
          <t>stjt2B1R</t>
        </is>
      </c>
      <c r="J121" s="80" t="n">
        <v>950</v>
      </c>
      <c r="K121" s="72" t="inlineStr">
        <is>
          <t>Conrad Hando</t>
        </is>
      </c>
      <c r="L121" s="81" t="n">
        <v>1190</v>
      </c>
      <c r="M121" s="81">
        <f>Y121</f>
        <v/>
      </c>
      <c r="N121" s="82" t="n">
        <v>45814</v>
      </c>
      <c r="O121" s="82" t="n">
        <v>45814</v>
      </c>
      <c r="P121" s="82" t="n">
        <v>46178</v>
      </c>
      <c r="R121" s="81">
        <f>SUM(AB121:AK121)</f>
        <v/>
      </c>
      <c r="S121" s="81">
        <f>SUM(AM121:AQ121)</f>
        <v/>
      </c>
      <c r="T121" s="81">
        <f>SUM(AS121:AW121)</f>
        <v/>
      </c>
      <c r="Y121" s="81" t="n">
        <v>1165</v>
      </c>
    </row>
    <row r="122">
      <c r="A122" s="72">
        <f>$D$27</f>
        <v/>
      </c>
      <c r="B122" s="72">
        <f>B121+1</f>
        <v/>
      </c>
      <c r="C122" s="72">
        <f>IF(K122="Vacant","Vac",IF(K122="Model","Model",IF(K122="Admin","Admin",IF(K122="Down","Down",IF(K122="Super","Super","Occ")))))</f>
        <v/>
      </c>
      <c r="D122" s="72">
        <f>INDEX($C$5:$C$14,MATCH(I122,$D$5:$D$14,0))</f>
        <v/>
      </c>
      <c r="E122" s="72">
        <f>INDEX($E$5:$E$14,MATCH(D122,$C$5:$C$14,0))</f>
        <v/>
      </c>
      <c r="F122" s="72">
        <f>INDEX($F$5:$F$14,MATCH(D122,$C$5:$C$14,0))</f>
        <v/>
      </c>
      <c r="G122" s="72">
        <f>INDEX($G$5:$G$14,MATCH(D122,$C$5:$C$14,0))</f>
        <v/>
      </c>
      <c r="H122" s="72" t="inlineStr">
        <is>
          <t>C19</t>
        </is>
      </c>
      <c r="I122" s="72" t="inlineStr">
        <is>
          <t>stjt2C1</t>
        </is>
      </c>
      <c r="J122" s="80" t="n">
        <v>1075</v>
      </c>
      <c r="K122" s="72" t="inlineStr">
        <is>
          <t>Alejandro Rosales</t>
        </is>
      </c>
      <c r="L122" s="81" t="n">
        <v>1325</v>
      </c>
      <c r="M122" s="81">
        <f>Y122</f>
        <v/>
      </c>
      <c r="N122" s="82" t="n">
        <v>45248</v>
      </c>
      <c r="O122" s="82" t="n">
        <v>45248</v>
      </c>
      <c r="P122" s="82" t="n">
        <v>46524</v>
      </c>
      <c r="R122" s="81">
        <f>SUM(AB122:AK122)</f>
        <v/>
      </c>
      <c r="S122" s="81">
        <f>SUM(AM122:AQ122)</f>
        <v/>
      </c>
      <c r="T122" s="81">
        <f>SUM(AS122:AW122)</f>
        <v/>
      </c>
      <c r="Y122" s="81" t="n">
        <v>1300</v>
      </c>
    </row>
    <row r="123">
      <c r="A123" s="72">
        <f>$D$27</f>
        <v/>
      </c>
      <c r="B123" s="72">
        <f>B122+1</f>
        <v/>
      </c>
      <c r="C123" s="72">
        <f>IF(K123="Vacant","Vac",IF(K123="Model","Model",IF(K123="Admin","Admin",IF(K123="Down","Down",IF(K123="Super","Super","Occ")))))</f>
        <v/>
      </c>
      <c r="D123" s="72">
        <f>INDEX($C$5:$C$14,MATCH(I123,$D$5:$D$14,0))</f>
        <v/>
      </c>
      <c r="E123" s="72">
        <f>INDEX($E$5:$E$14,MATCH(D123,$C$5:$C$14,0))</f>
        <v/>
      </c>
      <c r="F123" s="72">
        <f>INDEX($F$5:$F$14,MATCH(D123,$C$5:$C$14,0))</f>
        <v/>
      </c>
      <c r="G123" s="72">
        <f>INDEX($G$5:$G$14,MATCH(D123,$C$5:$C$14,0))</f>
        <v/>
      </c>
      <c r="H123" s="72" t="inlineStr">
        <is>
          <t>C20</t>
        </is>
      </c>
      <c r="I123" s="72" t="inlineStr">
        <is>
          <t>stjt2B1</t>
        </is>
      </c>
      <c r="J123" s="80" t="n">
        <v>950</v>
      </c>
      <c r="K123" s="72" t="inlineStr">
        <is>
          <t>Dylan Myers</t>
        </is>
      </c>
      <c r="L123" s="81" t="n">
        <v>1155</v>
      </c>
      <c r="M123" s="81">
        <f>Y123</f>
        <v/>
      </c>
      <c r="N123" s="82" t="n">
        <v>43675</v>
      </c>
      <c r="O123" s="82" t="n">
        <v>43675</v>
      </c>
      <c r="P123" s="82" t="n">
        <v>46245</v>
      </c>
      <c r="R123" s="81">
        <f>SUM(AB123:AK123)</f>
        <v/>
      </c>
      <c r="S123" s="81">
        <f>SUM(AM123:AQ123)</f>
        <v/>
      </c>
      <c r="T123" s="81">
        <f>SUM(AS123:AW123)</f>
        <v/>
      </c>
      <c r="Y123" s="81" t="n">
        <v>1135</v>
      </c>
    </row>
    <row r="124">
      <c r="A124" s="72">
        <f>$D$27</f>
        <v/>
      </c>
      <c r="B124" s="72">
        <f>B123+1</f>
        <v/>
      </c>
      <c r="C124" s="72">
        <f>IF(K124="Vacant","Vac",IF(K124="Model","Model",IF(K124="Admin","Admin",IF(K124="Down","Down",IF(K124="Super","Super","Occ")))))</f>
        <v/>
      </c>
      <c r="D124" s="72">
        <f>INDEX($C$5:$C$14,MATCH(I124,$D$5:$D$14,0))</f>
        <v/>
      </c>
      <c r="E124" s="72">
        <f>INDEX($E$5:$E$14,MATCH(D124,$C$5:$C$14,0))</f>
        <v/>
      </c>
      <c r="F124" s="72">
        <f>INDEX($F$5:$F$14,MATCH(D124,$C$5:$C$14,0))</f>
        <v/>
      </c>
      <c r="G124" s="72">
        <f>INDEX($G$5:$G$14,MATCH(D124,$C$5:$C$14,0))</f>
        <v/>
      </c>
      <c r="H124" s="72" t="inlineStr">
        <is>
          <t>C21</t>
        </is>
      </c>
      <c r="I124" s="72" t="inlineStr">
        <is>
          <t>stjt2C1R</t>
        </is>
      </c>
      <c r="J124" s="80" t="n">
        <v>1075</v>
      </c>
      <c r="K124" s="72" t="inlineStr">
        <is>
          <t>Veronica Perry</t>
        </is>
      </c>
      <c r="L124" s="81" t="n">
        <v>1420</v>
      </c>
      <c r="M124" s="81">
        <f>Y124</f>
        <v/>
      </c>
      <c r="N124" s="82" t="n">
        <v>45947</v>
      </c>
      <c r="O124" s="82" t="n">
        <v>45947</v>
      </c>
      <c r="P124" s="82" t="n">
        <v>46311</v>
      </c>
      <c r="R124" s="81">
        <f>SUM(AB124:AK124)</f>
        <v/>
      </c>
      <c r="S124" s="81">
        <f>SUM(AM124:AQ124)</f>
        <v/>
      </c>
      <c r="T124" s="81">
        <f>SUM(AS124:AW124)</f>
        <v/>
      </c>
      <c r="Y124" s="81" t="n">
        <v>1395</v>
      </c>
    </row>
    <row r="125">
      <c r="A125" s="72">
        <f>$D$27</f>
        <v/>
      </c>
      <c r="B125" s="72">
        <f>B124+1</f>
        <v/>
      </c>
      <c r="C125" s="72">
        <f>IF(K125="Vacant","Vac",IF(K125="Model","Model",IF(K125="Admin","Admin",IF(K125="Down","Down",IF(K125="Super","Super","Occ")))))</f>
        <v/>
      </c>
      <c r="D125" s="72">
        <f>INDEX($C$5:$C$14,MATCH(I125,$D$5:$D$14,0))</f>
        <v/>
      </c>
      <c r="E125" s="72">
        <f>INDEX($E$5:$E$14,MATCH(D125,$C$5:$C$14,0))</f>
        <v/>
      </c>
      <c r="F125" s="72">
        <f>INDEX($F$5:$F$14,MATCH(D125,$C$5:$C$14,0))</f>
        <v/>
      </c>
      <c r="G125" s="72">
        <f>INDEX($G$5:$G$14,MATCH(D125,$C$5:$C$14,0))</f>
        <v/>
      </c>
      <c r="H125" s="72" t="inlineStr">
        <is>
          <t>C22</t>
        </is>
      </c>
      <c r="I125" s="72" t="inlineStr">
        <is>
          <t>stjt2B1</t>
        </is>
      </c>
      <c r="J125" s="80" t="n">
        <v>950</v>
      </c>
      <c r="K125" s="72" t="inlineStr">
        <is>
          <t>Nichole White</t>
        </is>
      </c>
      <c r="L125" s="81" t="n">
        <v>1155</v>
      </c>
      <c r="M125" s="81">
        <f>Y125</f>
        <v/>
      </c>
      <c r="N125" s="82" t="n">
        <v>45626</v>
      </c>
      <c r="O125" s="82" t="n">
        <v>45626</v>
      </c>
      <c r="P125" s="82" t="n">
        <v>46171</v>
      </c>
      <c r="R125" s="81">
        <f>SUM(AB125:AK125)</f>
        <v/>
      </c>
      <c r="S125" s="81">
        <f>SUM(AM125:AQ125)</f>
        <v/>
      </c>
      <c r="T125" s="81">
        <f>SUM(AS125:AW125)</f>
        <v/>
      </c>
      <c r="Y125" s="81" t="n">
        <v>1085</v>
      </c>
    </row>
    <row r="126">
      <c r="A126" s="72">
        <f>$D$27</f>
        <v/>
      </c>
      <c r="B126" s="72">
        <f>B125+1</f>
        <v/>
      </c>
      <c r="C126" s="72">
        <f>IF(K126="Vacant","Vac",IF(K126="Model","Model",IF(K126="Admin","Admin",IF(K126="Down","Down",IF(K126="Super","Super","Occ")))))</f>
        <v/>
      </c>
      <c r="D126" s="72">
        <f>INDEX($C$5:$C$14,MATCH(I126,$D$5:$D$14,0))</f>
        <v/>
      </c>
      <c r="E126" s="72">
        <f>INDEX($E$5:$E$14,MATCH(D126,$C$5:$C$14,0))</f>
        <v/>
      </c>
      <c r="F126" s="72">
        <f>INDEX($F$5:$F$14,MATCH(D126,$C$5:$C$14,0))</f>
        <v/>
      </c>
      <c r="G126" s="72">
        <f>INDEX($G$5:$G$14,MATCH(D126,$C$5:$C$14,0))</f>
        <v/>
      </c>
      <c r="H126" s="72" t="inlineStr">
        <is>
          <t>C23</t>
        </is>
      </c>
      <c r="I126" s="72" t="inlineStr">
        <is>
          <t>stjt2C2</t>
        </is>
      </c>
      <c r="J126" s="80" t="n">
        <v>1075</v>
      </c>
      <c r="K126" s="72" t="inlineStr">
        <is>
          <t>Alexis Desmond</t>
        </is>
      </c>
      <c r="L126" s="81" t="n">
        <v>1400</v>
      </c>
      <c r="M126" s="81">
        <f>Y126</f>
        <v/>
      </c>
      <c r="N126" s="82" t="n">
        <v>45653</v>
      </c>
      <c r="O126" s="82" t="n">
        <v>45653</v>
      </c>
      <c r="P126" s="82" t="n">
        <v>46199</v>
      </c>
      <c r="R126" s="81">
        <f>SUM(AB126:AK126)</f>
        <v/>
      </c>
      <c r="S126" s="81">
        <f>SUM(AM126:AQ126)</f>
        <v/>
      </c>
      <c r="T126" s="81">
        <f>SUM(AS126:AW126)</f>
        <v/>
      </c>
      <c r="Y126" s="81" t="n">
        <v>1150</v>
      </c>
    </row>
    <row r="127">
      <c r="A127" s="72">
        <f>$D$27</f>
        <v/>
      </c>
      <c r="B127" s="72">
        <f>B126+1</f>
        <v/>
      </c>
      <c r="C127" s="72">
        <f>IF(K127="Vacant","Vac",IF(K127="Model","Model",IF(K127="Admin","Admin",IF(K127="Down","Down",IF(K127="Super","Super","Occ")))))</f>
        <v/>
      </c>
      <c r="D127" s="72">
        <f>INDEX($C$5:$C$14,MATCH(I127,$D$5:$D$14,0))</f>
        <v/>
      </c>
      <c r="E127" s="72">
        <f>INDEX($E$5:$E$14,MATCH(D127,$C$5:$C$14,0))</f>
        <v/>
      </c>
      <c r="F127" s="72">
        <f>INDEX($F$5:$F$14,MATCH(D127,$C$5:$C$14,0))</f>
        <v/>
      </c>
      <c r="G127" s="72">
        <f>INDEX($G$5:$G$14,MATCH(D127,$C$5:$C$14,0))</f>
        <v/>
      </c>
      <c r="H127" s="72" t="inlineStr">
        <is>
          <t>C24</t>
        </is>
      </c>
      <c r="I127" s="72" t="inlineStr">
        <is>
          <t>stjt2B1</t>
        </is>
      </c>
      <c r="J127" s="80" t="n">
        <v>950</v>
      </c>
      <c r="K127" s="72" t="inlineStr">
        <is>
          <t>Jessica Miller</t>
        </is>
      </c>
      <c r="L127" s="81" t="n">
        <v>1155</v>
      </c>
      <c r="M127" s="81">
        <f>Y127</f>
        <v/>
      </c>
      <c r="N127" s="82" t="n">
        <v>45703</v>
      </c>
      <c r="O127" s="82" t="n">
        <v>45703</v>
      </c>
      <c r="P127" s="82" t="n">
        <v>46156</v>
      </c>
      <c r="R127" s="81">
        <f>SUM(AB127:AK127)</f>
        <v/>
      </c>
      <c r="S127" s="81">
        <f>SUM(AM127:AQ127)</f>
        <v/>
      </c>
      <c r="T127" s="81">
        <f>SUM(AS127:AW127)</f>
        <v/>
      </c>
      <c r="Y127" s="81" t="n">
        <v>1085</v>
      </c>
    </row>
    <row r="128">
      <c r="A128" s="72">
        <f>$D$27</f>
        <v/>
      </c>
      <c r="B128" s="72">
        <f>B127+1</f>
        <v/>
      </c>
      <c r="C128" s="72">
        <f>IF(K128="Vacant","Vac",IF(K128="Model","Model",IF(K128="Admin","Admin",IF(K128="Down","Down",IF(K128="Super","Super","Occ")))))</f>
        <v/>
      </c>
      <c r="D128" s="72">
        <f>INDEX($C$5:$C$14,MATCH(I128,$D$5:$D$14,0))</f>
        <v/>
      </c>
      <c r="E128" s="72">
        <f>INDEX($E$5:$E$14,MATCH(D128,$C$5:$C$14,0))</f>
        <v/>
      </c>
      <c r="F128" s="72">
        <f>INDEX($F$5:$F$14,MATCH(D128,$C$5:$C$14,0))</f>
        <v/>
      </c>
      <c r="G128" s="72">
        <f>INDEX($G$5:$G$14,MATCH(D128,$C$5:$C$14,0))</f>
        <v/>
      </c>
      <c r="H128" s="72" t="inlineStr">
        <is>
          <t>D01</t>
        </is>
      </c>
      <c r="I128" s="72" t="inlineStr">
        <is>
          <t>stjt2B1R</t>
        </is>
      </c>
      <c r="J128" s="80" t="n">
        <v>950</v>
      </c>
      <c r="K128" s="72" t="inlineStr">
        <is>
          <t>Coby Dunn</t>
        </is>
      </c>
      <c r="L128" s="81" t="n">
        <v>1120</v>
      </c>
      <c r="M128" s="81">
        <f>Y128</f>
        <v/>
      </c>
      <c r="N128" s="82" t="n">
        <v>45716</v>
      </c>
      <c r="O128" s="82" t="n">
        <v>45716</v>
      </c>
      <c r="P128" s="82" t="n">
        <v>46169</v>
      </c>
      <c r="R128" s="81">
        <f>SUM(AB128:AK128)</f>
        <v/>
      </c>
      <c r="S128" s="81">
        <f>SUM(AM128:AQ128)</f>
        <v/>
      </c>
      <c r="T128" s="81">
        <f>SUM(AS128:AW128)</f>
        <v/>
      </c>
      <c r="Y128" s="81" t="n">
        <v>1045</v>
      </c>
    </row>
    <row r="129">
      <c r="A129" s="72">
        <f>$D$27</f>
        <v/>
      </c>
      <c r="B129" s="72">
        <f>B128+1</f>
        <v/>
      </c>
      <c r="C129" s="72">
        <f>IF(K129="Vacant","Vac",IF(K129="Model","Model",IF(K129="Admin","Admin",IF(K129="Down","Down",IF(K129="Super","Super","Occ")))))</f>
        <v/>
      </c>
      <c r="D129" s="72">
        <f>INDEX($C$5:$C$14,MATCH(I129,$D$5:$D$14,0))</f>
        <v/>
      </c>
      <c r="E129" s="72">
        <f>INDEX($E$5:$E$14,MATCH(D129,$C$5:$C$14,0))</f>
        <v/>
      </c>
      <c r="F129" s="72">
        <f>INDEX($F$5:$F$14,MATCH(D129,$C$5:$C$14,0))</f>
        <v/>
      </c>
      <c r="G129" s="72">
        <f>INDEX($G$5:$G$14,MATCH(D129,$C$5:$C$14,0))</f>
        <v/>
      </c>
      <c r="H129" s="72" t="inlineStr">
        <is>
          <t>D02</t>
        </is>
      </c>
      <c r="I129" s="72" t="inlineStr">
        <is>
          <t>stjt2A1R</t>
        </is>
      </c>
      <c r="J129" s="80" t="n">
        <v>850</v>
      </c>
      <c r="K129" s="72" t="inlineStr">
        <is>
          <t>Toni Davis</t>
        </is>
      </c>
      <c r="L129" s="81" t="n">
        <v>1040</v>
      </c>
      <c r="M129" s="81">
        <f>Y129</f>
        <v/>
      </c>
      <c r="N129" s="82" t="n">
        <v>45687</v>
      </c>
      <c r="O129" s="82" t="n">
        <v>45687</v>
      </c>
      <c r="P129" s="82" t="n">
        <v>46141</v>
      </c>
      <c r="R129" s="81">
        <f>SUM(AB129:AK129)</f>
        <v/>
      </c>
      <c r="S129" s="81">
        <f>SUM(AM129:AQ129)</f>
        <v/>
      </c>
      <c r="T129" s="81">
        <f>SUM(AS129:AW129)</f>
        <v/>
      </c>
      <c r="Y129" s="81" t="n">
        <v>915</v>
      </c>
    </row>
    <row r="130">
      <c r="A130" s="72">
        <f>$D$27</f>
        <v/>
      </c>
      <c r="B130" s="72">
        <f>B129+1</f>
        <v/>
      </c>
      <c r="C130" s="72">
        <f>IF(K130="Vacant","Vac",IF(K130="Model","Model",IF(K130="Admin","Admin",IF(K130="Down","Down",IF(K130="Super","Super","Occ")))))</f>
        <v/>
      </c>
      <c r="D130" s="72">
        <f>INDEX($C$5:$C$14,MATCH(I130,$D$5:$D$14,0))</f>
        <v/>
      </c>
      <c r="E130" s="72">
        <f>INDEX($E$5:$E$14,MATCH(D130,$C$5:$C$14,0))</f>
        <v/>
      </c>
      <c r="F130" s="72">
        <f>INDEX($F$5:$F$14,MATCH(D130,$C$5:$C$14,0))</f>
        <v/>
      </c>
      <c r="G130" s="72">
        <f>INDEX($G$5:$G$14,MATCH(D130,$C$5:$C$14,0))</f>
        <v/>
      </c>
      <c r="H130" s="72" t="inlineStr">
        <is>
          <t>D03</t>
        </is>
      </c>
      <c r="I130" s="72" t="inlineStr">
        <is>
          <t>stjt2B1R</t>
        </is>
      </c>
      <c r="J130" s="80" t="n">
        <v>950</v>
      </c>
      <c r="K130" s="72" t="inlineStr">
        <is>
          <t>Mason Shaw</t>
        </is>
      </c>
      <c r="L130" s="81" t="n">
        <v>1120</v>
      </c>
      <c r="M130" s="81">
        <f>Y130</f>
        <v/>
      </c>
      <c r="N130" s="82" t="n">
        <v>46088</v>
      </c>
      <c r="O130" s="82" t="n">
        <v>46088</v>
      </c>
      <c r="P130" s="82" t="n">
        <v>46452</v>
      </c>
      <c r="R130" s="81">
        <f>SUM(AB130:AK130)</f>
        <v/>
      </c>
      <c r="S130" s="81">
        <f>SUM(AM130:AQ130)</f>
        <v/>
      </c>
      <c r="T130" s="81">
        <f>SUM(AS130:AW130)</f>
        <v/>
      </c>
      <c r="Y130" s="81" t="n">
        <v>1110</v>
      </c>
    </row>
    <row r="131">
      <c r="A131" s="72">
        <f>$D$27</f>
        <v/>
      </c>
      <c r="B131" s="72">
        <f>B130+1</f>
        <v/>
      </c>
      <c r="C131" s="72">
        <f>IF(K131="Vacant","Vac",IF(K131="Model","Model",IF(K131="Admin","Admin",IF(K131="Down","Down",IF(K131="Super","Super","Occ")))))</f>
        <v/>
      </c>
      <c r="D131" s="72">
        <f>INDEX($C$5:$C$14,MATCH(I131,$D$5:$D$14,0))</f>
        <v/>
      </c>
      <c r="E131" s="72">
        <f>INDEX($E$5:$E$14,MATCH(D131,$C$5:$C$14,0))</f>
        <v/>
      </c>
      <c r="F131" s="72">
        <f>INDEX($F$5:$F$14,MATCH(D131,$C$5:$C$14,0))</f>
        <v/>
      </c>
      <c r="G131" s="72">
        <f>INDEX($G$5:$G$14,MATCH(D131,$C$5:$C$14,0))</f>
        <v/>
      </c>
      <c r="H131" s="72" t="inlineStr">
        <is>
          <t>D04</t>
        </is>
      </c>
      <c r="I131" s="72" t="inlineStr">
        <is>
          <t>stjt2A1</t>
        </is>
      </c>
      <c r="J131" s="80" t="n">
        <v>850</v>
      </c>
      <c r="K131" s="72" t="inlineStr">
        <is>
          <t>VACANT</t>
        </is>
      </c>
      <c r="L131" s="81" t="n">
        <v>990</v>
      </c>
      <c r="M131" s="81">
        <f>Y131</f>
        <v/>
      </c>
      <c r="R131" s="81">
        <f>SUM(AB131:AK131)</f>
        <v/>
      </c>
      <c r="S131" s="81">
        <f>SUM(AM131:AQ131)</f>
        <v/>
      </c>
      <c r="T131" s="81">
        <f>SUM(AS131:AW131)</f>
        <v/>
      </c>
      <c r="Y131" s="81" t="n">
        <v>0</v>
      </c>
    </row>
    <row r="132">
      <c r="A132" s="72">
        <f>$D$27</f>
        <v/>
      </c>
      <c r="B132" s="72">
        <f>B131+1</f>
        <v/>
      </c>
      <c r="C132" s="72">
        <f>IF(K132="Vacant","Vac",IF(K132="Model","Model",IF(K132="Admin","Admin",IF(K132="Down","Down",IF(K132="Super","Super","Occ")))))</f>
        <v/>
      </c>
      <c r="D132" s="72">
        <f>INDEX($C$5:$C$14,MATCH(I132,$D$5:$D$14,0))</f>
        <v/>
      </c>
      <c r="E132" s="72">
        <f>INDEX($E$5:$E$14,MATCH(D132,$C$5:$C$14,0))</f>
        <v/>
      </c>
      <c r="F132" s="72">
        <f>INDEX($F$5:$F$14,MATCH(D132,$C$5:$C$14,0))</f>
        <v/>
      </c>
      <c r="G132" s="72">
        <f>INDEX($G$5:$G$14,MATCH(D132,$C$5:$C$14,0))</f>
        <v/>
      </c>
      <c r="H132" s="72" t="inlineStr">
        <is>
          <t>D05</t>
        </is>
      </c>
      <c r="I132" s="72" t="inlineStr">
        <is>
          <t>stjt2B1R</t>
        </is>
      </c>
      <c r="J132" s="80" t="n">
        <v>950</v>
      </c>
      <c r="K132" s="72" t="inlineStr">
        <is>
          <t>Clever Humberto Pedroso Hernandez</t>
        </is>
      </c>
      <c r="L132" s="81" t="n">
        <v>1135</v>
      </c>
      <c r="M132" s="81">
        <f>Y132</f>
        <v/>
      </c>
      <c r="N132" s="82" t="n">
        <v>45657</v>
      </c>
      <c r="O132" s="82" t="n">
        <v>45657</v>
      </c>
      <c r="P132" s="82" t="n">
        <v>46203</v>
      </c>
      <c r="R132" s="81">
        <f>SUM(AB132:AK132)</f>
        <v/>
      </c>
      <c r="S132" s="81">
        <f>SUM(AM132:AQ132)</f>
        <v/>
      </c>
      <c r="T132" s="81">
        <f>SUM(AS132:AW132)</f>
        <v/>
      </c>
      <c r="Y132" s="81" t="n">
        <v>1050</v>
      </c>
    </row>
    <row r="133">
      <c r="A133" s="72">
        <f>$D$27</f>
        <v/>
      </c>
      <c r="B133" s="72">
        <f>B132+1</f>
        <v/>
      </c>
      <c r="C133" s="72">
        <f>IF(K133="Vacant","Vac",IF(K133="Model","Model",IF(K133="Admin","Admin",IF(K133="Down","Down",IF(K133="Super","Super","Occ")))))</f>
        <v/>
      </c>
      <c r="D133" s="72">
        <f>INDEX($C$5:$C$14,MATCH(I133,$D$5:$D$14,0))</f>
        <v/>
      </c>
      <c r="E133" s="72">
        <f>INDEX($E$5:$E$14,MATCH(D133,$C$5:$C$14,0))</f>
        <v/>
      </c>
      <c r="F133" s="72">
        <f>INDEX($F$5:$F$14,MATCH(D133,$C$5:$C$14,0))</f>
        <v/>
      </c>
      <c r="G133" s="72">
        <f>INDEX($G$5:$G$14,MATCH(D133,$C$5:$C$14,0))</f>
        <v/>
      </c>
      <c r="H133" s="72" t="inlineStr">
        <is>
          <t>D06</t>
        </is>
      </c>
      <c r="I133" s="72" t="inlineStr">
        <is>
          <t>stjt2A1R</t>
        </is>
      </c>
      <c r="J133" s="80" t="n">
        <v>850</v>
      </c>
      <c r="K133" s="72" t="inlineStr">
        <is>
          <t>Damien Lahey</t>
        </is>
      </c>
      <c r="L133" s="81" t="n">
        <v>1055</v>
      </c>
      <c r="M133" s="81">
        <f>Y133</f>
        <v/>
      </c>
      <c r="N133" s="82" t="n">
        <v>45622</v>
      </c>
      <c r="O133" s="82" t="n">
        <v>45622</v>
      </c>
      <c r="P133" s="82" t="n">
        <v>46168</v>
      </c>
      <c r="R133" s="81">
        <f>SUM(AB133:AK133)</f>
        <v/>
      </c>
      <c r="S133" s="81">
        <f>SUM(AM133:AQ133)</f>
        <v/>
      </c>
      <c r="T133" s="81">
        <f>SUM(AS133:AW133)</f>
        <v/>
      </c>
      <c r="Y133" s="81" t="n">
        <v>1015</v>
      </c>
    </row>
    <row r="134">
      <c r="A134" s="72">
        <f>$D$27</f>
        <v/>
      </c>
      <c r="B134" s="72">
        <f>B133+1</f>
        <v/>
      </c>
      <c r="C134" s="72">
        <f>IF(K134="Vacant","Vac",IF(K134="Model","Model",IF(K134="Admin","Admin",IF(K134="Down","Down",IF(K134="Super","Super","Occ")))))</f>
        <v/>
      </c>
      <c r="D134" s="72">
        <f>INDEX($C$5:$C$14,MATCH(I134,$D$5:$D$14,0))</f>
        <v/>
      </c>
      <c r="E134" s="72">
        <f>INDEX($E$5:$E$14,MATCH(D134,$C$5:$C$14,0))</f>
        <v/>
      </c>
      <c r="F134" s="72">
        <f>INDEX($F$5:$F$14,MATCH(D134,$C$5:$C$14,0))</f>
        <v/>
      </c>
      <c r="G134" s="72">
        <f>INDEX($G$5:$G$14,MATCH(D134,$C$5:$C$14,0))</f>
        <v/>
      </c>
      <c r="H134" s="72" t="inlineStr">
        <is>
          <t>D07</t>
        </is>
      </c>
      <c r="I134" s="72" t="inlineStr">
        <is>
          <t>stjt2B1R</t>
        </is>
      </c>
      <c r="J134" s="80" t="n">
        <v>950</v>
      </c>
      <c r="K134" s="72" t="inlineStr">
        <is>
          <t>Chandler Weatherford</t>
        </is>
      </c>
      <c r="L134" s="81" t="n">
        <v>1135</v>
      </c>
      <c r="M134" s="81">
        <f>Y134</f>
        <v/>
      </c>
      <c r="N134" s="82" t="n">
        <v>44712</v>
      </c>
      <c r="O134" s="82" t="n">
        <v>44712</v>
      </c>
      <c r="P134" s="82" t="n">
        <v>46202</v>
      </c>
      <c r="R134" s="81">
        <f>SUM(AB134:AK134)</f>
        <v/>
      </c>
      <c r="S134" s="81">
        <f>SUM(AM134:AQ134)</f>
        <v/>
      </c>
      <c r="T134" s="81">
        <f>SUM(AS134:AW134)</f>
        <v/>
      </c>
      <c r="Y134" s="81" t="n">
        <v>1085</v>
      </c>
    </row>
    <row r="135">
      <c r="A135" s="72">
        <f>$D$27</f>
        <v/>
      </c>
      <c r="B135" s="72">
        <f>B134+1</f>
        <v/>
      </c>
      <c r="C135" s="72">
        <f>IF(K135="Vacant","Vac",IF(K135="Model","Model",IF(K135="Admin","Admin",IF(K135="Down","Down",IF(K135="Super","Super","Occ")))))</f>
        <v/>
      </c>
      <c r="D135" s="72">
        <f>INDEX($C$5:$C$14,MATCH(I135,$D$5:$D$14,0))</f>
        <v/>
      </c>
      <c r="E135" s="72">
        <f>INDEX($E$5:$E$14,MATCH(D135,$C$5:$C$14,0))</f>
        <v/>
      </c>
      <c r="F135" s="72">
        <f>INDEX($F$5:$F$14,MATCH(D135,$C$5:$C$14,0))</f>
        <v/>
      </c>
      <c r="G135" s="72">
        <f>INDEX($G$5:$G$14,MATCH(D135,$C$5:$C$14,0))</f>
        <v/>
      </c>
      <c r="H135" s="72" t="inlineStr">
        <is>
          <t>D08</t>
        </is>
      </c>
      <c r="I135" s="72" t="inlineStr">
        <is>
          <t>stjt2A1</t>
        </is>
      </c>
      <c r="J135" s="80" t="n">
        <v>850</v>
      </c>
      <c r="K135" s="72" t="inlineStr">
        <is>
          <t>Richard Odaniel</t>
        </is>
      </c>
      <c r="L135" s="81" t="n">
        <v>990</v>
      </c>
      <c r="M135" s="81">
        <f>Y135</f>
        <v/>
      </c>
      <c r="N135" s="82" t="n">
        <v>45887</v>
      </c>
      <c r="O135" s="82" t="n">
        <v>45887</v>
      </c>
      <c r="P135" s="82" t="n">
        <v>46435</v>
      </c>
      <c r="R135" s="81">
        <f>SUM(AB135:AK135)</f>
        <v/>
      </c>
      <c r="S135" s="81">
        <f>SUM(AM135:AQ135)</f>
        <v/>
      </c>
      <c r="T135" s="81">
        <f>SUM(AS135:AW135)</f>
        <v/>
      </c>
      <c r="Y135" s="81" t="n">
        <v>925</v>
      </c>
    </row>
    <row r="136">
      <c r="A136" s="72">
        <f>$D$27</f>
        <v/>
      </c>
      <c r="B136" s="72">
        <f>B135+1</f>
        <v/>
      </c>
      <c r="C136" s="72">
        <f>IF(K136="Vacant","Vac",IF(K136="Model","Model",IF(K136="Admin","Admin",IF(K136="Down","Down",IF(K136="Super","Super","Occ")))))</f>
        <v/>
      </c>
      <c r="D136" s="72">
        <f>INDEX($C$5:$C$14,MATCH(I136,$D$5:$D$14,0))</f>
        <v/>
      </c>
      <c r="E136" s="72">
        <f>INDEX($E$5:$E$14,MATCH(D136,$C$5:$C$14,0))</f>
        <v/>
      </c>
      <c r="F136" s="72">
        <f>INDEX($F$5:$F$14,MATCH(D136,$C$5:$C$14,0))</f>
        <v/>
      </c>
      <c r="G136" s="72">
        <f>INDEX($G$5:$G$14,MATCH(D136,$C$5:$C$14,0))</f>
        <v/>
      </c>
      <c r="H136" s="72" t="inlineStr">
        <is>
          <t>D09</t>
        </is>
      </c>
      <c r="I136" s="72" t="inlineStr">
        <is>
          <t>stjt2B1</t>
        </is>
      </c>
      <c r="J136" s="80" t="n">
        <v>950</v>
      </c>
      <c r="K136" s="72" t="inlineStr">
        <is>
          <t>Aden Hofmeister</t>
        </is>
      </c>
      <c r="L136" s="81" t="n">
        <v>1035</v>
      </c>
      <c r="M136" s="81">
        <f>Y136</f>
        <v/>
      </c>
      <c r="N136" s="82" t="n">
        <v>45869</v>
      </c>
      <c r="O136" s="82" t="n">
        <v>45869</v>
      </c>
      <c r="P136" s="82" t="n">
        <v>46233</v>
      </c>
      <c r="R136" s="81">
        <f>SUM(AB136:AK136)</f>
        <v/>
      </c>
      <c r="S136" s="81">
        <f>SUM(AM136:AQ136)</f>
        <v/>
      </c>
      <c r="T136" s="81">
        <f>SUM(AS136:AW136)</f>
        <v/>
      </c>
      <c r="Y136" s="81" t="n">
        <v>975</v>
      </c>
    </row>
    <row r="137">
      <c r="A137" s="72">
        <f>$D$27</f>
        <v/>
      </c>
      <c r="B137" s="72">
        <f>B136+1</f>
        <v/>
      </c>
      <c r="C137" s="72">
        <f>IF(K137="Vacant","Vac",IF(K137="Model","Model",IF(K137="Admin","Admin",IF(K137="Down","Down",IF(K137="Super","Super","Occ")))))</f>
        <v/>
      </c>
      <c r="D137" s="72">
        <f>INDEX($C$5:$C$14,MATCH(I137,$D$5:$D$14,0))</f>
        <v/>
      </c>
      <c r="E137" s="72">
        <f>INDEX($E$5:$E$14,MATCH(D137,$C$5:$C$14,0))</f>
        <v/>
      </c>
      <c r="F137" s="72">
        <f>INDEX($F$5:$F$14,MATCH(D137,$C$5:$C$14,0))</f>
        <v/>
      </c>
      <c r="G137" s="72">
        <f>INDEX($G$5:$G$14,MATCH(D137,$C$5:$C$14,0))</f>
        <v/>
      </c>
      <c r="H137" s="72" t="inlineStr">
        <is>
          <t>D10</t>
        </is>
      </c>
      <c r="I137" s="72" t="inlineStr">
        <is>
          <t>stjt2A1</t>
        </is>
      </c>
      <c r="J137" s="80" t="n">
        <v>850</v>
      </c>
      <c r="K137" s="72" t="inlineStr">
        <is>
          <t>Gloriose Byukusenge</t>
        </is>
      </c>
      <c r="L137" s="81" t="n">
        <v>990</v>
      </c>
      <c r="M137" s="81">
        <f>Y137</f>
        <v/>
      </c>
      <c r="N137" s="82" t="n">
        <v>45785</v>
      </c>
      <c r="O137" s="82" t="n">
        <v>45785</v>
      </c>
      <c r="P137" s="82" t="n">
        <v>46149</v>
      </c>
      <c r="R137" s="81">
        <f>SUM(AB137:AK137)</f>
        <v/>
      </c>
      <c r="S137" s="81">
        <f>SUM(AM137:AQ137)</f>
        <v/>
      </c>
      <c r="T137" s="81">
        <f>SUM(AS137:AW137)</f>
        <v/>
      </c>
      <c r="Y137" s="81" t="n">
        <v>899</v>
      </c>
    </row>
    <row r="138">
      <c r="A138" s="72">
        <f>$D$27</f>
        <v/>
      </c>
      <c r="B138" s="72">
        <f>B137+1</f>
        <v/>
      </c>
      <c r="C138" s="72">
        <f>IF(K138="Vacant","Vac",IF(K138="Model","Model",IF(K138="Admin","Admin",IF(K138="Down","Down",IF(K138="Super","Super","Occ")))))</f>
        <v/>
      </c>
      <c r="D138" s="72">
        <f>INDEX($C$5:$C$14,MATCH(I138,$D$5:$D$14,0))</f>
        <v/>
      </c>
      <c r="E138" s="72">
        <f>INDEX($E$5:$E$14,MATCH(D138,$C$5:$C$14,0))</f>
        <v/>
      </c>
      <c r="F138" s="72">
        <f>INDEX($F$5:$F$14,MATCH(D138,$C$5:$C$14,0))</f>
        <v/>
      </c>
      <c r="G138" s="72">
        <f>INDEX($G$5:$G$14,MATCH(D138,$C$5:$C$14,0))</f>
        <v/>
      </c>
      <c r="H138" s="72" t="inlineStr">
        <is>
          <t>D11</t>
        </is>
      </c>
      <c r="I138" s="72" t="inlineStr">
        <is>
          <t>stjt2B2</t>
        </is>
      </c>
      <c r="J138" s="80" t="n">
        <v>950</v>
      </c>
      <c r="K138" s="72" t="inlineStr">
        <is>
          <t>Micah Brown</t>
        </is>
      </c>
      <c r="L138" s="81" t="n">
        <v>1075</v>
      </c>
      <c r="M138" s="81">
        <f>Y138</f>
        <v/>
      </c>
      <c r="N138" s="82" t="n">
        <v>43082</v>
      </c>
      <c r="O138" s="82" t="n">
        <v>43082</v>
      </c>
      <c r="P138" s="82" t="n">
        <v>46142</v>
      </c>
      <c r="R138" s="81">
        <f>SUM(AB138:AK138)</f>
        <v/>
      </c>
      <c r="S138" s="81">
        <f>SUM(AM138:AQ138)</f>
        <v/>
      </c>
      <c r="T138" s="81">
        <f>SUM(AS138:AW138)</f>
        <v/>
      </c>
      <c r="Y138" s="81" t="n">
        <v>1015</v>
      </c>
    </row>
    <row r="139">
      <c r="A139" s="72">
        <f>$D$27</f>
        <v/>
      </c>
      <c r="B139" s="72">
        <f>B138+1</f>
        <v/>
      </c>
      <c r="C139" s="72">
        <f>IF(K139="Vacant","Vac",IF(K139="Model","Model",IF(K139="Admin","Admin",IF(K139="Down","Down",IF(K139="Super","Super","Occ")))))</f>
        <v/>
      </c>
      <c r="D139" s="72">
        <f>INDEX($C$5:$C$14,MATCH(I139,$D$5:$D$14,0))</f>
        <v/>
      </c>
      <c r="E139" s="72">
        <f>INDEX($E$5:$E$14,MATCH(D139,$C$5:$C$14,0))</f>
        <v/>
      </c>
      <c r="F139" s="72">
        <f>INDEX($F$5:$F$14,MATCH(D139,$C$5:$C$14,0))</f>
        <v/>
      </c>
      <c r="G139" s="72">
        <f>INDEX($G$5:$G$14,MATCH(D139,$C$5:$C$14,0))</f>
        <v/>
      </c>
      <c r="H139" s="72" t="inlineStr">
        <is>
          <t>D12</t>
        </is>
      </c>
      <c r="I139" s="72" t="inlineStr">
        <is>
          <t>stjt2A1R</t>
        </is>
      </c>
      <c r="J139" s="80" t="n">
        <v>850</v>
      </c>
      <c r="K139" s="72" t="inlineStr">
        <is>
          <t>Carlos Romeo Perez Meza</t>
        </is>
      </c>
      <c r="L139" s="81" t="n">
        <v>1055</v>
      </c>
      <c r="M139" s="81">
        <f>Y139</f>
        <v/>
      </c>
      <c r="N139" s="82" t="n">
        <v>45304</v>
      </c>
      <c r="O139" s="82" t="n">
        <v>45304</v>
      </c>
      <c r="P139" s="82" t="n">
        <v>46124</v>
      </c>
      <c r="R139" s="81">
        <f>SUM(AB139:AK139)</f>
        <v/>
      </c>
      <c r="S139" s="81">
        <f>SUM(AM139:AQ139)</f>
        <v/>
      </c>
      <c r="T139" s="81">
        <f>SUM(AS139:AW139)</f>
        <v/>
      </c>
      <c r="Y139" s="81" t="n">
        <v>970</v>
      </c>
    </row>
    <row r="140">
      <c r="A140" s="72">
        <f>$D$27</f>
        <v/>
      </c>
      <c r="B140" s="72">
        <f>B139+1</f>
        <v/>
      </c>
      <c r="C140" s="72">
        <f>IF(K140="Vacant","Vac",IF(K140="Model","Model",IF(K140="Admin","Admin",IF(K140="Down","Down",IF(K140="Super","Super","Occ")))))</f>
        <v/>
      </c>
      <c r="D140" s="72">
        <f>INDEX($C$5:$C$14,MATCH(I140,$D$5:$D$14,0))</f>
        <v/>
      </c>
      <c r="E140" s="72">
        <f>INDEX($E$5:$E$14,MATCH(D140,$C$5:$C$14,0))</f>
        <v/>
      </c>
      <c r="F140" s="72">
        <f>INDEX($F$5:$F$14,MATCH(D140,$C$5:$C$14,0))</f>
        <v/>
      </c>
      <c r="G140" s="72">
        <f>INDEX($G$5:$G$14,MATCH(D140,$C$5:$C$14,0))</f>
        <v/>
      </c>
      <c r="H140" s="72" t="inlineStr">
        <is>
          <t>D13</t>
        </is>
      </c>
      <c r="I140" s="72" t="inlineStr">
        <is>
          <t>stjt2A1</t>
        </is>
      </c>
      <c r="J140" s="80" t="n">
        <v>850</v>
      </c>
      <c r="K140" s="72" t="inlineStr">
        <is>
          <t>Daniela Aguirre Garcia</t>
        </is>
      </c>
      <c r="L140" s="81" t="n">
        <v>975</v>
      </c>
      <c r="M140" s="81">
        <f>Y140</f>
        <v/>
      </c>
      <c r="N140" s="82" t="n">
        <v>45818</v>
      </c>
      <c r="O140" s="82" t="n">
        <v>45818</v>
      </c>
      <c r="P140" s="82" t="n">
        <v>46182</v>
      </c>
      <c r="R140" s="81">
        <f>SUM(AB140:AK140)</f>
        <v/>
      </c>
      <c r="S140" s="81">
        <f>SUM(AM140:AQ140)</f>
        <v/>
      </c>
      <c r="T140" s="81">
        <f>SUM(AS140:AW140)</f>
        <v/>
      </c>
      <c r="Y140" s="81" t="n">
        <v>910</v>
      </c>
    </row>
    <row r="141">
      <c r="A141" s="72">
        <f>$D$27</f>
        <v/>
      </c>
      <c r="B141" s="72">
        <f>B140+1</f>
        <v/>
      </c>
      <c r="C141" s="72">
        <f>IF(K141="Vacant","Vac",IF(K141="Model","Model",IF(K141="Admin","Admin",IF(K141="Down","Down",IF(K141="Super","Super","Occ")))))</f>
        <v/>
      </c>
      <c r="D141" s="72">
        <f>INDEX($C$5:$C$14,MATCH(I141,$D$5:$D$14,0))</f>
        <v/>
      </c>
      <c r="E141" s="72">
        <f>INDEX($E$5:$E$14,MATCH(D141,$C$5:$C$14,0))</f>
        <v/>
      </c>
      <c r="F141" s="72">
        <f>INDEX($F$5:$F$14,MATCH(D141,$C$5:$C$14,0))</f>
        <v/>
      </c>
      <c r="G141" s="72">
        <f>INDEX($G$5:$G$14,MATCH(D141,$C$5:$C$14,0))</f>
        <v/>
      </c>
      <c r="H141" s="72" t="inlineStr">
        <is>
          <t>D14</t>
        </is>
      </c>
      <c r="I141" s="72" t="inlineStr">
        <is>
          <t>stjt2B1</t>
        </is>
      </c>
      <c r="J141" s="80" t="n">
        <v>950</v>
      </c>
      <c r="K141" s="72" t="inlineStr">
        <is>
          <t>Blake Hale</t>
        </is>
      </c>
      <c r="L141" s="81" t="n">
        <v>1020</v>
      </c>
      <c r="M141" s="81">
        <f>Y141</f>
        <v/>
      </c>
      <c r="N141" s="82" t="n">
        <v>45542</v>
      </c>
      <c r="O141" s="82" t="n">
        <v>45542</v>
      </c>
      <c r="P141" s="82" t="n">
        <v>46271</v>
      </c>
      <c r="R141" s="81">
        <f>SUM(AB141:AK141)</f>
        <v/>
      </c>
      <c r="S141" s="81">
        <f>SUM(AM141:AQ141)</f>
        <v/>
      </c>
      <c r="T141" s="81">
        <f>SUM(AS141:AW141)</f>
        <v/>
      </c>
      <c r="Y141" s="81" t="n">
        <v>1039</v>
      </c>
    </row>
    <row r="142">
      <c r="A142" s="72">
        <f>$D$27</f>
        <v/>
      </c>
      <c r="B142" s="72">
        <f>B141+1</f>
        <v/>
      </c>
      <c r="C142" s="72">
        <f>IF(K142="Vacant","Vac",IF(K142="Model","Model",IF(K142="Admin","Admin",IF(K142="Down","Down",IF(K142="Super","Super","Occ")))))</f>
        <v/>
      </c>
      <c r="D142" s="72">
        <f>INDEX($C$5:$C$14,MATCH(I142,$D$5:$D$14,0))</f>
        <v/>
      </c>
      <c r="E142" s="72">
        <f>INDEX($E$5:$E$14,MATCH(D142,$C$5:$C$14,0))</f>
        <v/>
      </c>
      <c r="F142" s="72">
        <f>INDEX($F$5:$F$14,MATCH(D142,$C$5:$C$14,0))</f>
        <v/>
      </c>
      <c r="G142" s="72">
        <f>INDEX($G$5:$G$14,MATCH(D142,$C$5:$C$14,0))</f>
        <v/>
      </c>
      <c r="H142" s="72" t="inlineStr">
        <is>
          <t>D15</t>
        </is>
      </c>
      <c r="I142" s="72" t="inlineStr">
        <is>
          <t>stjt2A1</t>
        </is>
      </c>
      <c r="J142" s="80" t="n">
        <v>850</v>
      </c>
      <c r="K142" s="72" t="inlineStr">
        <is>
          <t>Brittney Harkins</t>
        </is>
      </c>
      <c r="L142" s="81" t="n">
        <v>975</v>
      </c>
      <c r="M142" s="81">
        <f>Y142</f>
        <v/>
      </c>
      <c r="N142" s="82" t="n">
        <v>43361</v>
      </c>
      <c r="O142" s="82" t="n">
        <v>43361</v>
      </c>
      <c r="P142" s="82" t="n">
        <v>46457</v>
      </c>
      <c r="R142" s="81">
        <f>SUM(AB142:AK142)</f>
        <v/>
      </c>
      <c r="S142" s="81">
        <f>SUM(AM142:AQ142)</f>
        <v/>
      </c>
      <c r="T142" s="81">
        <f>SUM(AS142:AW142)</f>
        <v/>
      </c>
      <c r="Y142" s="81" t="n">
        <v>910</v>
      </c>
    </row>
    <row r="143">
      <c r="A143" s="72">
        <f>$D$27</f>
        <v/>
      </c>
      <c r="B143" s="72">
        <f>B142+1</f>
        <v/>
      </c>
      <c r="C143" s="72">
        <f>IF(K143="Vacant","Vac",IF(K143="Model","Model",IF(K143="Admin","Admin",IF(K143="Down","Down",IF(K143="Super","Super","Occ")))))</f>
        <v/>
      </c>
      <c r="D143" s="72">
        <f>INDEX($C$5:$C$14,MATCH(I143,$D$5:$D$14,0))</f>
        <v/>
      </c>
      <c r="E143" s="72">
        <f>INDEX($E$5:$E$14,MATCH(D143,$C$5:$C$14,0))</f>
        <v/>
      </c>
      <c r="F143" s="72">
        <f>INDEX($F$5:$F$14,MATCH(D143,$C$5:$C$14,0))</f>
        <v/>
      </c>
      <c r="G143" s="72">
        <f>INDEX($G$5:$G$14,MATCH(D143,$C$5:$C$14,0))</f>
        <v/>
      </c>
      <c r="H143" s="72" t="inlineStr">
        <is>
          <t>D16</t>
        </is>
      </c>
      <c r="I143" s="72" t="inlineStr">
        <is>
          <t>stjt2B1</t>
        </is>
      </c>
      <c r="J143" s="80" t="n">
        <v>950</v>
      </c>
      <c r="K143" s="72" t="inlineStr">
        <is>
          <t>Tammie Stapleton</t>
        </is>
      </c>
      <c r="L143" s="81" t="n">
        <v>1020</v>
      </c>
      <c r="M143" s="81">
        <f>Y143</f>
        <v/>
      </c>
      <c r="N143" s="82" t="n">
        <v>45688</v>
      </c>
      <c r="O143" s="82" t="n">
        <v>45688</v>
      </c>
      <c r="P143" s="82" t="n">
        <v>46233</v>
      </c>
      <c r="R143" s="81">
        <f>SUM(AB143:AK143)</f>
        <v/>
      </c>
      <c r="S143" s="81">
        <f>SUM(AM143:AQ143)</f>
        <v/>
      </c>
      <c r="T143" s="81">
        <f>SUM(AS143:AW143)</f>
        <v/>
      </c>
      <c r="Y143" s="81" t="n">
        <v>950</v>
      </c>
    </row>
    <row r="144">
      <c r="A144" s="72">
        <f>$D$27</f>
        <v/>
      </c>
      <c r="B144" s="72">
        <f>B143+1</f>
        <v/>
      </c>
      <c r="C144" s="72">
        <f>IF(K144="Vacant","Vac",IF(K144="Model","Model",IF(K144="Admin","Admin",IF(K144="Down","Down",IF(K144="Super","Super","Occ")))))</f>
        <v/>
      </c>
      <c r="D144" s="72">
        <f>INDEX($C$5:$C$14,MATCH(I144,$D$5:$D$14,0))</f>
        <v/>
      </c>
      <c r="E144" s="72">
        <f>INDEX($E$5:$E$14,MATCH(D144,$C$5:$C$14,0))</f>
        <v/>
      </c>
      <c r="F144" s="72">
        <f>INDEX($F$5:$F$14,MATCH(D144,$C$5:$C$14,0))</f>
        <v/>
      </c>
      <c r="G144" s="72">
        <f>INDEX($G$5:$G$14,MATCH(D144,$C$5:$C$14,0))</f>
        <v/>
      </c>
      <c r="H144" s="72" t="inlineStr">
        <is>
          <t>D17</t>
        </is>
      </c>
      <c r="I144" s="72" t="inlineStr">
        <is>
          <t>stjt2A1</t>
        </is>
      </c>
      <c r="J144" s="80" t="n">
        <v>850</v>
      </c>
      <c r="K144" s="72" t="inlineStr">
        <is>
          <t>James Monroe</t>
        </is>
      </c>
      <c r="L144" s="81" t="n">
        <v>990</v>
      </c>
      <c r="M144" s="81">
        <f>Y144</f>
        <v/>
      </c>
      <c r="N144" s="82" t="n">
        <v>46102</v>
      </c>
      <c r="O144" s="82" t="n">
        <v>46102</v>
      </c>
      <c r="P144" s="82" t="n">
        <v>46466</v>
      </c>
      <c r="R144" s="81">
        <f>SUM(AB144:AK144)</f>
        <v/>
      </c>
      <c r="S144" s="81">
        <f>SUM(AM144:AQ144)</f>
        <v/>
      </c>
      <c r="T144" s="81">
        <f>SUM(AS144:AW144)</f>
        <v/>
      </c>
      <c r="Y144" s="81" t="n">
        <v>975</v>
      </c>
    </row>
    <row r="145">
      <c r="A145" s="72">
        <f>$D$27</f>
        <v/>
      </c>
      <c r="B145" s="72">
        <f>B144+1</f>
        <v/>
      </c>
      <c r="C145" s="72">
        <f>IF(K145="Vacant","Vac",IF(K145="Model","Model",IF(K145="Admin","Admin",IF(K145="Down","Down",IF(K145="Super","Super","Occ")))))</f>
        <v/>
      </c>
      <c r="D145" s="72">
        <f>INDEX($C$5:$C$14,MATCH(I145,$D$5:$D$14,0))</f>
        <v/>
      </c>
      <c r="E145" s="72">
        <f>INDEX($E$5:$E$14,MATCH(D145,$C$5:$C$14,0))</f>
        <v/>
      </c>
      <c r="F145" s="72">
        <f>INDEX($F$5:$F$14,MATCH(D145,$C$5:$C$14,0))</f>
        <v/>
      </c>
      <c r="G145" s="72">
        <f>INDEX($G$5:$G$14,MATCH(D145,$C$5:$C$14,0))</f>
        <v/>
      </c>
      <c r="H145" s="72" t="inlineStr">
        <is>
          <t>D18</t>
        </is>
      </c>
      <c r="I145" s="72" t="inlineStr">
        <is>
          <t>stjt2B1R</t>
        </is>
      </c>
      <c r="J145" s="80" t="n">
        <v>950</v>
      </c>
      <c r="K145" s="72" t="inlineStr">
        <is>
          <t>Gerson Rivera</t>
        </is>
      </c>
      <c r="L145" s="81" t="n">
        <v>1135</v>
      </c>
      <c r="M145" s="81">
        <f>Y145</f>
        <v/>
      </c>
      <c r="N145" s="82" t="n">
        <v>44898</v>
      </c>
      <c r="O145" s="82" t="n">
        <v>44898</v>
      </c>
      <c r="P145" s="82" t="n">
        <v>46175</v>
      </c>
      <c r="R145" s="81">
        <f>SUM(AB145:AK145)</f>
        <v/>
      </c>
      <c r="S145" s="81">
        <f>SUM(AM145:AQ145)</f>
        <v/>
      </c>
      <c r="T145" s="81">
        <f>SUM(AS145:AW145)</f>
        <v/>
      </c>
      <c r="Y145" s="81" t="n">
        <v>1080</v>
      </c>
    </row>
    <row r="146">
      <c r="A146" s="72">
        <f>$D$27</f>
        <v/>
      </c>
      <c r="B146" s="72">
        <f>B145+1</f>
        <v/>
      </c>
      <c r="C146" s="72">
        <f>IF(K146="Vacant","Vac",IF(K146="Model","Model",IF(K146="Admin","Admin",IF(K146="Down","Down",IF(K146="Super","Super","Occ")))))</f>
        <v/>
      </c>
      <c r="D146" s="72">
        <f>INDEX($C$5:$C$14,MATCH(I146,$D$5:$D$14,0))</f>
        <v/>
      </c>
      <c r="E146" s="72">
        <f>INDEX($E$5:$E$14,MATCH(D146,$C$5:$C$14,0))</f>
        <v/>
      </c>
      <c r="F146" s="72">
        <f>INDEX($F$5:$F$14,MATCH(D146,$C$5:$C$14,0))</f>
        <v/>
      </c>
      <c r="G146" s="72">
        <f>INDEX($G$5:$G$14,MATCH(D146,$C$5:$C$14,0))</f>
        <v/>
      </c>
      <c r="H146" s="72" t="inlineStr">
        <is>
          <t>D19</t>
        </is>
      </c>
      <c r="I146" s="72" t="inlineStr">
        <is>
          <t>stjt2A1R</t>
        </is>
      </c>
      <c r="J146" s="80" t="n">
        <v>850</v>
      </c>
      <c r="K146" s="72" t="inlineStr">
        <is>
          <t>Nicolas Mayer</t>
        </is>
      </c>
      <c r="L146" s="81" t="n">
        <v>1055</v>
      </c>
      <c r="M146" s="81">
        <f>Y146</f>
        <v/>
      </c>
      <c r="N146" s="82" t="n">
        <v>45791</v>
      </c>
      <c r="O146" s="82" t="n">
        <v>45791</v>
      </c>
      <c r="P146" s="82" t="n">
        <v>46155</v>
      </c>
      <c r="R146" s="81">
        <f>SUM(AB146:AK146)</f>
        <v/>
      </c>
      <c r="S146" s="81">
        <f>SUM(AM146:AQ146)</f>
        <v/>
      </c>
      <c r="T146" s="81">
        <f>SUM(AS146:AW146)</f>
        <v/>
      </c>
      <c r="Y146" s="81" t="n">
        <v>1040</v>
      </c>
    </row>
    <row r="147">
      <c r="A147" s="72">
        <f>$D$27</f>
        <v/>
      </c>
      <c r="B147" s="72">
        <f>B146+1</f>
        <v/>
      </c>
      <c r="C147" s="72">
        <f>IF(K147="Vacant","Vac",IF(K147="Model","Model",IF(K147="Admin","Admin",IF(K147="Down","Down",IF(K147="Super","Super","Occ")))))</f>
        <v/>
      </c>
      <c r="D147" s="72">
        <f>INDEX($C$5:$C$14,MATCH(I147,$D$5:$D$14,0))</f>
        <v/>
      </c>
      <c r="E147" s="72">
        <f>INDEX($E$5:$E$14,MATCH(D147,$C$5:$C$14,0))</f>
        <v/>
      </c>
      <c r="F147" s="72">
        <f>INDEX($F$5:$F$14,MATCH(D147,$C$5:$C$14,0))</f>
        <v/>
      </c>
      <c r="G147" s="72">
        <f>INDEX($G$5:$G$14,MATCH(D147,$C$5:$C$14,0))</f>
        <v/>
      </c>
      <c r="H147" s="72" t="inlineStr">
        <is>
          <t>D20</t>
        </is>
      </c>
      <c r="I147" s="72" t="inlineStr">
        <is>
          <t>stjt2B1</t>
        </is>
      </c>
      <c r="J147" s="80" t="n">
        <v>950</v>
      </c>
      <c r="K147" s="72" t="inlineStr">
        <is>
          <t>Angela Johnson</t>
        </is>
      </c>
      <c r="L147" s="81" t="n">
        <v>1035</v>
      </c>
      <c r="M147" s="81">
        <f>Y147</f>
        <v/>
      </c>
      <c r="N147" s="82" t="n">
        <v>45399</v>
      </c>
      <c r="O147" s="82" t="n">
        <v>45399</v>
      </c>
      <c r="P147" s="82" t="n">
        <v>46511</v>
      </c>
      <c r="R147" s="81">
        <f>SUM(AB147:AK147)</f>
        <v/>
      </c>
      <c r="S147" s="81">
        <f>SUM(AM147:AQ147)</f>
        <v/>
      </c>
      <c r="T147" s="81">
        <f>SUM(AS147:AW147)</f>
        <v/>
      </c>
      <c r="Y147" s="81" t="n">
        <v>1000</v>
      </c>
    </row>
    <row r="148">
      <c r="A148" s="72">
        <f>$D$27</f>
        <v/>
      </c>
      <c r="B148" s="72">
        <f>B147+1</f>
        <v/>
      </c>
      <c r="C148" s="72">
        <f>IF(K148="Vacant","Vac",IF(K148="Model","Model",IF(K148="Admin","Admin",IF(K148="Down","Down",IF(K148="Super","Super","Occ")))))</f>
        <v/>
      </c>
      <c r="D148" s="72">
        <f>INDEX($C$5:$C$14,MATCH(I148,$D$5:$D$14,0))</f>
        <v/>
      </c>
      <c r="E148" s="72">
        <f>INDEX($E$5:$E$14,MATCH(D148,$C$5:$C$14,0))</f>
        <v/>
      </c>
      <c r="F148" s="72">
        <f>INDEX($F$5:$F$14,MATCH(D148,$C$5:$C$14,0))</f>
        <v/>
      </c>
      <c r="G148" s="72">
        <f>INDEX($G$5:$G$14,MATCH(D148,$C$5:$C$14,0))</f>
        <v/>
      </c>
      <c r="H148" s="72" t="inlineStr">
        <is>
          <t>D21</t>
        </is>
      </c>
      <c r="I148" s="72" t="inlineStr">
        <is>
          <t>stjt2A1</t>
        </is>
      </c>
      <c r="J148" s="80" t="n">
        <v>850</v>
      </c>
      <c r="K148" s="72" t="inlineStr">
        <is>
          <t>VACANT</t>
        </is>
      </c>
      <c r="L148" s="81" t="n">
        <v>990</v>
      </c>
      <c r="M148" s="81">
        <f>Y148</f>
        <v/>
      </c>
      <c r="R148" s="81">
        <f>SUM(AB148:AK148)</f>
        <v/>
      </c>
      <c r="S148" s="81">
        <f>SUM(AM148:AQ148)</f>
        <v/>
      </c>
      <c r="T148" s="81">
        <f>SUM(AS148:AW148)</f>
        <v/>
      </c>
      <c r="Y148" s="81" t="n">
        <v>0</v>
      </c>
    </row>
    <row r="149">
      <c r="A149" s="72">
        <f>$D$27</f>
        <v/>
      </c>
      <c r="B149" s="72">
        <f>B148+1</f>
        <v/>
      </c>
      <c r="C149" s="72">
        <f>IF(K149="Vacant","Vac",IF(K149="Model","Model",IF(K149="Admin","Admin",IF(K149="Down","Down",IF(K149="Super","Super","Occ")))))</f>
        <v/>
      </c>
      <c r="D149" s="72">
        <f>INDEX($C$5:$C$14,MATCH(I149,$D$5:$D$14,0))</f>
        <v/>
      </c>
      <c r="E149" s="72">
        <f>INDEX($E$5:$E$14,MATCH(D149,$C$5:$C$14,0))</f>
        <v/>
      </c>
      <c r="F149" s="72">
        <f>INDEX($F$5:$F$14,MATCH(D149,$C$5:$C$14,0))</f>
        <v/>
      </c>
      <c r="G149" s="72">
        <f>INDEX($G$5:$G$14,MATCH(D149,$C$5:$C$14,0))</f>
        <v/>
      </c>
      <c r="H149" s="72" t="inlineStr">
        <is>
          <t>D22</t>
        </is>
      </c>
      <c r="I149" s="72" t="inlineStr">
        <is>
          <t>stjt2B1R</t>
        </is>
      </c>
      <c r="J149" s="80" t="n">
        <v>950</v>
      </c>
      <c r="K149" s="72" t="inlineStr">
        <is>
          <t>Kyanna Edwards</t>
        </is>
      </c>
      <c r="L149" s="81" t="n">
        <v>1135</v>
      </c>
      <c r="M149" s="81">
        <f>Y149</f>
        <v/>
      </c>
      <c r="N149" s="82" t="n">
        <v>45765</v>
      </c>
      <c r="O149" s="82" t="n">
        <v>45765</v>
      </c>
      <c r="P149" s="82" t="n">
        <v>46220</v>
      </c>
      <c r="R149" s="81">
        <f>SUM(AB149:AK149)</f>
        <v/>
      </c>
      <c r="S149" s="81">
        <f>SUM(AM149:AQ149)</f>
        <v/>
      </c>
      <c r="T149" s="81">
        <f>SUM(AS149:AW149)</f>
        <v/>
      </c>
      <c r="Y149" s="81" t="n">
        <v>1060</v>
      </c>
    </row>
    <row r="150">
      <c r="A150" s="72">
        <f>$D$27</f>
        <v/>
      </c>
      <c r="B150" s="72">
        <f>B149+1</f>
        <v/>
      </c>
      <c r="C150" s="72">
        <f>IF(K150="Vacant","Vac",IF(K150="Model","Model",IF(K150="Admin","Admin",IF(K150="Down","Down",IF(K150="Super","Super","Occ")))))</f>
        <v/>
      </c>
      <c r="D150" s="72">
        <f>INDEX($C$5:$C$14,MATCH(I150,$D$5:$D$14,0))</f>
        <v/>
      </c>
      <c r="E150" s="72">
        <f>INDEX($E$5:$E$14,MATCH(D150,$C$5:$C$14,0))</f>
        <v/>
      </c>
      <c r="F150" s="72">
        <f>INDEX($F$5:$F$14,MATCH(D150,$C$5:$C$14,0))</f>
        <v/>
      </c>
      <c r="G150" s="72">
        <f>INDEX($G$5:$G$14,MATCH(D150,$C$5:$C$14,0))</f>
        <v/>
      </c>
      <c r="H150" s="72" t="inlineStr">
        <is>
          <t>D23</t>
        </is>
      </c>
      <c r="I150" s="72" t="inlineStr">
        <is>
          <t>stjt2A1</t>
        </is>
      </c>
      <c r="J150" s="80" t="n">
        <v>850</v>
      </c>
      <c r="K150" s="72" t="inlineStr">
        <is>
          <t>Nicole Hicks</t>
        </is>
      </c>
      <c r="L150" s="81" t="n">
        <v>990</v>
      </c>
      <c r="M150" s="81">
        <f>Y150</f>
        <v/>
      </c>
      <c r="N150" s="82" t="n">
        <v>45373</v>
      </c>
      <c r="O150" s="82" t="n">
        <v>45373</v>
      </c>
      <c r="P150" s="82" t="n">
        <v>46102</v>
      </c>
      <c r="R150" s="81">
        <f>SUM(AB150:AK150)</f>
        <v/>
      </c>
      <c r="S150" s="81">
        <f>SUM(AM150:AQ150)</f>
        <v/>
      </c>
      <c r="T150" s="81">
        <f>SUM(AS150:AW150)</f>
        <v/>
      </c>
      <c r="Y150" s="81" t="n">
        <v>890</v>
      </c>
    </row>
    <row r="151">
      <c r="A151" s="72">
        <f>$D$27</f>
        <v/>
      </c>
      <c r="B151" s="72">
        <f>B150+1</f>
        <v/>
      </c>
      <c r="C151" s="72">
        <f>IF(K151="Vacant","Vac",IF(K151="Model","Model",IF(K151="Admin","Admin",IF(K151="Down","Down",IF(K151="Super","Super","Occ")))))</f>
        <v/>
      </c>
      <c r="D151" s="72">
        <f>INDEX($C$5:$C$14,MATCH(I151,$D$5:$D$14,0))</f>
        <v/>
      </c>
      <c r="E151" s="72">
        <f>INDEX($E$5:$E$14,MATCH(D151,$C$5:$C$14,0))</f>
        <v/>
      </c>
      <c r="F151" s="72">
        <f>INDEX($F$5:$F$14,MATCH(D151,$C$5:$C$14,0))</f>
        <v/>
      </c>
      <c r="G151" s="72">
        <f>INDEX($G$5:$G$14,MATCH(D151,$C$5:$C$14,0))</f>
        <v/>
      </c>
      <c r="H151" s="72" t="inlineStr">
        <is>
          <t>D24</t>
        </is>
      </c>
      <c r="I151" s="72" t="inlineStr">
        <is>
          <t>stjt2B2R</t>
        </is>
      </c>
      <c r="J151" s="80" t="n">
        <v>950</v>
      </c>
      <c r="K151" s="72" t="inlineStr">
        <is>
          <t>Ciara James</t>
        </is>
      </c>
      <c r="L151" s="81" t="n">
        <v>1214</v>
      </c>
      <c r="M151" s="81">
        <f>Y151</f>
        <v/>
      </c>
      <c r="N151" s="82" t="n">
        <v>46099</v>
      </c>
      <c r="O151" s="82" t="n">
        <v>46099</v>
      </c>
      <c r="P151" s="82" t="n">
        <v>46463</v>
      </c>
      <c r="R151" s="81">
        <f>SUM(AB151:AK151)</f>
        <v/>
      </c>
      <c r="S151" s="81">
        <f>SUM(AM151:AQ151)</f>
        <v/>
      </c>
      <c r="T151" s="81">
        <f>SUM(AS151:AW151)</f>
        <v/>
      </c>
      <c r="Y151" s="81" t="n">
        <v>1190</v>
      </c>
    </row>
    <row r="152">
      <c r="A152" s="72">
        <f>$D$27</f>
        <v/>
      </c>
      <c r="B152" s="72">
        <f>B151+1</f>
        <v/>
      </c>
      <c r="C152" s="72">
        <f>IF(K152="Vacant","Vac",IF(K152="Model","Model",IF(K152="Admin","Admin",IF(K152="Down","Down",IF(K152="Super","Super","Occ")))))</f>
        <v/>
      </c>
      <c r="D152" s="72">
        <f>INDEX($C$5:$C$14,MATCH(I152,$D$5:$D$14,0))</f>
        <v/>
      </c>
      <c r="E152" s="72">
        <f>INDEX($E$5:$E$14,MATCH(D152,$C$5:$C$14,0))</f>
        <v/>
      </c>
      <c r="F152" s="72">
        <f>INDEX($F$5:$F$14,MATCH(D152,$C$5:$C$14,0))</f>
        <v/>
      </c>
      <c r="G152" s="72">
        <f>INDEX($G$5:$G$14,MATCH(D152,$C$5:$C$14,0))</f>
        <v/>
      </c>
      <c r="H152" s="72" t="inlineStr">
        <is>
          <t>E01</t>
        </is>
      </c>
      <c r="I152" s="72" t="inlineStr">
        <is>
          <t>stjt2B1R</t>
        </is>
      </c>
      <c r="J152" s="80" t="n">
        <v>950</v>
      </c>
      <c r="K152" s="72" t="inlineStr">
        <is>
          <t>Caleb Webber</t>
        </is>
      </c>
      <c r="L152" s="81" t="n">
        <v>1120</v>
      </c>
      <c r="M152" s="81">
        <f>Y152</f>
        <v/>
      </c>
      <c r="N152" s="82" t="n">
        <v>45723</v>
      </c>
      <c r="O152" s="82" t="n">
        <v>45723</v>
      </c>
      <c r="P152" s="82" t="n">
        <v>46179</v>
      </c>
      <c r="R152" s="81">
        <f>SUM(AB152:AK152)</f>
        <v/>
      </c>
      <c r="S152" s="81">
        <f>SUM(AM152:AQ152)</f>
        <v/>
      </c>
      <c r="T152" s="81">
        <f>SUM(AS152:AW152)</f>
        <v/>
      </c>
      <c r="Y152" s="81" t="n">
        <v>1050</v>
      </c>
    </row>
    <row r="153">
      <c r="A153" s="72">
        <f>$D$27</f>
        <v/>
      </c>
      <c r="B153" s="72">
        <f>B152+1</f>
        <v/>
      </c>
      <c r="C153" s="72">
        <f>IF(K153="Vacant","Vac",IF(K153="Model","Model",IF(K153="Admin","Admin",IF(K153="Down","Down",IF(K153="Super","Super","Occ")))))</f>
        <v/>
      </c>
      <c r="D153" s="72">
        <f>INDEX($C$5:$C$14,MATCH(I153,$D$5:$D$14,0))</f>
        <v/>
      </c>
      <c r="E153" s="72">
        <f>INDEX($E$5:$E$14,MATCH(D153,$C$5:$C$14,0))</f>
        <v/>
      </c>
      <c r="F153" s="72">
        <f>INDEX($F$5:$F$14,MATCH(D153,$C$5:$C$14,0))</f>
        <v/>
      </c>
      <c r="G153" s="72">
        <f>INDEX($G$5:$G$14,MATCH(D153,$C$5:$C$14,0))</f>
        <v/>
      </c>
      <c r="H153" s="72" t="inlineStr">
        <is>
          <t>E02</t>
        </is>
      </c>
      <c r="I153" s="72" t="inlineStr">
        <is>
          <t>stjt2B1</t>
        </is>
      </c>
      <c r="J153" s="80" t="n">
        <v>950</v>
      </c>
      <c r="K153" s="72" t="inlineStr">
        <is>
          <t>VACANT</t>
        </is>
      </c>
      <c r="L153" s="81" t="n">
        <v>965</v>
      </c>
      <c r="M153" s="81">
        <f>Y153</f>
        <v/>
      </c>
      <c r="R153" s="81">
        <f>SUM(AB153:AK153)</f>
        <v/>
      </c>
      <c r="S153" s="81">
        <f>SUM(AM153:AQ153)</f>
        <v/>
      </c>
      <c r="T153" s="81">
        <f>SUM(AS153:AW153)</f>
        <v/>
      </c>
      <c r="Y153" s="81" t="n">
        <v>0</v>
      </c>
    </row>
    <row r="154">
      <c r="A154" s="72">
        <f>$D$27</f>
        <v/>
      </c>
      <c r="B154" s="72">
        <f>B153+1</f>
        <v/>
      </c>
      <c r="C154" s="72">
        <f>IF(K154="Vacant","Vac",IF(K154="Model","Model",IF(K154="Admin","Admin",IF(K154="Down","Down",IF(K154="Super","Super","Occ")))))</f>
        <v/>
      </c>
      <c r="D154" s="72">
        <f>INDEX($C$5:$C$14,MATCH(I154,$D$5:$D$14,0))</f>
        <v/>
      </c>
      <c r="E154" s="72">
        <f>INDEX($E$5:$E$14,MATCH(D154,$C$5:$C$14,0))</f>
        <v/>
      </c>
      <c r="F154" s="72">
        <f>INDEX($F$5:$F$14,MATCH(D154,$C$5:$C$14,0))</f>
        <v/>
      </c>
      <c r="G154" s="72">
        <f>INDEX($G$5:$G$14,MATCH(D154,$C$5:$C$14,0))</f>
        <v/>
      </c>
      <c r="H154" s="72" t="inlineStr">
        <is>
          <t>E03</t>
        </is>
      </c>
      <c r="I154" s="72" t="inlineStr">
        <is>
          <t>stjt2B2</t>
        </is>
      </c>
      <c r="J154" s="80" t="n">
        <v>950</v>
      </c>
      <c r="K154" s="72" t="inlineStr">
        <is>
          <t>Jarlin Moncada Isuiguirrez</t>
        </is>
      </c>
      <c r="L154" s="81" t="n">
        <v>1060</v>
      </c>
      <c r="M154" s="81">
        <f>Y154</f>
        <v/>
      </c>
      <c r="N154" s="82" t="n">
        <v>46066</v>
      </c>
      <c r="O154" s="82" t="n">
        <v>46066</v>
      </c>
      <c r="P154" s="82" t="n">
        <v>46430</v>
      </c>
      <c r="R154" s="81">
        <f>SUM(AB154:AK154)</f>
        <v/>
      </c>
      <c r="S154" s="81">
        <f>SUM(AM154:AQ154)</f>
        <v/>
      </c>
      <c r="T154" s="81">
        <f>SUM(AS154:AW154)</f>
        <v/>
      </c>
      <c r="Y154" s="81" t="n">
        <v>1000</v>
      </c>
    </row>
    <row r="155">
      <c r="A155" s="72">
        <f>$D$27</f>
        <v/>
      </c>
      <c r="B155" s="72">
        <f>B154+1</f>
        <v/>
      </c>
      <c r="C155" s="72">
        <f>IF(K155="Vacant","Vac",IF(K155="Model","Model",IF(K155="Admin","Admin",IF(K155="Down","Down",IF(K155="Super","Super","Occ")))))</f>
        <v/>
      </c>
      <c r="D155" s="72">
        <f>INDEX($C$5:$C$14,MATCH(I155,$D$5:$D$14,0))</f>
        <v/>
      </c>
      <c r="E155" s="72">
        <f>INDEX($E$5:$E$14,MATCH(D155,$C$5:$C$14,0))</f>
        <v/>
      </c>
      <c r="F155" s="72">
        <f>INDEX($F$5:$F$14,MATCH(D155,$C$5:$C$14,0))</f>
        <v/>
      </c>
      <c r="G155" s="72">
        <f>INDEX($G$5:$G$14,MATCH(D155,$C$5:$C$14,0))</f>
        <v/>
      </c>
      <c r="H155" s="72" t="inlineStr">
        <is>
          <t>E04</t>
        </is>
      </c>
      <c r="I155" s="72" t="inlineStr">
        <is>
          <t>stjt2B2R</t>
        </is>
      </c>
      <c r="J155" s="80" t="n">
        <v>950</v>
      </c>
      <c r="K155" s="72" t="inlineStr">
        <is>
          <t>Celeste Collman</t>
        </is>
      </c>
      <c r="L155" s="81" t="n">
        <v>1199</v>
      </c>
      <c r="M155" s="81">
        <f>Y155</f>
        <v/>
      </c>
      <c r="N155" s="82" t="n">
        <v>45702</v>
      </c>
      <c r="O155" s="82" t="n">
        <v>45702</v>
      </c>
      <c r="P155" s="82" t="n">
        <v>46247</v>
      </c>
      <c r="R155" s="81">
        <f>SUM(AB155:AK155)</f>
        <v/>
      </c>
      <c r="S155" s="81">
        <f>SUM(AM155:AQ155)</f>
        <v/>
      </c>
      <c r="T155" s="81">
        <f>SUM(AS155:AW155)</f>
        <v/>
      </c>
      <c r="Y155" s="81" t="n">
        <v>1175</v>
      </c>
    </row>
    <row r="156">
      <c r="A156" s="72">
        <f>$D$27</f>
        <v/>
      </c>
      <c r="B156" s="72">
        <f>B155+1</f>
        <v/>
      </c>
      <c r="C156" s="72">
        <f>IF(K156="Vacant","Vac",IF(K156="Model","Model",IF(K156="Admin","Admin",IF(K156="Down","Down",IF(K156="Super","Super","Occ")))))</f>
        <v/>
      </c>
      <c r="D156" s="72">
        <f>INDEX($C$5:$C$14,MATCH(I156,$D$5:$D$14,0))</f>
        <v/>
      </c>
      <c r="E156" s="72">
        <f>INDEX($E$5:$E$14,MATCH(D156,$C$5:$C$14,0))</f>
        <v/>
      </c>
      <c r="F156" s="72">
        <f>INDEX($F$5:$F$14,MATCH(D156,$C$5:$C$14,0))</f>
        <v/>
      </c>
      <c r="G156" s="72">
        <f>INDEX($G$5:$G$14,MATCH(D156,$C$5:$C$14,0))</f>
        <v/>
      </c>
      <c r="H156" s="72" t="inlineStr">
        <is>
          <t>E05</t>
        </is>
      </c>
      <c r="I156" s="72" t="inlineStr">
        <is>
          <t>stjt2B1</t>
        </is>
      </c>
      <c r="J156" s="80" t="n">
        <v>950</v>
      </c>
      <c r="K156" s="72" t="inlineStr">
        <is>
          <t>John Vargas</t>
        </is>
      </c>
      <c r="L156" s="81" t="n">
        <v>1035</v>
      </c>
      <c r="M156" s="81">
        <f>Y156</f>
        <v/>
      </c>
      <c r="N156" s="82" t="n">
        <v>46050</v>
      </c>
      <c r="O156" s="82" t="n">
        <v>46050</v>
      </c>
      <c r="P156" s="82" t="n">
        <v>46414</v>
      </c>
      <c r="R156" s="81">
        <f>SUM(AB156:AK156)</f>
        <v/>
      </c>
      <c r="S156" s="81">
        <f>SUM(AM156:AQ156)</f>
        <v/>
      </c>
      <c r="T156" s="81">
        <f>SUM(AS156:AW156)</f>
        <v/>
      </c>
      <c r="Y156" s="81" t="n">
        <v>1025</v>
      </c>
    </row>
    <row r="157">
      <c r="A157" s="72">
        <f>$D$27</f>
        <v/>
      </c>
      <c r="B157" s="72">
        <f>B156+1</f>
        <v/>
      </c>
      <c r="C157" s="72">
        <f>IF(K157="Vacant","Vac",IF(K157="Model","Model",IF(K157="Admin","Admin",IF(K157="Down","Down",IF(K157="Super","Super","Occ")))))</f>
        <v/>
      </c>
      <c r="D157" s="72">
        <f>INDEX($C$5:$C$14,MATCH(I157,$D$5:$D$14,0))</f>
        <v/>
      </c>
      <c r="E157" s="72">
        <f>INDEX($E$5:$E$14,MATCH(D157,$C$5:$C$14,0))</f>
        <v/>
      </c>
      <c r="F157" s="72">
        <f>INDEX($F$5:$F$14,MATCH(D157,$C$5:$C$14,0))</f>
        <v/>
      </c>
      <c r="G157" s="72">
        <f>INDEX($G$5:$G$14,MATCH(D157,$C$5:$C$14,0))</f>
        <v/>
      </c>
      <c r="H157" s="72" t="inlineStr">
        <is>
          <t>E06</t>
        </is>
      </c>
      <c r="I157" s="72" t="inlineStr">
        <is>
          <t>stjt2B1R</t>
        </is>
      </c>
      <c r="J157" s="80" t="n">
        <v>950</v>
      </c>
      <c r="K157" s="72" t="inlineStr">
        <is>
          <t>Model</t>
        </is>
      </c>
      <c r="L157" s="81" t="n">
        <v>1135</v>
      </c>
      <c r="M157" s="81">
        <f>Y157</f>
        <v/>
      </c>
      <c r="R157" s="81">
        <f>SUM(AB157:AK157)</f>
        <v/>
      </c>
      <c r="S157" s="81">
        <f>SUM(AM157:AQ157)</f>
        <v/>
      </c>
      <c r="T157" s="81">
        <f>SUM(AS157:AW157)</f>
        <v/>
      </c>
      <c r="Y157" s="81" t="n">
        <v>1135</v>
      </c>
      <c r="AM157" s="81" t="n">
        <v>-1135</v>
      </c>
    </row>
    <row r="158">
      <c r="A158" s="72">
        <f>$D$27</f>
        <v/>
      </c>
      <c r="B158" s="72">
        <f>B157+1</f>
        <v/>
      </c>
      <c r="C158" s="72">
        <f>IF(K158="Vacant","Vac",IF(K158="Model","Model",IF(K158="Admin","Admin",IF(K158="Down","Down",IF(K158="Super","Super","Occ")))))</f>
        <v/>
      </c>
      <c r="D158" s="72">
        <f>INDEX($C$5:$C$14,MATCH(I158,$D$5:$D$14,0))</f>
        <v/>
      </c>
      <c r="E158" s="72">
        <f>INDEX($E$5:$E$14,MATCH(D158,$C$5:$C$14,0))</f>
        <v/>
      </c>
      <c r="F158" s="72">
        <f>INDEX($F$5:$F$14,MATCH(D158,$C$5:$C$14,0))</f>
        <v/>
      </c>
      <c r="G158" s="72">
        <f>INDEX($G$5:$G$14,MATCH(D158,$C$5:$C$14,0))</f>
        <v/>
      </c>
      <c r="H158" s="72" t="inlineStr">
        <is>
          <t>E07</t>
        </is>
      </c>
      <c r="I158" s="72" t="inlineStr">
        <is>
          <t>stjt2B2</t>
        </is>
      </c>
      <c r="J158" s="80" t="n">
        <v>950</v>
      </c>
      <c r="K158" s="72" t="inlineStr">
        <is>
          <t>Jeffrey Walker</t>
        </is>
      </c>
      <c r="L158" s="81" t="n">
        <v>1075</v>
      </c>
      <c r="M158" s="81">
        <f>Y158</f>
        <v/>
      </c>
      <c r="N158" s="82" t="n">
        <v>43957</v>
      </c>
      <c r="O158" s="82" t="n">
        <v>43957</v>
      </c>
      <c r="P158" s="82" t="n">
        <v>46178</v>
      </c>
      <c r="R158" s="81">
        <f>SUM(AB158:AK158)</f>
        <v/>
      </c>
      <c r="S158" s="81">
        <f>SUM(AM158:AQ158)</f>
        <v/>
      </c>
      <c r="T158" s="81">
        <f>SUM(AS158:AW158)</f>
        <v/>
      </c>
      <c r="Y158" s="81" t="n">
        <v>1023</v>
      </c>
    </row>
    <row r="159">
      <c r="A159" s="72">
        <f>$D$27</f>
        <v/>
      </c>
      <c r="B159" s="72">
        <f>B158+1</f>
        <v/>
      </c>
      <c r="C159" s="72">
        <f>IF(K159="Vacant","Vac",IF(K159="Model","Model",IF(K159="Admin","Admin",IF(K159="Down","Down",IF(K159="Super","Super","Occ")))))</f>
        <v/>
      </c>
      <c r="D159" s="72">
        <f>INDEX($C$5:$C$14,MATCH(I159,$D$5:$D$14,0))</f>
        <v/>
      </c>
      <c r="E159" s="72">
        <f>INDEX($E$5:$E$14,MATCH(D159,$C$5:$C$14,0))</f>
        <v/>
      </c>
      <c r="F159" s="72">
        <f>INDEX($F$5:$F$14,MATCH(D159,$C$5:$C$14,0))</f>
        <v/>
      </c>
      <c r="G159" s="72">
        <f>INDEX($G$5:$G$14,MATCH(D159,$C$5:$C$14,0))</f>
        <v/>
      </c>
      <c r="H159" s="72" t="inlineStr">
        <is>
          <t>E08</t>
        </is>
      </c>
      <c r="I159" s="72" t="inlineStr">
        <is>
          <t>stjt2B2</t>
        </is>
      </c>
      <c r="J159" s="80" t="n">
        <v>950</v>
      </c>
      <c r="K159" s="72" t="inlineStr">
        <is>
          <t>Victoria`Hannah` Whitehouse</t>
        </is>
      </c>
      <c r="L159" s="81" t="n">
        <v>1075</v>
      </c>
      <c r="M159" s="81">
        <f>Y159</f>
        <v/>
      </c>
      <c r="N159" s="82" t="n">
        <v>42185</v>
      </c>
      <c r="O159" s="82" t="n">
        <v>42185</v>
      </c>
      <c r="P159" s="82" t="n">
        <v>46274</v>
      </c>
      <c r="R159" s="81">
        <f>SUM(AB159:AK159)</f>
        <v/>
      </c>
      <c r="S159" s="81">
        <f>SUM(AM159:AQ159)</f>
        <v/>
      </c>
      <c r="T159" s="81">
        <f>SUM(AS159:AW159)</f>
        <v/>
      </c>
      <c r="Y159" s="81" t="n">
        <v>1024</v>
      </c>
    </row>
    <row r="160">
      <c r="A160" s="72">
        <f>$D$27</f>
        <v/>
      </c>
      <c r="B160" s="72">
        <f>B159+1</f>
        <v/>
      </c>
      <c r="C160" s="72">
        <f>IF(K160="Vacant","Vac",IF(K160="Model","Model",IF(K160="Admin","Admin",IF(K160="Down","Down",IF(K160="Super","Super","Occ")))))</f>
        <v/>
      </c>
      <c r="D160" s="72">
        <f>INDEX($C$5:$C$14,MATCH(I160,$D$5:$D$14,0))</f>
        <v/>
      </c>
      <c r="E160" s="72">
        <f>INDEX($E$5:$E$14,MATCH(D160,$C$5:$C$14,0))</f>
        <v/>
      </c>
      <c r="F160" s="72">
        <f>INDEX($F$5:$F$14,MATCH(D160,$C$5:$C$14,0))</f>
        <v/>
      </c>
      <c r="G160" s="72">
        <f>INDEX($G$5:$G$14,MATCH(D160,$C$5:$C$14,0))</f>
        <v/>
      </c>
      <c r="H160" s="72" t="inlineStr">
        <is>
          <t>E09</t>
        </is>
      </c>
      <c r="I160" s="72" t="inlineStr">
        <is>
          <t>stjt2B1</t>
        </is>
      </c>
      <c r="J160" s="80" t="n">
        <v>950</v>
      </c>
      <c r="K160" s="72" t="inlineStr">
        <is>
          <t>Theodore Jackson</t>
        </is>
      </c>
      <c r="L160" s="81" t="n">
        <v>1035</v>
      </c>
      <c r="M160" s="81">
        <f>Y160</f>
        <v/>
      </c>
      <c r="N160" s="82" t="n">
        <v>39234</v>
      </c>
      <c r="O160" s="82" t="n">
        <v>39234</v>
      </c>
      <c r="P160" s="82" t="n">
        <v>45138</v>
      </c>
      <c r="R160" s="81">
        <f>SUM(AB160:AK160)</f>
        <v/>
      </c>
      <c r="S160" s="81">
        <f>SUM(AM160:AQ160)</f>
        <v/>
      </c>
      <c r="T160" s="81">
        <f>SUM(AS160:AW160)</f>
        <v/>
      </c>
      <c r="Y160" s="81" t="n">
        <v>1025</v>
      </c>
    </row>
    <row r="161">
      <c r="A161" s="72">
        <f>$D$27</f>
        <v/>
      </c>
      <c r="B161" s="72">
        <f>B160+1</f>
        <v/>
      </c>
      <c r="C161" s="72">
        <f>IF(K161="Vacant","Vac",IF(K161="Model","Model",IF(K161="Admin","Admin",IF(K161="Down","Down",IF(K161="Super","Super","Occ")))))</f>
        <v/>
      </c>
      <c r="D161" s="72">
        <f>INDEX($C$5:$C$14,MATCH(I161,$D$5:$D$14,0))</f>
        <v/>
      </c>
      <c r="E161" s="72">
        <f>INDEX($E$5:$E$14,MATCH(D161,$C$5:$C$14,0))</f>
        <v/>
      </c>
      <c r="F161" s="72">
        <f>INDEX($F$5:$F$14,MATCH(D161,$C$5:$C$14,0))</f>
        <v/>
      </c>
      <c r="G161" s="72">
        <f>INDEX($G$5:$G$14,MATCH(D161,$C$5:$C$14,0))</f>
        <v/>
      </c>
      <c r="H161" s="72" t="inlineStr">
        <is>
          <t>E10</t>
        </is>
      </c>
      <c r="I161" s="72" t="inlineStr">
        <is>
          <t>stjt2B1R</t>
        </is>
      </c>
      <c r="J161" s="80" t="n">
        <v>950</v>
      </c>
      <c r="K161" s="72" t="inlineStr">
        <is>
          <t>Carlos Arturo Jimenez Brambila</t>
        </is>
      </c>
      <c r="L161" s="81" t="n">
        <v>1135</v>
      </c>
      <c r="M161" s="81">
        <f>Y161</f>
        <v/>
      </c>
      <c r="N161" s="82" t="n">
        <v>44750</v>
      </c>
      <c r="O161" s="82" t="n">
        <v>44750</v>
      </c>
      <c r="P161" s="82" t="n">
        <v>46149</v>
      </c>
      <c r="R161" s="81">
        <f>SUM(AB161:AK161)</f>
        <v/>
      </c>
      <c r="S161" s="81">
        <f>SUM(AM161:AQ161)</f>
        <v/>
      </c>
      <c r="T161" s="81">
        <f>SUM(AS161:AW161)</f>
        <v/>
      </c>
      <c r="Y161" s="81" t="n">
        <v>1158</v>
      </c>
    </row>
    <row r="162">
      <c r="A162" s="72">
        <f>$D$27</f>
        <v/>
      </c>
      <c r="B162" s="72">
        <f>B161+1</f>
        <v/>
      </c>
      <c r="C162" s="72">
        <f>IF(K162="Vacant","Vac",IF(K162="Model","Model",IF(K162="Admin","Admin",IF(K162="Down","Down",IF(K162="Super","Super","Occ")))))</f>
        <v/>
      </c>
      <c r="D162" s="72">
        <f>INDEX($C$5:$C$14,MATCH(I162,$D$5:$D$14,0))</f>
        <v/>
      </c>
      <c r="E162" s="72">
        <f>INDEX($E$5:$E$14,MATCH(D162,$C$5:$C$14,0))</f>
        <v/>
      </c>
      <c r="F162" s="72">
        <f>INDEX($F$5:$F$14,MATCH(D162,$C$5:$C$14,0))</f>
        <v/>
      </c>
      <c r="G162" s="72">
        <f>INDEX($G$5:$G$14,MATCH(D162,$C$5:$C$14,0))</f>
        <v/>
      </c>
      <c r="H162" s="72" t="inlineStr">
        <is>
          <t>E11</t>
        </is>
      </c>
      <c r="I162" s="72" t="inlineStr">
        <is>
          <t>stjt2B2</t>
        </is>
      </c>
      <c r="J162" s="80" t="n">
        <v>950</v>
      </c>
      <c r="K162" s="72" t="inlineStr">
        <is>
          <t>Aaron Lutz</t>
        </is>
      </c>
      <c r="L162" s="81" t="n">
        <v>1075</v>
      </c>
      <c r="M162" s="81">
        <f>Y162</f>
        <v/>
      </c>
      <c r="N162" s="82" t="n">
        <v>45681</v>
      </c>
      <c r="O162" s="82" t="n">
        <v>45681</v>
      </c>
      <c r="P162" s="82" t="n">
        <v>46135</v>
      </c>
      <c r="R162" s="81">
        <f>SUM(AB162:AK162)</f>
        <v/>
      </c>
      <c r="S162" s="81">
        <f>SUM(AM162:AQ162)</f>
        <v/>
      </c>
      <c r="T162" s="81">
        <f>SUM(AS162:AW162)</f>
        <v/>
      </c>
      <c r="Y162" s="81" t="n">
        <v>975</v>
      </c>
    </row>
    <row r="163">
      <c r="A163" s="72">
        <f>$D$27</f>
        <v/>
      </c>
      <c r="B163" s="72">
        <f>B162+1</f>
        <v/>
      </c>
      <c r="C163" s="72">
        <f>IF(K163="Vacant","Vac",IF(K163="Model","Model",IF(K163="Admin","Admin",IF(K163="Down","Down",IF(K163="Super","Super","Occ")))))</f>
        <v/>
      </c>
      <c r="D163" s="72">
        <f>INDEX($C$5:$C$14,MATCH(I163,$D$5:$D$14,0))</f>
        <v/>
      </c>
      <c r="E163" s="72">
        <f>INDEX($E$5:$E$14,MATCH(D163,$C$5:$C$14,0))</f>
        <v/>
      </c>
      <c r="F163" s="72">
        <f>INDEX($F$5:$F$14,MATCH(D163,$C$5:$C$14,0))</f>
        <v/>
      </c>
      <c r="G163" s="72">
        <f>INDEX($G$5:$G$14,MATCH(D163,$C$5:$C$14,0))</f>
        <v/>
      </c>
      <c r="H163" s="72" t="inlineStr">
        <is>
          <t>E12</t>
        </is>
      </c>
      <c r="I163" s="72" t="inlineStr">
        <is>
          <t>stjt2B2</t>
        </is>
      </c>
      <c r="J163" s="80" t="n">
        <v>950</v>
      </c>
      <c r="K163" s="72" t="inlineStr">
        <is>
          <t>Claudia Saint Felix</t>
        </is>
      </c>
      <c r="L163" s="81" t="n">
        <v>1075</v>
      </c>
      <c r="M163" s="81">
        <f>Y163</f>
        <v/>
      </c>
      <c r="N163" s="82" t="n">
        <v>44827</v>
      </c>
      <c r="O163" s="82" t="n">
        <v>44827</v>
      </c>
      <c r="P163" s="82" t="n">
        <v>46287</v>
      </c>
      <c r="R163" s="81">
        <f>SUM(AB163:AK163)</f>
        <v/>
      </c>
      <c r="S163" s="81">
        <f>SUM(AM163:AQ163)</f>
        <v/>
      </c>
      <c r="T163" s="81">
        <f>SUM(AS163:AW163)</f>
        <v/>
      </c>
      <c r="Y163" s="81" t="n">
        <v>1070</v>
      </c>
    </row>
    <row r="164">
      <c r="A164" s="72">
        <f>$D$27</f>
        <v/>
      </c>
      <c r="B164" s="72">
        <f>B163+1</f>
        <v/>
      </c>
      <c r="C164" s="72">
        <f>IF(K164="Vacant","Vac",IF(K164="Model","Model",IF(K164="Admin","Admin",IF(K164="Down","Down",IF(K164="Super","Super","Occ")))))</f>
        <v/>
      </c>
      <c r="D164" s="72">
        <f>INDEX($C$5:$C$14,MATCH(I164,$D$5:$D$14,0))</f>
        <v/>
      </c>
      <c r="E164" s="72">
        <f>INDEX($E$5:$E$14,MATCH(D164,$C$5:$C$14,0))</f>
        <v/>
      </c>
      <c r="F164" s="72">
        <f>INDEX($F$5:$F$14,MATCH(D164,$C$5:$C$14,0))</f>
        <v/>
      </c>
      <c r="G164" s="72">
        <f>INDEX($G$5:$G$14,MATCH(D164,$C$5:$C$14,0))</f>
        <v/>
      </c>
      <c r="H164" s="72" t="inlineStr">
        <is>
          <t>E13</t>
        </is>
      </c>
      <c r="I164" s="72" t="inlineStr">
        <is>
          <t>stjt2B1R</t>
        </is>
      </c>
      <c r="J164" s="80" t="n">
        <v>950</v>
      </c>
      <c r="K164" s="72" t="inlineStr">
        <is>
          <t>marcos fonseca</t>
        </is>
      </c>
      <c r="L164" s="81" t="n">
        <v>1175</v>
      </c>
      <c r="M164" s="81">
        <f>Y164</f>
        <v/>
      </c>
      <c r="N164" s="82" t="n">
        <v>45072</v>
      </c>
      <c r="O164" s="82" t="n">
        <v>45072</v>
      </c>
      <c r="P164" s="82" t="n">
        <v>46198</v>
      </c>
      <c r="R164" s="81">
        <f>SUM(AB164:AK164)</f>
        <v/>
      </c>
      <c r="S164" s="81">
        <f>SUM(AM164:AQ164)</f>
        <v/>
      </c>
      <c r="T164" s="81">
        <f>SUM(AS164:AW164)</f>
        <v/>
      </c>
      <c r="Y164" s="81" t="n">
        <v>1125</v>
      </c>
    </row>
    <row r="165">
      <c r="A165" s="72">
        <f>$D$27</f>
        <v/>
      </c>
      <c r="B165" s="72">
        <f>B164+1</f>
        <v/>
      </c>
      <c r="C165" s="72">
        <f>IF(K165="Vacant","Vac",IF(K165="Model","Model",IF(K165="Admin","Admin",IF(K165="Down","Down",IF(K165="Super","Super","Occ")))))</f>
        <v/>
      </c>
      <c r="D165" s="72">
        <f>INDEX($C$5:$C$14,MATCH(I165,$D$5:$D$14,0))</f>
        <v/>
      </c>
      <c r="E165" s="72">
        <f>INDEX($E$5:$E$14,MATCH(D165,$C$5:$C$14,0))</f>
        <v/>
      </c>
      <c r="F165" s="72">
        <f>INDEX($F$5:$F$14,MATCH(D165,$C$5:$C$14,0))</f>
        <v/>
      </c>
      <c r="G165" s="72">
        <f>INDEX($G$5:$G$14,MATCH(D165,$C$5:$C$14,0))</f>
        <v/>
      </c>
      <c r="H165" s="72" t="inlineStr">
        <is>
          <t>E14</t>
        </is>
      </c>
      <c r="I165" s="72" t="inlineStr">
        <is>
          <t>stjt2B1</t>
        </is>
      </c>
      <c r="J165" s="80" t="n">
        <v>950</v>
      </c>
      <c r="K165" s="72" t="inlineStr">
        <is>
          <t>Michelle Journey~</t>
        </is>
      </c>
      <c r="L165" s="81" t="n">
        <v>1095</v>
      </c>
      <c r="M165" s="81">
        <f>Y165</f>
        <v/>
      </c>
      <c r="N165" s="82" t="n">
        <v>45234</v>
      </c>
      <c r="O165" s="82" t="n">
        <v>45234</v>
      </c>
      <c r="P165" s="82" t="n">
        <v>46510</v>
      </c>
      <c r="R165" s="81">
        <f>SUM(AB165:AK165)</f>
        <v/>
      </c>
      <c r="S165" s="81">
        <f>SUM(AM165:AQ165)</f>
        <v/>
      </c>
      <c r="T165" s="81">
        <f>SUM(AS165:AW165)</f>
        <v/>
      </c>
      <c r="Y165" s="81" t="n">
        <v>1065</v>
      </c>
    </row>
    <row r="166">
      <c r="A166" s="72">
        <f>$D$27</f>
        <v/>
      </c>
      <c r="B166" s="72">
        <f>B165+1</f>
        <v/>
      </c>
      <c r="C166" s="72">
        <f>IF(K166="Vacant","Vac",IF(K166="Model","Model",IF(K166="Admin","Admin",IF(K166="Down","Down",IF(K166="Super","Super","Occ")))))</f>
        <v/>
      </c>
      <c r="D166" s="72">
        <f>INDEX($C$5:$C$14,MATCH(I166,$D$5:$D$14,0))</f>
        <v/>
      </c>
      <c r="E166" s="72">
        <f>INDEX($E$5:$E$14,MATCH(D166,$C$5:$C$14,0))</f>
        <v/>
      </c>
      <c r="F166" s="72">
        <f>INDEX($F$5:$F$14,MATCH(D166,$C$5:$C$14,0))</f>
        <v/>
      </c>
      <c r="G166" s="72">
        <f>INDEX($G$5:$G$14,MATCH(D166,$C$5:$C$14,0))</f>
        <v/>
      </c>
      <c r="H166" s="72" t="inlineStr">
        <is>
          <t>E15</t>
        </is>
      </c>
      <c r="I166" s="72" t="inlineStr">
        <is>
          <t>stjt2B1R</t>
        </is>
      </c>
      <c r="J166" s="80" t="n">
        <v>950</v>
      </c>
      <c r="K166" s="72" t="inlineStr">
        <is>
          <t>Sergio Cuellar</t>
        </is>
      </c>
      <c r="L166" s="81" t="n">
        <v>1175</v>
      </c>
      <c r="M166" s="81">
        <f>Y166</f>
        <v/>
      </c>
      <c r="N166" s="82" t="n">
        <v>45218</v>
      </c>
      <c r="O166" s="82" t="n">
        <v>45218</v>
      </c>
      <c r="P166" s="82" t="n">
        <v>46252</v>
      </c>
      <c r="R166" s="81">
        <f>SUM(AB166:AK166)</f>
        <v/>
      </c>
      <c r="S166" s="81">
        <f>SUM(AM166:AQ166)</f>
        <v/>
      </c>
      <c r="T166" s="81">
        <f>SUM(AS166:AW166)</f>
        <v/>
      </c>
      <c r="Y166" s="81" t="n">
        <v>1155</v>
      </c>
    </row>
    <row r="167">
      <c r="A167" s="72">
        <f>$D$27</f>
        <v/>
      </c>
      <c r="B167" s="72">
        <f>B166+1</f>
        <v/>
      </c>
      <c r="C167" s="72">
        <f>IF(K167="Vacant","Vac",IF(K167="Model","Model",IF(K167="Admin","Admin",IF(K167="Down","Down",IF(K167="Super","Super","Occ")))))</f>
        <v/>
      </c>
      <c r="D167" s="72">
        <f>INDEX($C$5:$C$14,MATCH(I167,$D$5:$D$14,0))</f>
        <v/>
      </c>
      <c r="E167" s="72">
        <f>INDEX($E$5:$E$14,MATCH(D167,$C$5:$C$14,0))</f>
        <v/>
      </c>
      <c r="F167" s="72">
        <f>INDEX($F$5:$F$14,MATCH(D167,$C$5:$C$14,0))</f>
        <v/>
      </c>
      <c r="G167" s="72">
        <f>INDEX($G$5:$G$14,MATCH(D167,$C$5:$C$14,0))</f>
        <v/>
      </c>
      <c r="H167" s="72" t="inlineStr">
        <is>
          <t>E16</t>
        </is>
      </c>
      <c r="I167" s="72" t="inlineStr">
        <is>
          <t>stjt2B2</t>
        </is>
      </c>
      <c r="J167" s="80" t="n">
        <v>950</v>
      </c>
      <c r="K167" s="72" t="inlineStr">
        <is>
          <t>Andrew Bullock</t>
        </is>
      </c>
      <c r="L167" s="81" t="n">
        <v>1115</v>
      </c>
      <c r="M167" s="81">
        <f>Y167</f>
        <v/>
      </c>
      <c r="N167" s="82" t="n">
        <v>45440</v>
      </c>
      <c r="O167" s="82" t="n">
        <v>45440</v>
      </c>
      <c r="P167" s="82" t="n">
        <v>46202</v>
      </c>
      <c r="R167" s="81">
        <f>SUM(AB167:AK167)</f>
        <v/>
      </c>
      <c r="S167" s="81">
        <f>SUM(AM167:AQ167)</f>
        <v/>
      </c>
      <c r="T167" s="81">
        <f>SUM(AS167:AW167)</f>
        <v/>
      </c>
      <c r="Y167" s="81" t="n">
        <v>1055</v>
      </c>
    </row>
    <row r="168">
      <c r="A168" s="72">
        <f>$D$27</f>
        <v/>
      </c>
      <c r="B168" s="72">
        <f>B167+1</f>
        <v/>
      </c>
      <c r="C168" s="72">
        <f>IF(K168="Vacant","Vac",IF(K168="Model","Model",IF(K168="Admin","Admin",IF(K168="Down","Down",IF(K168="Super","Super","Occ")))))</f>
        <v/>
      </c>
      <c r="D168" s="72">
        <f>INDEX($C$5:$C$14,MATCH(I168,$D$5:$D$14,0))</f>
        <v/>
      </c>
      <c r="E168" s="72">
        <f>INDEX($E$5:$E$14,MATCH(D168,$C$5:$C$14,0))</f>
        <v/>
      </c>
      <c r="F168" s="72">
        <f>INDEX($F$5:$F$14,MATCH(D168,$C$5:$C$14,0))</f>
        <v/>
      </c>
      <c r="G168" s="72">
        <f>INDEX($G$5:$G$14,MATCH(D168,$C$5:$C$14,0))</f>
        <v/>
      </c>
      <c r="H168" s="72" t="inlineStr">
        <is>
          <t>E17</t>
        </is>
      </c>
      <c r="I168" s="72" t="inlineStr">
        <is>
          <t>stjt2B1</t>
        </is>
      </c>
      <c r="J168" s="80" t="n">
        <v>950</v>
      </c>
      <c r="K168" s="72" t="inlineStr">
        <is>
          <t>Debra Brown</t>
        </is>
      </c>
      <c r="L168" s="81" t="n">
        <v>1090</v>
      </c>
      <c r="M168" s="81">
        <f>Y168</f>
        <v/>
      </c>
      <c r="N168" s="82" t="n">
        <v>44785</v>
      </c>
      <c r="O168" s="82" t="n">
        <v>44785</v>
      </c>
      <c r="P168" s="82" t="n">
        <v>46245</v>
      </c>
      <c r="R168" s="81">
        <f>SUM(AB168:AK168)</f>
        <v/>
      </c>
      <c r="S168" s="81">
        <f>SUM(AM168:AQ168)</f>
        <v/>
      </c>
      <c r="T168" s="81">
        <f>SUM(AS168:AW168)</f>
        <v/>
      </c>
      <c r="Y168" s="81" t="n">
        <v>1020</v>
      </c>
    </row>
    <row r="169">
      <c r="A169" s="72">
        <f>$D$27</f>
        <v/>
      </c>
      <c r="B169" s="72">
        <f>B168+1</f>
        <v/>
      </c>
      <c r="C169" s="72">
        <f>IF(K169="Vacant","Vac",IF(K169="Model","Model",IF(K169="Admin","Admin",IF(K169="Down","Down",IF(K169="Super","Super","Occ")))))</f>
        <v/>
      </c>
      <c r="D169" s="72">
        <f>INDEX($C$5:$C$14,MATCH(I169,$D$5:$D$14,0))</f>
        <v/>
      </c>
      <c r="E169" s="72">
        <f>INDEX($E$5:$E$14,MATCH(D169,$C$5:$C$14,0))</f>
        <v/>
      </c>
      <c r="F169" s="72">
        <f>INDEX($F$5:$F$14,MATCH(D169,$C$5:$C$14,0))</f>
        <v/>
      </c>
      <c r="G169" s="72">
        <f>INDEX($G$5:$G$14,MATCH(D169,$C$5:$C$14,0))</f>
        <v/>
      </c>
      <c r="H169" s="72" t="inlineStr">
        <is>
          <t>E18</t>
        </is>
      </c>
      <c r="I169" s="72" t="inlineStr">
        <is>
          <t>stjt2B1</t>
        </is>
      </c>
      <c r="J169" s="80" t="n">
        <v>950</v>
      </c>
      <c r="K169" s="72" t="inlineStr">
        <is>
          <t>Kamesha Adams</t>
        </is>
      </c>
      <c r="L169" s="81" t="n">
        <v>1090</v>
      </c>
      <c r="M169" s="81">
        <f>Y169</f>
        <v/>
      </c>
      <c r="N169" s="82" t="n">
        <v>43904</v>
      </c>
      <c r="O169" s="82" t="n">
        <v>43904</v>
      </c>
      <c r="P169" s="82" t="n">
        <v>46490</v>
      </c>
      <c r="R169" s="81">
        <f>SUM(AB169:AK169)</f>
        <v/>
      </c>
      <c r="S169" s="81">
        <f>SUM(AM169:AQ169)</f>
        <v/>
      </c>
      <c r="T169" s="81">
        <f>SUM(AS169:AW169)</f>
        <v/>
      </c>
      <c r="Y169" s="81" t="n">
        <v>1055</v>
      </c>
    </row>
    <row r="170">
      <c r="A170" s="72">
        <f>$D$27</f>
        <v/>
      </c>
      <c r="B170" s="72">
        <f>B169+1</f>
        <v/>
      </c>
      <c r="C170" s="72">
        <f>IF(K170="Vacant","Vac",IF(K170="Model","Model",IF(K170="Admin","Admin",IF(K170="Down","Down",IF(K170="Super","Super","Occ")))))</f>
        <v/>
      </c>
      <c r="D170" s="72">
        <f>INDEX($C$5:$C$14,MATCH(I170,$D$5:$D$14,0))</f>
        <v/>
      </c>
      <c r="E170" s="72">
        <f>INDEX($E$5:$E$14,MATCH(D170,$C$5:$C$14,0))</f>
        <v/>
      </c>
      <c r="F170" s="72">
        <f>INDEX($F$5:$F$14,MATCH(D170,$C$5:$C$14,0))</f>
        <v/>
      </c>
      <c r="G170" s="72">
        <f>INDEX($G$5:$G$14,MATCH(D170,$C$5:$C$14,0))</f>
        <v/>
      </c>
      <c r="H170" s="72" t="inlineStr">
        <is>
          <t>E19</t>
        </is>
      </c>
      <c r="I170" s="72" t="inlineStr">
        <is>
          <t>stjt2B2</t>
        </is>
      </c>
      <c r="J170" s="80" t="n">
        <v>950</v>
      </c>
      <c r="K170" s="72" t="inlineStr">
        <is>
          <t>Rachel Baltz</t>
        </is>
      </c>
      <c r="L170" s="81" t="n">
        <v>1130</v>
      </c>
      <c r="M170" s="81">
        <f>Y170</f>
        <v/>
      </c>
      <c r="N170" s="82" t="n">
        <v>45866</v>
      </c>
      <c r="O170" s="82" t="n">
        <v>45866</v>
      </c>
      <c r="P170" s="82" t="n">
        <v>46230</v>
      </c>
      <c r="R170" s="81">
        <f>SUM(AB170:AK170)</f>
        <v/>
      </c>
      <c r="S170" s="81">
        <f>SUM(AM170:AQ170)</f>
        <v/>
      </c>
      <c r="T170" s="81">
        <f>SUM(AS170:AW170)</f>
        <v/>
      </c>
      <c r="Y170" s="81" t="n">
        <v>1085</v>
      </c>
    </row>
    <row r="171">
      <c r="A171" s="72">
        <f>$D$27</f>
        <v/>
      </c>
      <c r="B171" s="72">
        <f>B170+1</f>
        <v/>
      </c>
      <c r="C171" s="72">
        <f>IF(K171="Vacant","Vac",IF(K171="Model","Model",IF(K171="Admin","Admin",IF(K171="Down","Down",IF(K171="Super","Super","Occ")))))</f>
        <v/>
      </c>
      <c r="D171" s="72">
        <f>INDEX($C$5:$C$14,MATCH(I171,$D$5:$D$14,0))</f>
        <v/>
      </c>
      <c r="E171" s="72">
        <f>INDEX($E$5:$E$14,MATCH(D171,$C$5:$C$14,0))</f>
        <v/>
      </c>
      <c r="F171" s="72">
        <f>INDEX($F$5:$F$14,MATCH(D171,$C$5:$C$14,0))</f>
        <v/>
      </c>
      <c r="G171" s="72">
        <f>INDEX($G$5:$G$14,MATCH(D171,$C$5:$C$14,0))</f>
        <v/>
      </c>
      <c r="H171" s="72" t="inlineStr">
        <is>
          <t>E20</t>
        </is>
      </c>
      <c r="I171" s="72" t="inlineStr">
        <is>
          <t>stjt2B2</t>
        </is>
      </c>
      <c r="J171" s="80" t="n">
        <v>950</v>
      </c>
      <c r="K171" s="72" t="inlineStr">
        <is>
          <t>Shannon Mccauley</t>
        </is>
      </c>
      <c r="L171" s="81" t="n">
        <v>1130</v>
      </c>
      <c r="M171" s="81">
        <f>Y171</f>
        <v/>
      </c>
      <c r="N171" s="82" t="n">
        <v>45898</v>
      </c>
      <c r="O171" s="82" t="n">
        <v>45898</v>
      </c>
      <c r="P171" s="82" t="n">
        <v>46262</v>
      </c>
      <c r="R171" s="81">
        <f>SUM(AB171:AK171)</f>
        <v/>
      </c>
      <c r="S171" s="81">
        <f>SUM(AM171:AQ171)</f>
        <v/>
      </c>
      <c r="T171" s="81">
        <f>SUM(AS171:AW171)</f>
        <v/>
      </c>
      <c r="Y171" s="81" t="n">
        <v>1100</v>
      </c>
    </row>
    <row r="172">
      <c r="A172" s="72">
        <f>$D$27</f>
        <v/>
      </c>
      <c r="B172" s="72">
        <f>B171+1</f>
        <v/>
      </c>
      <c r="C172" s="72">
        <f>IF(K172="Vacant","Vac",IF(K172="Model","Model",IF(K172="Admin","Admin",IF(K172="Down","Down",IF(K172="Super","Super","Occ")))))</f>
        <v/>
      </c>
      <c r="D172" s="72">
        <f>INDEX($C$5:$C$14,MATCH(I172,$D$5:$D$14,0))</f>
        <v/>
      </c>
      <c r="E172" s="72">
        <f>INDEX($E$5:$E$14,MATCH(D172,$C$5:$C$14,0))</f>
        <v/>
      </c>
      <c r="F172" s="72">
        <f>INDEX($F$5:$F$14,MATCH(D172,$C$5:$C$14,0))</f>
        <v/>
      </c>
      <c r="G172" s="72">
        <f>INDEX($G$5:$G$14,MATCH(D172,$C$5:$C$14,0))</f>
        <v/>
      </c>
      <c r="H172" s="72" t="inlineStr">
        <is>
          <t>E21</t>
        </is>
      </c>
      <c r="I172" s="72" t="inlineStr">
        <is>
          <t>stjt2B1</t>
        </is>
      </c>
      <c r="J172" s="80" t="n">
        <v>950</v>
      </c>
      <c r="K172" s="72" t="inlineStr">
        <is>
          <t>Juan Armesto Exposito</t>
        </is>
      </c>
      <c r="L172" s="81" t="n">
        <v>1090</v>
      </c>
      <c r="M172" s="81">
        <f>Y172</f>
        <v/>
      </c>
      <c r="N172" s="82" t="n">
        <v>45838</v>
      </c>
      <c r="O172" s="82" t="n">
        <v>45838</v>
      </c>
      <c r="P172" s="82" t="n">
        <v>46202</v>
      </c>
      <c r="R172" s="81">
        <f>SUM(AB172:AK172)</f>
        <v/>
      </c>
      <c r="S172" s="81">
        <f>SUM(AM172:AQ172)</f>
        <v/>
      </c>
      <c r="T172" s="81">
        <f>SUM(AS172:AW172)</f>
        <v/>
      </c>
      <c r="Y172" s="81" t="n">
        <v>1069</v>
      </c>
    </row>
    <row r="173">
      <c r="A173" s="72">
        <f>$D$27</f>
        <v/>
      </c>
      <c r="B173" s="72">
        <f>B172+1</f>
        <v/>
      </c>
      <c r="C173" s="72">
        <f>IF(K173="Vacant","Vac",IF(K173="Model","Model",IF(K173="Admin","Admin",IF(K173="Down","Down",IF(K173="Super","Super","Occ")))))</f>
        <v/>
      </c>
      <c r="D173" s="72">
        <f>INDEX($C$5:$C$14,MATCH(I173,$D$5:$D$14,0))</f>
        <v/>
      </c>
      <c r="E173" s="72">
        <f>INDEX($E$5:$E$14,MATCH(D173,$C$5:$C$14,0))</f>
        <v/>
      </c>
      <c r="F173" s="72">
        <f>INDEX($F$5:$F$14,MATCH(D173,$C$5:$C$14,0))</f>
        <v/>
      </c>
      <c r="G173" s="72">
        <f>INDEX($G$5:$G$14,MATCH(D173,$C$5:$C$14,0))</f>
        <v/>
      </c>
      <c r="H173" s="72" t="inlineStr">
        <is>
          <t>E22</t>
        </is>
      </c>
      <c r="I173" s="72" t="inlineStr">
        <is>
          <t>stjt2B1</t>
        </is>
      </c>
      <c r="J173" s="80" t="n">
        <v>950</v>
      </c>
      <c r="K173" s="72" t="inlineStr">
        <is>
          <t>Marc Augustine</t>
        </is>
      </c>
      <c r="L173" s="81" t="n">
        <v>1090</v>
      </c>
      <c r="M173" s="81">
        <f>Y173</f>
        <v/>
      </c>
      <c r="N173" s="82" t="n">
        <v>43337</v>
      </c>
      <c r="O173" s="82" t="n">
        <v>43337</v>
      </c>
      <c r="P173" s="82" t="n">
        <v>46258</v>
      </c>
      <c r="R173" s="81">
        <f>SUM(AB173:AK173)</f>
        <v/>
      </c>
      <c r="S173" s="81">
        <f>SUM(AM173:AQ173)</f>
        <v/>
      </c>
      <c r="T173" s="81">
        <f>SUM(AS173:AW173)</f>
        <v/>
      </c>
      <c r="Y173" s="81" t="n">
        <v>1020</v>
      </c>
    </row>
    <row r="174">
      <c r="A174" s="72">
        <f>$D$27</f>
        <v/>
      </c>
      <c r="B174" s="72">
        <f>B173+1</f>
        <v/>
      </c>
      <c r="C174" s="72">
        <f>IF(K174="Vacant","Vac",IF(K174="Model","Model",IF(K174="Admin","Admin",IF(K174="Down","Down",IF(K174="Super","Super","Occ")))))</f>
        <v/>
      </c>
      <c r="D174" s="72">
        <f>INDEX($C$5:$C$14,MATCH(I174,$D$5:$D$14,0))</f>
        <v/>
      </c>
      <c r="E174" s="72">
        <f>INDEX($E$5:$E$14,MATCH(D174,$C$5:$C$14,0))</f>
        <v/>
      </c>
      <c r="F174" s="72">
        <f>INDEX($F$5:$F$14,MATCH(D174,$C$5:$C$14,0))</f>
        <v/>
      </c>
      <c r="G174" s="72">
        <f>INDEX($G$5:$G$14,MATCH(D174,$C$5:$C$14,0))</f>
        <v/>
      </c>
      <c r="H174" s="72" t="inlineStr">
        <is>
          <t>E23</t>
        </is>
      </c>
      <c r="I174" s="72" t="inlineStr">
        <is>
          <t>stjt2B2</t>
        </is>
      </c>
      <c r="J174" s="80" t="n">
        <v>950</v>
      </c>
      <c r="K174" s="72" t="inlineStr">
        <is>
          <t>Lisa Greenhill</t>
        </is>
      </c>
      <c r="L174" s="81" t="n">
        <v>1130</v>
      </c>
      <c r="M174" s="81">
        <f>Y174</f>
        <v/>
      </c>
      <c r="N174" s="82" t="n">
        <v>43794</v>
      </c>
      <c r="O174" s="82" t="n">
        <v>43794</v>
      </c>
      <c r="P174" s="82" t="n">
        <v>46166</v>
      </c>
      <c r="R174" s="81">
        <f>SUM(AB174:AK174)</f>
        <v/>
      </c>
      <c r="S174" s="81">
        <f>SUM(AM174:AQ174)</f>
        <v/>
      </c>
      <c r="T174" s="81">
        <f>SUM(AS174:AW174)</f>
        <v/>
      </c>
      <c r="Y174" s="81" t="n">
        <v>990</v>
      </c>
    </row>
    <row r="175">
      <c r="A175" s="72">
        <f>$D$27</f>
        <v/>
      </c>
      <c r="B175" s="72">
        <f>B174+1</f>
        <v/>
      </c>
      <c r="C175" s="72">
        <f>IF(K175="Vacant","Vac",IF(K175="Model","Model",IF(K175="Admin","Admin",IF(K175="Down","Down",IF(K175="Super","Super","Occ")))))</f>
        <v/>
      </c>
      <c r="D175" s="72">
        <f>INDEX($C$5:$C$14,MATCH(I175,$D$5:$D$14,0))</f>
        <v/>
      </c>
      <c r="E175" s="72">
        <f>INDEX($E$5:$E$14,MATCH(D175,$C$5:$C$14,0))</f>
        <v/>
      </c>
      <c r="F175" s="72">
        <f>INDEX($F$5:$F$14,MATCH(D175,$C$5:$C$14,0))</f>
        <v/>
      </c>
      <c r="G175" s="72">
        <f>INDEX($G$5:$G$14,MATCH(D175,$C$5:$C$14,0))</f>
        <v/>
      </c>
      <c r="H175" s="72" t="inlineStr">
        <is>
          <t>E24</t>
        </is>
      </c>
      <c r="I175" s="72" t="inlineStr">
        <is>
          <t>stjt2B2</t>
        </is>
      </c>
      <c r="J175" s="80" t="n">
        <v>950</v>
      </c>
      <c r="K175" s="72" t="inlineStr">
        <is>
          <t>Hallie Finley</t>
        </is>
      </c>
      <c r="L175" s="81" t="n">
        <v>1130</v>
      </c>
      <c r="M175" s="81">
        <f>Y175</f>
        <v/>
      </c>
      <c r="N175" s="82" t="n">
        <v>45775</v>
      </c>
      <c r="O175" s="82" t="n">
        <v>45775</v>
      </c>
      <c r="P175" s="82" t="n">
        <v>46322</v>
      </c>
      <c r="R175" s="81">
        <f>SUM(AB175:AK175)</f>
        <v/>
      </c>
      <c r="S175" s="81">
        <f>SUM(AM175:AQ175)</f>
        <v/>
      </c>
      <c r="T175" s="81">
        <f>SUM(AS175:AW175)</f>
        <v/>
      </c>
      <c r="Y175" s="81" t="n">
        <v>1085</v>
      </c>
    </row>
    <row r="176">
      <c r="A176" s="72">
        <f>$D$27</f>
        <v/>
      </c>
      <c r="B176" s="72">
        <f>B175+1</f>
        <v/>
      </c>
      <c r="C176" s="72">
        <f>IF(K176="Vacant","Vac",IF(K176="Model","Model",IF(K176="Admin","Admin",IF(K176="Down","Down",IF(K176="Super","Super","Occ")))))</f>
        <v/>
      </c>
      <c r="D176" s="72">
        <f>INDEX($C$5:$C$14,MATCH(I176,$D$5:$D$14,0))</f>
        <v/>
      </c>
      <c r="E176" s="72">
        <f>INDEX($E$5:$E$14,MATCH(D176,$C$5:$C$14,0))</f>
        <v/>
      </c>
      <c r="F176" s="72">
        <f>INDEX($F$5:$F$14,MATCH(D176,$C$5:$C$14,0))</f>
        <v/>
      </c>
      <c r="G176" s="72">
        <f>INDEX($G$5:$G$14,MATCH(D176,$C$5:$C$14,0))</f>
        <v/>
      </c>
      <c r="H176" s="72" t="inlineStr">
        <is>
          <t>E25</t>
        </is>
      </c>
      <c r="I176" s="72" t="inlineStr">
        <is>
          <t>stjt2B1</t>
        </is>
      </c>
      <c r="J176" s="80" t="n">
        <v>950</v>
      </c>
      <c r="K176" s="72" t="inlineStr">
        <is>
          <t>dylan Norton</t>
        </is>
      </c>
      <c r="L176" s="81" t="n">
        <v>1075</v>
      </c>
      <c r="M176" s="81">
        <f>Y176</f>
        <v/>
      </c>
      <c r="N176" s="82" t="n">
        <v>45856</v>
      </c>
      <c r="O176" s="82" t="n">
        <v>45856</v>
      </c>
      <c r="P176" s="82" t="n">
        <v>46251</v>
      </c>
      <c r="R176" s="81">
        <f>SUM(AB176:AK176)</f>
        <v/>
      </c>
      <c r="S176" s="81">
        <f>SUM(AM176:AQ176)</f>
        <v/>
      </c>
      <c r="T176" s="81">
        <f>SUM(AS176:AW176)</f>
        <v/>
      </c>
      <c r="Y176" s="81" t="n">
        <v>1065</v>
      </c>
    </row>
    <row r="177">
      <c r="A177" s="72">
        <f>$D$27</f>
        <v/>
      </c>
      <c r="B177" s="72">
        <f>B176+1</f>
        <v/>
      </c>
      <c r="C177" s="72">
        <f>IF(K177="Vacant","Vac",IF(K177="Model","Model",IF(K177="Admin","Admin",IF(K177="Down","Down",IF(K177="Super","Super","Occ")))))</f>
        <v/>
      </c>
      <c r="D177" s="72">
        <f>INDEX($C$5:$C$14,MATCH(I177,$D$5:$D$14,0))</f>
        <v/>
      </c>
      <c r="E177" s="72">
        <f>INDEX($E$5:$E$14,MATCH(D177,$C$5:$C$14,0))</f>
        <v/>
      </c>
      <c r="F177" s="72">
        <f>INDEX($F$5:$F$14,MATCH(D177,$C$5:$C$14,0))</f>
        <v/>
      </c>
      <c r="G177" s="72">
        <f>INDEX($G$5:$G$14,MATCH(D177,$C$5:$C$14,0))</f>
        <v/>
      </c>
      <c r="H177" s="72" t="inlineStr">
        <is>
          <t>E26</t>
        </is>
      </c>
      <c r="I177" s="72" t="inlineStr">
        <is>
          <t>stjt2B1</t>
        </is>
      </c>
      <c r="J177" s="80" t="n">
        <v>950</v>
      </c>
      <c r="K177" s="72" t="inlineStr">
        <is>
          <t>Veronica Rucker</t>
        </is>
      </c>
      <c r="L177" s="81" t="n">
        <v>1075</v>
      </c>
      <c r="M177" s="81">
        <f>Y177</f>
        <v/>
      </c>
      <c r="N177" s="82" t="n">
        <v>45908</v>
      </c>
      <c r="O177" s="82" t="n">
        <v>45908</v>
      </c>
      <c r="P177" s="82" t="n">
        <v>46272</v>
      </c>
      <c r="R177" s="81">
        <f>SUM(AB177:AK177)</f>
        <v/>
      </c>
      <c r="S177" s="81">
        <f>SUM(AM177:AQ177)</f>
        <v/>
      </c>
      <c r="T177" s="81">
        <f>SUM(AS177:AW177)</f>
        <v/>
      </c>
      <c r="Y177" s="81" t="n">
        <v>1065</v>
      </c>
    </row>
    <row r="178">
      <c r="A178" s="72">
        <f>$D$27</f>
        <v/>
      </c>
      <c r="B178" s="72">
        <f>B177+1</f>
        <v/>
      </c>
      <c r="C178" s="72">
        <f>IF(K178="Vacant","Vac",IF(K178="Model","Model",IF(K178="Admin","Admin",IF(K178="Down","Down",IF(K178="Super","Super","Occ")))))</f>
        <v/>
      </c>
      <c r="D178" s="72">
        <f>INDEX($C$5:$C$14,MATCH(I178,$D$5:$D$14,0))</f>
        <v/>
      </c>
      <c r="E178" s="72">
        <f>INDEX($E$5:$E$14,MATCH(D178,$C$5:$C$14,0))</f>
        <v/>
      </c>
      <c r="F178" s="72">
        <f>INDEX($F$5:$F$14,MATCH(D178,$C$5:$C$14,0))</f>
        <v/>
      </c>
      <c r="G178" s="72">
        <f>INDEX($G$5:$G$14,MATCH(D178,$C$5:$C$14,0))</f>
        <v/>
      </c>
      <c r="H178" s="72" t="inlineStr">
        <is>
          <t>E27</t>
        </is>
      </c>
      <c r="I178" s="72" t="inlineStr">
        <is>
          <t>stjt2B2</t>
        </is>
      </c>
      <c r="J178" s="80" t="n">
        <v>950</v>
      </c>
      <c r="K178" s="72" t="inlineStr">
        <is>
          <t>Keirstyn Fernandez</t>
        </is>
      </c>
      <c r="L178" s="81" t="n">
        <v>1115</v>
      </c>
      <c r="M178" s="81">
        <f>Y178</f>
        <v/>
      </c>
      <c r="N178" s="82" t="n">
        <v>45661</v>
      </c>
      <c r="O178" s="82" t="n">
        <v>45661</v>
      </c>
      <c r="P178" s="82" t="n">
        <v>46206</v>
      </c>
      <c r="R178" s="81">
        <f>SUM(AB178:AK178)</f>
        <v/>
      </c>
      <c r="S178" s="81">
        <f>SUM(AM178:AQ178)</f>
        <v/>
      </c>
      <c r="T178" s="81">
        <f>SUM(AS178:AW178)</f>
        <v/>
      </c>
      <c r="Y178" s="81" t="n">
        <v>1070</v>
      </c>
    </row>
    <row r="179">
      <c r="A179" s="72">
        <f>$D$27</f>
        <v/>
      </c>
      <c r="B179" s="72">
        <f>B178+1</f>
        <v/>
      </c>
      <c r="C179" s="72">
        <f>IF(K179="Vacant","Vac",IF(K179="Model","Model",IF(K179="Admin","Admin",IF(K179="Down","Down",IF(K179="Super","Super","Occ")))))</f>
        <v/>
      </c>
      <c r="D179" s="72">
        <f>INDEX($C$5:$C$14,MATCH(I179,$D$5:$D$14,0))</f>
        <v/>
      </c>
      <c r="E179" s="72">
        <f>INDEX($E$5:$E$14,MATCH(D179,$C$5:$C$14,0))</f>
        <v/>
      </c>
      <c r="F179" s="72">
        <f>INDEX($F$5:$F$14,MATCH(D179,$C$5:$C$14,0))</f>
        <v/>
      </c>
      <c r="G179" s="72">
        <f>INDEX($G$5:$G$14,MATCH(D179,$C$5:$C$14,0))</f>
        <v/>
      </c>
      <c r="H179" s="72" t="inlineStr">
        <is>
          <t>E28</t>
        </is>
      </c>
      <c r="I179" s="72" t="inlineStr">
        <is>
          <t>stjt2B2R</t>
        </is>
      </c>
      <c r="J179" s="80" t="n">
        <v>950</v>
      </c>
      <c r="K179" s="72" t="inlineStr">
        <is>
          <t>Solomon Bosco</t>
        </is>
      </c>
      <c r="L179" s="81" t="n">
        <v>1254</v>
      </c>
      <c r="M179" s="81">
        <f>Y179</f>
        <v/>
      </c>
      <c r="N179" s="82" t="n">
        <v>46080</v>
      </c>
      <c r="O179" s="82" t="n">
        <v>46080</v>
      </c>
      <c r="P179" s="82" t="n">
        <v>46444</v>
      </c>
      <c r="R179" s="81">
        <f>SUM(AB179:AK179)</f>
        <v/>
      </c>
      <c r="S179" s="81">
        <f>SUM(AM179:AQ179)</f>
        <v/>
      </c>
      <c r="T179" s="81">
        <f>SUM(AS179:AW179)</f>
        <v/>
      </c>
      <c r="Y179" s="81" t="n">
        <v>1230</v>
      </c>
    </row>
    <row r="180">
      <c r="A180" s="72">
        <f>$D$27</f>
        <v/>
      </c>
      <c r="B180" s="72">
        <f>B179+1</f>
        <v/>
      </c>
      <c r="C180" s="72">
        <f>IF(K180="Vacant","Vac",IF(K180="Model","Model",IF(K180="Admin","Admin",IF(K180="Down","Down",IF(K180="Super","Super","Occ")))))</f>
        <v/>
      </c>
      <c r="D180" s="72">
        <f>INDEX($C$5:$C$14,MATCH(I180,$D$5:$D$14,0))</f>
        <v/>
      </c>
      <c r="E180" s="72">
        <f>INDEX($E$5:$E$14,MATCH(D180,$C$5:$C$14,0))</f>
        <v/>
      </c>
      <c r="F180" s="72">
        <f>INDEX($F$5:$F$14,MATCH(D180,$C$5:$C$14,0))</f>
        <v/>
      </c>
      <c r="G180" s="72">
        <f>INDEX($G$5:$G$14,MATCH(D180,$C$5:$C$14,0))</f>
        <v/>
      </c>
      <c r="H180" s="72" t="inlineStr">
        <is>
          <t>E29</t>
        </is>
      </c>
      <c r="I180" s="72" t="inlineStr">
        <is>
          <t>stjt2B1R</t>
        </is>
      </c>
      <c r="J180" s="80" t="n">
        <v>950</v>
      </c>
      <c r="K180" s="72" t="inlineStr">
        <is>
          <t>Myrtle L Olonikadi</t>
        </is>
      </c>
      <c r="L180" s="81" t="n">
        <v>1190</v>
      </c>
      <c r="M180" s="81">
        <f>Y180</f>
        <v/>
      </c>
      <c r="N180" s="82" t="n">
        <v>45555</v>
      </c>
      <c r="O180" s="82" t="n">
        <v>45555</v>
      </c>
      <c r="P180" s="82" t="n">
        <v>46284</v>
      </c>
      <c r="R180" s="81">
        <f>SUM(AB180:AK180)</f>
        <v/>
      </c>
      <c r="S180" s="81">
        <f>SUM(AM180:AQ180)</f>
        <v/>
      </c>
      <c r="T180" s="81">
        <f>SUM(AS180:AW180)</f>
        <v/>
      </c>
      <c r="Y180" s="81" t="n">
        <v>1135</v>
      </c>
    </row>
    <row r="181">
      <c r="A181" s="72">
        <f>$D$27</f>
        <v/>
      </c>
      <c r="B181" s="72">
        <f>B180+1</f>
        <v/>
      </c>
      <c r="C181" s="72">
        <f>IF(K181="Vacant","Vac",IF(K181="Model","Model",IF(K181="Admin","Admin",IF(K181="Down","Down",IF(K181="Super","Super","Occ")))))</f>
        <v/>
      </c>
      <c r="D181" s="72">
        <f>INDEX($C$5:$C$14,MATCH(I181,$D$5:$D$14,0))</f>
        <v/>
      </c>
      <c r="E181" s="72">
        <f>INDEX($E$5:$E$14,MATCH(D181,$C$5:$C$14,0))</f>
        <v/>
      </c>
      <c r="F181" s="72">
        <f>INDEX($F$5:$F$14,MATCH(D181,$C$5:$C$14,0))</f>
        <v/>
      </c>
      <c r="G181" s="72">
        <f>INDEX($G$5:$G$14,MATCH(D181,$C$5:$C$14,0))</f>
        <v/>
      </c>
      <c r="H181" s="72" t="inlineStr">
        <is>
          <t>E30</t>
        </is>
      </c>
      <c r="I181" s="72" t="inlineStr">
        <is>
          <t>stjt2B1</t>
        </is>
      </c>
      <c r="J181" s="80" t="n">
        <v>950</v>
      </c>
      <c r="K181" s="72" t="inlineStr">
        <is>
          <t>Tenneal Traynor</t>
        </is>
      </c>
      <c r="L181" s="81" t="n">
        <v>1090</v>
      </c>
      <c r="M181" s="81">
        <f>Y181</f>
        <v/>
      </c>
      <c r="N181" s="82" t="n">
        <v>46073</v>
      </c>
      <c r="O181" s="82" t="n">
        <v>46073</v>
      </c>
      <c r="P181" s="82" t="n">
        <v>46437</v>
      </c>
      <c r="R181" s="81">
        <f>SUM(AB181:AK181)</f>
        <v/>
      </c>
      <c r="S181" s="81">
        <f>SUM(AM181:AQ181)</f>
        <v/>
      </c>
      <c r="T181" s="81">
        <f>SUM(AS181:AW181)</f>
        <v/>
      </c>
      <c r="Y181" s="81" t="n">
        <v>1080</v>
      </c>
    </row>
    <row r="182">
      <c r="A182" s="72">
        <f>$D$27</f>
        <v/>
      </c>
      <c r="B182" s="72">
        <f>B181+1</f>
        <v/>
      </c>
      <c r="C182" s="72">
        <f>IF(K182="Vacant","Vac",IF(K182="Model","Model",IF(K182="Admin","Admin",IF(K182="Down","Down",IF(K182="Super","Super","Occ")))))</f>
        <v/>
      </c>
      <c r="D182" s="72">
        <f>INDEX($C$5:$C$14,MATCH(I182,$D$5:$D$14,0))</f>
        <v/>
      </c>
      <c r="E182" s="72">
        <f>INDEX($E$5:$E$14,MATCH(D182,$C$5:$C$14,0))</f>
        <v/>
      </c>
      <c r="F182" s="72">
        <f>INDEX($F$5:$F$14,MATCH(D182,$C$5:$C$14,0))</f>
        <v/>
      </c>
      <c r="G182" s="72">
        <f>INDEX($G$5:$G$14,MATCH(D182,$C$5:$C$14,0))</f>
        <v/>
      </c>
      <c r="H182" s="72" t="inlineStr">
        <is>
          <t>E31</t>
        </is>
      </c>
      <c r="I182" s="72" t="inlineStr">
        <is>
          <t>stjt2B2</t>
        </is>
      </c>
      <c r="J182" s="80" t="n">
        <v>950</v>
      </c>
      <c r="K182" s="72" t="inlineStr">
        <is>
          <t>Gordon Bramer Jr</t>
        </is>
      </c>
      <c r="L182" s="81" t="n">
        <v>1130</v>
      </c>
      <c r="M182" s="81">
        <f>Y182</f>
        <v/>
      </c>
      <c r="N182" s="82" t="n">
        <v>45703</v>
      </c>
      <c r="O182" s="82" t="n">
        <v>45703</v>
      </c>
      <c r="P182" s="82" t="n">
        <v>46156</v>
      </c>
      <c r="R182" s="81">
        <f>SUM(AB182:AK182)</f>
        <v/>
      </c>
      <c r="S182" s="81">
        <f>SUM(AM182:AQ182)</f>
        <v/>
      </c>
      <c r="T182" s="81">
        <f>SUM(AS182:AW182)</f>
        <v/>
      </c>
      <c r="Y182" s="81" t="n">
        <v>1085</v>
      </c>
    </row>
    <row r="183">
      <c r="A183" s="72">
        <f>$D$27</f>
        <v/>
      </c>
      <c r="B183" s="72">
        <f>B182+1</f>
        <v/>
      </c>
      <c r="C183" s="72">
        <f>IF(K183="Vacant","Vac",IF(K183="Model","Model",IF(K183="Admin","Admin",IF(K183="Down","Down",IF(K183="Super","Super","Occ")))))</f>
        <v/>
      </c>
      <c r="D183" s="72">
        <f>INDEX($C$5:$C$14,MATCH(I183,$D$5:$D$14,0))</f>
        <v/>
      </c>
      <c r="E183" s="72">
        <f>INDEX($E$5:$E$14,MATCH(D183,$C$5:$C$14,0))</f>
        <v/>
      </c>
      <c r="F183" s="72">
        <f>INDEX($F$5:$F$14,MATCH(D183,$C$5:$C$14,0))</f>
        <v/>
      </c>
      <c r="G183" s="72">
        <f>INDEX($G$5:$G$14,MATCH(D183,$C$5:$C$14,0))</f>
        <v/>
      </c>
      <c r="H183" s="72" t="inlineStr">
        <is>
          <t>E32</t>
        </is>
      </c>
      <c r="I183" s="72" t="inlineStr">
        <is>
          <t>stjt2B2</t>
        </is>
      </c>
      <c r="J183" s="80" t="n">
        <v>950</v>
      </c>
      <c r="K183" s="72" t="inlineStr">
        <is>
          <t>Anthony Clonts</t>
        </is>
      </c>
      <c r="L183" s="81" t="n">
        <v>1130</v>
      </c>
      <c r="M183" s="81">
        <f>Y183</f>
        <v/>
      </c>
      <c r="N183" s="82" t="n">
        <v>45810</v>
      </c>
      <c r="O183" s="82" t="n">
        <v>45810</v>
      </c>
      <c r="P183" s="82" t="n">
        <v>46174</v>
      </c>
      <c r="R183" s="81">
        <f>SUM(AB183:AK183)</f>
        <v/>
      </c>
      <c r="S183" s="81">
        <f>SUM(AM183:AQ183)</f>
        <v/>
      </c>
      <c r="T183" s="81">
        <f>SUM(AS183:AW183)</f>
        <v/>
      </c>
      <c r="Y183" s="81" t="n">
        <v>1085</v>
      </c>
    </row>
    <row r="184">
      <c r="A184" s="72">
        <f>$D$27</f>
        <v/>
      </c>
      <c r="B184" s="72">
        <f>B183+1</f>
        <v/>
      </c>
      <c r="C184" s="72">
        <f>IF(K184="Vacant","Vac",IF(K184="Model","Model",IF(K184="Admin","Admin",IF(K184="Down","Down",IF(K184="Super","Super","Occ")))))</f>
        <v/>
      </c>
      <c r="D184" s="72">
        <f>INDEX($C$5:$C$14,MATCH(I184,$D$5:$D$14,0))</f>
        <v/>
      </c>
      <c r="E184" s="72">
        <f>INDEX($E$5:$E$14,MATCH(D184,$C$5:$C$14,0))</f>
        <v/>
      </c>
      <c r="F184" s="72">
        <f>INDEX($F$5:$F$14,MATCH(D184,$C$5:$C$14,0))</f>
        <v/>
      </c>
      <c r="G184" s="72">
        <f>INDEX($G$5:$G$14,MATCH(D184,$C$5:$C$14,0))</f>
        <v/>
      </c>
      <c r="H184" s="72" t="inlineStr">
        <is>
          <t>E33</t>
        </is>
      </c>
      <c r="I184" s="72" t="inlineStr">
        <is>
          <t>stjt2B1R</t>
        </is>
      </c>
      <c r="J184" s="80" t="n">
        <v>950</v>
      </c>
      <c r="K184" s="72" t="inlineStr">
        <is>
          <t>Emily Fahey</t>
        </is>
      </c>
      <c r="L184" s="81" t="n">
        <v>1190</v>
      </c>
      <c r="M184" s="81">
        <f>Y184</f>
        <v/>
      </c>
      <c r="N184" s="82" t="n">
        <v>45866</v>
      </c>
      <c r="O184" s="82" t="n">
        <v>45866</v>
      </c>
      <c r="P184" s="82" t="n">
        <v>46230</v>
      </c>
      <c r="R184" s="81">
        <f>SUM(AB184:AK184)</f>
        <v/>
      </c>
      <c r="S184" s="81">
        <f>SUM(AM184:AQ184)</f>
        <v/>
      </c>
      <c r="T184" s="81">
        <f>SUM(AS184:AW184)</f>
        <v/>
      </c>
      <c r="Y184" s="81" t="n">
        <v>1165</v>
      </c>
    </row>
    <row r="185">
      <c r="A185" s="72">
        <f>$D$27</f>
        <v/>
      </c>
      <c r="B185" s="72">
        <f>B184+1</f>
        <v/>
      </c>
      <c r="C185" s="72">
        <f>IF(K185="Vacant","Vac",IF(K185="Model","Model",IF(K185="Admin","Admin",IF(K185="Down","Down",IF(K185="Super","Super","Occ")))))</f>
        <v/>
      </c>
      <c r="D185" s="72">
        <f>INDEX($C$5:$C$14,MATCH(I185,$D$5:$D$14,0))</f>
        <v/>
      </c>
      <c r="E185" s="72">
        <f>INDEX($E$5:$E$14,MATCH(D185,$C$5:$C$14,0))</f>
        <v/>
      </c>
      <c r="F185" s="72">
        <f>INDEX($F$5:$F$14,MATCH(D185,$C$5:$C$14,0))</f>
        <v/>
      </c>
      <c r="G185" s="72">
        <f>INDEX($G$5:$G$14,MATCH(D185,$C$5:$C$14,0))</f>
        <v/>
      </c>
      <c r="H185" s="72" t="inlineStr">
        <is>
          <t>E34</t>
        </is>
      </c>
      <c r="I185" s="72" t="inlineStr">
        <is>
          <t>stjt2B1R</t>
        </is>
      </c>
      <c r="J185" s="80" t="n">
        <v>950</v>
      </c>
      <c r="K185" s="72" t="inlineStr">
        <is>
          <t>Jasmine Van</t>
        </is>
      </c>
      <c r="L185" s="81" t="n">
        <v>1190</v>
      </c>
      <c r="M185" s="81">
        <f>Y185</f>
        <v/>
      </c>
      <c r="N185" s="82" t="n">
        <v>45701</v>
      </c>
      <c r="O185" s="82" t="n">
        <v>45701</v>
      </c>
      <c r="P185" s="82" t="n">
        <v>46154</v>
      </c>
      <c r="R185" s="81">
        <f>SUM(AB185:AK185)</f>
        <v/>
      </c>
      <c r="S185" s="81">
        <f>SUM(AM185:AQ185)</f>
        <v/>
      </c>
      <c r="T185" s="81">
        <f>SUM(AS185:AW185)</f>
        <v/>
      </c>
      <c r="Y185" s="81" t="n">
        <v>1115</v>
      </c>
    </row>
    <row r="186">
      <c r="A186" s="72">
        <f>$D$27</f>
        <v/>
      </c>
      <c r="B186" s="72">
        <f>B185+1</f>
        <v/>
      </c>
      <c r="C186" s="72">
        <f>IF(K186="Vacant","Vac",IF(K186="Model","Model",IF(K186="Admin","Admin",IF(K186="Down","Down",IF(K186="Super","Super","Occ")))))</f>
        <v/>
      </c>
      <c r="D186" s="72">
        <f>INDEX($C$5:$C$14,MATCH(I186,$D$5:$D$14,0))</f>
        <v/>
      </c>
      <c r="E186" s="72">
        <f>INDEX($E$5:$E$14,MATCH(D186,$C$5:$C$14,0))</f>
        <v/>
      </c>
      <c r="F186" s="72">
        <f>INDEX($F$5:$F$14,MATCH(D186,$C$5:$C$14,0))</f>
        <v/>
      </c>
      <c r="G186" s="72">
        <f>INDEX($G$5:$G$14,MATCH(D186,$C$5:$C$14,0))</f>
        <v/>
      </c>
      <c r="H186" s="72" t="inlineStr">
        <is>
          <t>E35</t>
        </is>
      </c>
      <c r="I186" s="72" t="inlineStr">
        <is>
          <t>stjt2B2</t>
        </is>
      </c>
      <c r="J186" s="80" t="n">
        <v>950</v>
      </c>
      <c r="K186" s="72" t="inlineStr">
        <is>
          <t>Rachel Jenkins</t>
        </is>
      </c>
      <c r="L186" s="81" t="n">
        <v>1150</v>
      </c>
      <c r="M186" s="81">
        <f>Y186</f>
        <v/>
      </c>
      <c r="N186" s="82" t="n">
        <v>45415</v>
      </c>
      <c r="O186" s="82" t="n">
        <v>45415</v>
      </c>
      <c r="P186" s="82" t="n">
        <v>46144</v>
      </c>
      <c r="R186" s="81">
        <f>SUM(AB186:AK186)</f>
        <v/>
      </c>
      <c r="S186" s="81">
        <f>SUM(AM186:AQ186)</f>
        <v/>
      </c>
      <c r="T186" s="81">
        <f>SUM(AS186:AW186)</f>
        <v/>
      </c>
      <c r="Y186" s="81" t="n">
        <v>1090</v>
      </c>
    </row>
    <row r="187">
      <c r="A187" s="72">
        <f>$D$27</f>
        <v/>
      </c>
      <c r="B187" s="72">
        <f>B186+1</f>
        <v/>
      </c>
      <c r="C187" s="72">
        <f>IF(K187="Vacant","Vac",IF(K187="Model","Model",IF(K187="Admin","Admin",IF(K187="Down","Down",IF(K187="Super","Super","Occ")))))</f>
        <v/>
      </c>
      <c r="D187" s="72">
        <f>INDEX($C$5:$C$14,MATCH(I187,$D$5:$D$14,0))</f>
        <v/>
      </c>
      <c r="E187" s="72">
        <f>INDEX($E$5:$E$14,MATCH(D187,$C$5:$C$14,0))</f>
        <v/>
      </c>
      <c r="F187" s="72">
        <f>INDEX($F$5:$F$14,MATCH(D187,$C$5:$C$14,0))</f>
        <v/>
      </c>
      <c r="G187" s="72">
        <f>INDEX($G$5:$G$14,MATCH(D187,$C$5:$C$14,0))</f>
        <v/>
      </c>
      <c r="H187" s="72" t="inlineStr">
        <is>
          <t>E36</t>
        </is>
      </c>
      <c r="I187" s="72" t="inlineStr">
        <is>
          <t>stjt2B2</t>
        </is>
      </c>
      <c r="J187" s="80" t="n">
        <v>950</v>
      </c>
      <c r="K187" s="72" t="inlineStr">
        <is>
          <t>Hannah Downs</t>
        </is>
      </c>
      <c r="L187" s="81" t="n">
        <v>1130</v>
      </c>
      <c r="M187" s="81">
        <f>Y187</f>
        <v/>
      </c>
      <c r="N187" s="82" t="n">
        <v>45877</v>
      </c>
      <c r="O187" s="82" t="n">
        <v>45877</v>
      </c>
      <c r="P187" s="82" t="n">
        <v>46241</v>
      </c>
      <c r="R187" s="81">
        <f>SUM(AB187:AK187)</f>
        <v/>
      </c>
      <c r="S187" s="81">
        <f>SUM(AM187:AQ187)</f>
        <v/>
      </c>
      <c r="T187" s="81">
        <f>SUM(AS187:AW187)</f>
        <v/>
      </c>
      <c r="Y187" s="81" t="n">
        <v>1100</v>
      </c>
    </row>
    <row r="188">
      <c r="A188" s="72">
        <f>$D$27</f>
        <v/>
      </c>
      <c r="B188" s="72">
        <f>B187+1</f>
        <v/>
      </c>
      <c r="C188" s="72">
        <f>IF(K188="Vacant","Vac",IF(K188="Model","Model",IF(K188="Admin","Admin",IF(K188="Down","Down",IF(K188="Super","Super","Occ")))))</f>
        <v/>
      </c>
      <c r="D188" s="72">
        <f>INDEX($C$5:$C$14,MATCH(I188,$D$5:$D$14,0))</f>
        <v/>
      </c>
      <c r="E188" s="72">
        <f>INDEX($E$5:$E$14,MATCH(D188,$C$5:$C$14,0))</f>
        <v/>
      </c>
      <c r="F188" s="72">
        <f>INDEX($F$5:$F$14,MATCH(D188,$C$5:$C$14,0))</f>
        <v/>
      </c>
      <c r="G188" s="72">
        <f>INDEX($G$5:$G$14,MATCH(D188,$C$5:$C$14,0))</f>
        <v/>
      </c>
      <c r="H188" s="72" t="inlineStr">
        <is>
          <t>F01</t>
        </is>
      </c>
      <c r="I188" s="72" t="inlineStr">
        <is>
          <t>stjt2C1R</t>
        </is>
      </c>
      <c r="J188" s="80" t="n">
        <v>1075</v>
      </c>
      <c r="K188" s="72" t="inlineStr">
        <is>
          <t>Brianna Stelton</t>
        </is>
      </c>
      <c r="L188" s="81" t="n">
        <v>1350</v>
      </c>
      <c r="M188" s="81">
        <f>Y188</f>
        <v/>
      </c>
      <c r="N188" s="82" t="n">
        <v>45609</v>
      </c>
      <c r="O188" s="82" t="n">
        <v>45609</v>
      </c>
      <c r="P188" s="82" t="n">
        <v>46154</v>
      </c>
      <c r="R188" s="81">
        <f>SUM(AB188:AK188)</f>
        <v/>
      </c>
      <c r="S188" s="81">
        <f>SUM(AM188:AQ188)</f>
        <v/>
      </c>
      <c r="T188" s="81">
        <f>SUM(AS188:AW188)</f>
        <v/>
      </c>
      <c r="Y188" s="81" t="n">
        <v>1325</v>
      </c>
    </row>
    <row r="189">
      <c r="A189" s="72">
        <f>$D$27</f>
        <v/>
      </c>
      <c r="B189" s="72">
        <f>B188+1</f>
        <v/>
      </c>
      <c r="C189" s="72">
        <f>IF(K189="Vacant","Vac",IF(K189="Model","Model",IF(K189="Admin","Admin",IF(K189="Down","Down",IF(K189="Super","Super","Occ")))))</f>
        <v/>
      </c>
      <c r="D189" s="72">
        <f>INDEX($C$5:$C$14,MATCH(I189,$D$5:$D$14,0))</f>
        <v/>
      </c>
      <c r="E189" s="72">
        <f>INDEX($E$5:$E$14,MATCH(D189,$C$5:$C$14,0))</f>
        <v/>
      </c>
      <c r="F189" s="72">
        <f>INDEX($F$5:$F$14,MATCH(D189,$C$5:$C$14,0))</f>
        <v/>
      </c>
      <c r="G189" s="72">
        <f>INDEX($G$5:$G$14,MATCH(D189,$C$5:$C$14,0))</f>
        <v/>
      </c>
      <c r="H189" s="72" t="inlineStr">
        <is>
          <t>F02</t>
        </is>
      </c>
      <c r="I189" s="72" t="inlineStr">
        <is>
          <t>stjt2A1</t>
        </is>
      </c>
      <c r="J189" s="80" t="n">
        <v>850</v>
      </c>
      <c r="K189" s="72" t="inlineStr">
        <is>
          <t>Sierra Gaskins</t>
        </is>
      </c>
      <c r="L189" s="81" t="n">
        <v>975</v>
      </c>
      <c r="M189" s="81">
        <f>Y189</f>
        <v/>
      </c>
      <c r="N189" s="82" t="n">
        <v>45974</v>
      </c>
      <c r="O189" s="82" t="n">
        <v>45974</v>
      </c>
      <c r="P189" s="82" t="n">
        <v>46338</v>
      </c>
      <c r="R189" s="81">
        <f>SUM(AB189:AK189)</f>
        <v/>
      </c>
      <c r="S189" s="81">
        <f>SUM(AM189:AQ189)</f>
        <v/>
      </c>
      <c r="T189" s="81">
        <f>SUM(AS189:AW189)</f>
        <v/>
      </c>
      <c r="Y189" s="81" t="n">
        <v>875</v>
      </c>
    </row>
    <row r="190">
      <c r="A190" s="72">
        <f>$D$27</f>
        <v/>
      </c>
      <c r="B190" s="72">
        <f>B189+1</f>
        <v/>
      </c>
      <c r="C190" s="72">
        <f>IF(K190="Vacant","Vac",IF(K190="Model","Model",IF(K190="Admin","Admin",IF(K190="Down","Down",IF(K190="Super","Super","Occ")))))</f>
        <v/>
      </c>
      <c r="D190" s="72">
        <f>INDEX($C$5:$C$14,MATCH(I190,$D$5:$D$14,0))</f>
        <v/>
      </c>
      <c r="E190" s="72">
        <f>INDEX($E$5:$E$14,MATCH(D190,$C$5:$C$14,0))</f>
        <v/>
      </c>
      <c r="F190" s="72">
        <f>INDEX($F$5:$F$14,MATCH(D190,$C$5:$C$14,0))</f>
        <v/>
      </c>
      <c r="G190" s="72">
        <f>INDEX($G$5:$G$14,MATCH(D190,$C$5:$C$14,0))</f>
        <v/>
      </c>
      <c r="H190" s="72" t="inlineStr">
        <is>
          <t>F03</t>
        </is>
      </c>
      <c r="I190" s="72" t="inlineStr">
        <is>
          <t>stjt2C1</t>
        </is>
      </c>
      <c r="J190" s="80" t="n">
        <v>1075</v>
      </c>
      <c r="K190" s="72" t="inlineStr">
        <is>
          <t>Alan Lossner</t>
        </is>
      </c>
      <c r="L190" s="81" t="n">
        <v>1190</v>
      </c>
      <c r="M190" s="81">
        <f>Y190</f>
        <v/>
      </c>
      <c r="N190" s="82" t="n">
        <v>45993</v>
      </c>
      <c r="O190" s="82" t="n">
        <v>45993</v>
      </c>
      <c r="P190" s="82" t="n">
        <v>46357</v>
      </c>
      <c r="R190" s="81">
        <f>SUM(AB190:AK190)</f>
        <v/>
      </c>
      <c r="S190" s="81">
        <f>SUM(AM190:AQ190)</f>
        <v/>
      </c>
      <c r="T190" s="81">
        <f>SUM(AS190:AW190)</f>
        <v/>
      </c>
      <c r="Y190" s="81" t="n">
        <v>1075</v>
      </c>
    </row>
    <row r="191">
      <c r="A191" s="72">
        <f>$D$27</f>
        <v/>
      </c>
      <c r="B191" s="72">
        <f>B190+1</f>
        <v/>
      </c>
      <c r="C191" s="72">
        <f>IF(K191="Vacant","Vac",IF(K191="Model","Model",IF(K191="Admin","Admin",IF(K191="Down","Down",IF(K191="Super","Super","Occ")))))</f>
        <v/>
      </c>
      <c r="D191" s="72">
        <f>INDEX($C$5:$C$14,MATCH(I191,$D$5:$D$14,0))</f>
        <v/>
      </c>
      <c r="E191" s="72">
        <f>INDEX($E$5:$E$14,MATCH(D191,$C$5:$C$14,0))</f>
        <v/>
      </c>
      <c r="F191" s="72">
        <f>INDEX($F$5:$F$14,MATCH(D191,$C$5:$C$14,0))</f>
        <v/>
      </c>
      <c r="G191" s="72">
        <f>INDEX($G$5:$G$14,MATCH(D191,$C$5:$C$14,0))</f>
        <v/>
      </c>
      <c r="H191" s="72" t="inlineStr">
        <is>
          <t>F04</t>
        </is>
      </c>
      <c r="I191" s="72" t="inlineStr">
        <is>
          <t>stjt2A1</t>
        </is>
      </c>
      <c r="J191" s="80" t="n">
        <v>850</v>
      </c>
      <c r="K191" s="72" t="inlineStr">
        <is>
          <t>VACANT</t>
        </is>
      </c>
      <c r="L191" s="81" t="n">
        <v>990</v>
      </c>
      <c r="M191" s="81">
        <f>Y191</f>
        <v/>
      </c>
      <c r="R191" s="81">
        <f>SUM(AB191:AK191)</f>
        <v/>
      </c>
      <c r="S191" s="81">
        <f>SUM(AM191:AQ191)</f>
        <v/>
      </c>
      <c r="T191" s="81">
        <f>SUM(AS191:AW191)</f>
        <v/>
      </c>
      <c r="Y191" s="81" t="n">
        <v>0</v>
      </c>
    </row>
    <row r="192">
      <c r="A192" s="72">
        <f>$D$27</f>
        <v/>
      </c>
      <c r="B192" s="72">
        <f>B191+1</f>
        <v/>
      </c>
      <c r="C192" s="72">
        <f>IF(K192="Vacant","Vac",IF(K192="Model","Model",IF(K192="Admin","Admin",IF(K192="Down","Down",IF(K192="Super","Super","Occ")))))</f>
        <v/>
      </c>
      <c r="D192" s="72">
        <f>INDEX($C$5:$C$14,MATCH(I192,$D$5:$D$14,0))</f>
        <v/>
      </c>
      <c r="E192" s="72">
        <f>INDEX($E$5:$E$14,MATCH(D192,$C$5:$C$14,0))</f>
        <v/>
      </c>
      <c r="F192" s="72">
        <f>INDEX($F$5:$F$14,MATCH(D192,$C$5:$C$14,0))</f>
        <v/>
      </c>
      <c r="G192" s="72">
        <f>INDEX($G$5:$G$14,MATCH(D192,$C$5:$C$14,0))</f>
        <v/>
      </c>
      <c r="H192" s="72" t="inlineStr">
        <is>
          <t>F05</t>
        </is>
      </c>
      <c r="I192" s="72" t="inlineStr">
        <is>
          <t>stjt2C1R</t>
        </is>
      </c>
      <c r="J192" s="80" t="n">
        <v>1075</v>
      </c>
      <c r="K192" s="72" t="inlineStr">
        <is>
          <t>Asha Ismali</t>
        </is>
      </c>
      <c r="L192" s="81" t="n">
        <v>1365</v>
      </c>
      <c r="M192" s="81">
        <f>Y192</f>
        <v/>
      </c>
      <c r="N192" s="82" t="n">
        <v>45443</v>
      </c>
      <c r="O192" s="82" t="n">
        <v>45443</v>
      </c>
      <c r="P192" s="82" t="n">
        <v>46172</v>
      </c>
      <c r="R192" s="81">
        <f>SUM(AB192:AK192)</f>
        <v/>
      </c>
      <c r="S192" s="81">
        <f>SUM(AM192:AQ192)</f>
        <v/>
      </c>
      <c r="T192" s="81">
        <f>SUM(AS192:AW192)</f>
        <v/>
      </c>
      <c r="Y192" s="81" t="n">
        <v>1340</v>
      </c>
    </row>
    <row r="193">
      <c r="A193" s="72">
        <f>$D$27</f>
        <v/>
      </c>
      <c r="B193" s="72">
        <f>B192+1</f>
        <v/>
      </c>
      <c r="C193" s="72">
        <f>IF(K193="Vacant","Vac",IF(K193="Model","Model",IF(K193="Admin","Admin",IF(K193="Down","Down",IF(K193="Super","Super","Occ")))))</f>
        <v/>
      </c>
      <c r="D193" s="72">
        <f>INDEX($C$5:$C$14,MATCH(I193,$D$5:$D$14,0))</f>
        <v/>
      </c>
      <c r="E193" s="72">
        <f>INDEX($E$5:$E$14,MATCH(D193,$C$5:$C$14,0))</f>
        <v/>
      </c>
      <c r="F193" s="72">
        <f>INDEX($F$5:$F$14,MATCH(D193,$C$5:$C$14,0))</f>
        <v/>
      </c>
      <c r="G193" s="72">
        <f>INDEX($G$5:$G$14,MATCH(D193,$C$5:$C$14,0))</f>
        <v/>
      </c>
      <c r="H193" s="72" t="inlineStr">
        <is>
          <t>F06</t>
        </is>
      </c>
      <c r="I193" s="72" t="inlineStr">
        <is>
          <t>stjt2A1</t>
        </is>
      </c>
      <c r="J193" s="80" t="n">
        <v>850</v>
      </c>
      <c r="K193" s="72" t="inlineStr">
        <is>
          <t>Jordan Faulkner</t>
        </is>
      </c>
      <c r="L193" s="81" t="n">
        <v>990</v>
      </c>
      <c r="M193" s="81">
        <f>Y193</f>
        <v/>
      </c>
      <c r="N193" s="82" t="n">
        <v>45612</v>
      </c>
      <c r="O193" s="82" t="n">
        <v>45612</v>
      </c>
      <c r="P193" s="82" t="n">
        <v>46157</v>
      </c>
      <c r="R193" s="81">
        <f>SUM(AB193:AK193)</f>
        <v/>
      </c>
      <c r="S193" s="81">
        <f>SUM(AM193:AQ193)</f>
        <v/>
      </c>
      <c r="T193" s="81">
        <f>SUM(AS193:AW193)</f>
        <v/>
      </c>
      <c r="Y193" s="81" t="n">
        <v>925</v>
      </c>
    </row>
    <row r="194">
      <c r="A194" s="72">
        <f>$D$27</f>
        <v/>
      </c>
      <c r="B194" s="72">
        <f>B193+1</f>
        <v/>
      </c>
      <c r="C194" s="72">
        <f>IF(K194="Vacant","Vac",IF(K194="Model","Model",IF(K194="Admin","Admin",IF(K194="Down","Down",IF(K194="Super","Super","Occ")))))</f>
        <v/>
      </c>
      <c r="D194" s="72">
        <f>INDEX($C$5:$C$14,MATCH(I194,$D$5:$D$14,0))</f>
        <v/>
      </c>
      <c r="E194" s="72">
        <f>INDEX($E$5:$E$14,MATCH(D194,$C$5:$C$14,0))</f>
        <v/>
      </c>
      <c r="F194" s="72">
        <f>INDEX($F$5:$F$14,MATCH(D194,$C$5:$C$14,0))</f>
        <v/>
      </c>
      <c r="G194" s="72">
        <f>INDEX($G$5:$G$14,MATCH(D194,$C$5:$C$14,0))</f>
        <v/>
      </c>
      <c r="H194" s="72" t="inlineStr">
        <is>
          <t>F07</t>
        </is>
      </c>
      <c r="I194" s="72" t="inlineStr">
        <is>
          <t>stjt2C1R</t>
        </is>
      </c>
      <c r="J194" s="80" t="n">
        <v>1075</v>
      </c>
      <c r="K194" s="72" t="inlineStr">
        <is>
          <t>Gabrielle Saunders</t>
        </is>
      </c>
      <c r="L194" s="81" t="n">
        <v>1365</v>
      </c>
      <c r="M194" s="81">
        <f>Y194</f>
        <v/>
      </c>
      <c r="N194" s="82" t="n">
        <v>45994</v>
      </c>
      <c r="O194" s="82" t="n">
        <v>45994</v>
      </c>
      <c r="P194" s="82" t="n">
        <v>46358</v>
      </c>
      <c r="R194" s="81">
        <f>SUM(AB194:AK194)</f>
        <v/>
      </c>
      <c r="S194" s="81">
        <f>SUM(AM194:AQ194)</f>
        <v/>
      </c>
      <c r="T194" s="81">
        <f>SUM(AS194:AW194)</f>
        <v/>
      </c>
      <c r="Y194" s="81" t="n">
        <v>999</v>
      </c>
    </row>
    <row r="195">
      <c r="A195" s="72">
        <f>$D$27</f>
        <v/>
      </c>
      <c r="B195" s="72">
        <f>B194+1</f>
        <v/>
      </c>
      <c r="C195" s="72">
        <f>IF(K195="Vacant","Vac",IF(K195="Model","Model",IF(K195="Admin","Admin",IF(K195="Down","Down",IF(K195="Super","Super","Occ")))))</f>
        <v/>
      </c>
      <c r="D195" s="72">
        <f>INDEX($C$5:$C$14,MATCH(I195,$D$5:$D$14,0))</f>
        <v/>
      </c>
      <c r="E195" s="72">
        <f>INDEX($E$5:$E$14,MATCH(D195,$C$5:$C$14,0))</f>
        <v/>
      </c>
      <c r="F195" s="72">
        <f>INDEX($F$5:$F$14,MATCH(D195,$C$5:$C$14,0))</f>
        <v/>
      </c>
      <c r="G195" s="72">
        <f>INDEX($G$5:$G$14,MATCH(D195,$C$5:$C$14,0))</f>
        <v/>
      </c>
      <c r="H195" s="72" t="inlineStr">
        <is>
          <t>F08</t>
        </is>
      </c>
      <c r="I195" s="72" t="inlineStr">
        <is>
          <t>stjt2A1</t>
        </is>
      </c>
      <c r="J195" s="80" t="n">
        <v>850</v>
      </c>
      <c r="K195" s="72" t="inlineStr">
        <is>
          <t>Jeremiah Hemphill</t>
        </is>
      </c>
      <c r="L195" s="81" t="n">
        <v>990</v>
      </c>
      <c r="M195" s="81">
        <f>Y195</f>
        <v/>
      </c>
      <c r="N195" s="82" t="n">
        <v>46090</v>
      </c>
      <c r="O195" s="82" t="n">
        <v>46090</v>
      </c>
      <c r="P195" s="82" t="n">
        <v>46454</v>
      </c>
      <c r="R195" s="81">
        <f>SUM(AB195:AK195)</f>
        <v/>
      </c>
      <c r="S195" s="81">
        <f>SUM(AM195:AQ195)</f>
        <v/>
      </c>
      <c r="T195" s="81">
        <f>SUM(AS195:AW195)</f>
        <v/>
      </c>
      <c r="Y195" s="81" t="n">
        <v>975</v>
      </c>
    </row>
    <row r="196">
      <c r="A196" s="72">
        <f>$D$27</f>
        <v/>
      </c>
      <c r="B196" s="72">
        <f>B195+1</f>
        <v/>
      </c>
      <c r="C196" s="72">
        <f>IF(K196="Vacant","Vac",IF(K196="Model","Model",IF(K196="Admin","Admin",IF(K196="Down","Down",IF(K196="Super","Super","Occ")))))</f>
        <v/>
      </c>
      <c r="D196" s="72">
        <f>INDEX($C$5:$C$14,MATCH(I196,$D$5:$D$14,0))</f>
        <v/>
      </c>
      <c r="E196" s="72">
        <f>INDEX($E$5:$E$14,MATCH(D196,$C$5:$C$14,0))</f>
        <v/>
      </c>
      <c r="F196" s="72">
        <f>INDEX($F$5:$F$14,MATCH(D196,$C$5:$C$14,0))</f>
        <v/>
      </c>
      <c r="G196" s="72">
        <f>INDEX($G$5:$G$14,MATCH(D196,$C$5:$C$14,0))</f>
        <v/>
      </c>
      <c r="H196" s="72" t="inlineStr">
        <is>
          <t>F09</t>
        </is>
      </c>
      <c r="I196" s="72" t="inlineStr">
        <is>
          <t>stjt2C1R</t>
        </is>
      </c>
      <c r="J196" s="80" t="n">
        <v>1075</v>
      </c>
      <c r="K196" s="72" t="inlineStr">
        <is>
          <t>Elizabeth Warner</t>
        </is>
      </c>
      <c r="L196" s="81" t="n">
        <v>1365</v>
      </c>
      <c r="M196" s="81">
        <f>Y196</f>
        <v/>
      </c>
      <c r="N196" s="82" t="n">
        <v>45962</v>
      </c>
      <c r="O196" s="82" t="n">
        <v>45962</v>
      </c>
      <c r="P196" s="82" t="n">
        <v>46326</v>
      </c>
      <c r="R196" s="81">
        <f>SUM(AB196:AK196)</f>
        <v/>
      </c>
      <c r="S196" s="81">
        <f>SUM(AM196:AQ196)</f>
        <v/>
      </c>
      <c r="T196" s="81">
        <f>SUM(AS196:AW196)</f>
        <v/>
      </c>
      <c r="Y196" s="81" t="n">
        <v>1199</v>
      </c>
    </row>
    <row r="197">
      <c r="A197" s="72">
        <f>$D$27</f>
        <v/>
      </c>
      <c r="B197" s="72">
        <f>B196+1</f>
        <v/>
      </c>
      <c r="C197" s="72">
        <f>IF(K197="Vacant","Vac",IF(K197="Model","Model",IF(K197="Admin","Admin",IF(K197="Down","Down",IF(K197="Super","Super","Occ")))))</f>
        <v/>
      </c>
      <c r="D197" s="72">
        <f>INDEX($C$5:$C$14,MATCH(I197,$D$5:$D$14,0))</f>
        <v/>
      </c>
      <c r="E197" s="72">
        <f>INDEX($E$5:$E$14,MATCH(D197,$C$5:$C$14,0))</f>
        <v/>
      </c>
      <c r="F197" s="72">
        <f>INDEX($F$5:$F$14,MATCH(D197,$C$5:$C$14,0))</f>
        <v/>
      </c>
      <c r="G197" s="72">
        <f>INDEX($G$5:$G$14,MATCH(D197,$C$5:$C$14,0))</f>
        <v/>
      </c>
      <c r="H197" s="72" t="inlineStr">
        <is>
          <t>F10</t>
        </is>
      </c>
      <c r="I197" s="72" t="inlineStr">
        <is>
          <t>stjt2A1R</t>
        </is>
      </c>
      <c r="J197" s="80" t="n">
        <v>850</v>
      </c>
      <c r="K197" s="72" t="inlineStr">
        <is>
          <t>Dwayne Sutton</t>
        </is>
      </c>
      <c r="L197" s="81" t="n">
        <v>1055</v>
      </c>
      <c r="M197" s="81">
        <f>Y197</f>
        <v/>
      </c>
      <c r="N197" s="82" t="n">
        <v>45265</v>
      </c>
      <c r="O197" s="82" t="n">
        <v>45265</v>
      </c>
      <c r="P197" s="82" t="n">
        <v>46207</v>
      </c>
      <c r="R197" s="81">
        <f>SUM(AB197:AK197)</f>
        <v/>
      </c>
      <c r="S197" s="81">
        <f>SUM(AM197:AQ197)</f>
        <v/>
      </c>
      <c r="T197" s="81">
        <f>SUM(AS197:AW197)</f>
        <v/>
      </c>
      <c r="Y197" s="81" t="n">
        <v>1050</v>
      </c>
    </row>
    <row r="198">
      <c r="A198" s="72">
        <f>$D$27</f>
        <v/>
      </c>
      <c r="B198" s="72">
        <f>B197+1</f>
        <v/>
      </c>
      <c r="C198" s="72">
        <f>IF(K198="Vacant","Vac",IF(K198="Model","Model",IF(K198="Admin","Admin",IF(K198="Down","Down",IF(K198="Super","Super","Occ")))))</f>
        <v/>
      </c>
      <c r="D198" s="72">
        <f>INDEX($C$5:$C$14,MATCH(I198,$D$5:$D$14,0))</f>
        <v/>
      </c>
      <c r="E198" s="72">
        <f>INDEX($E$5:$E$14,MATCH(D198,$C$5:$C$14,0))</f>
        <v/>
      </c>
      <c r="F198" s="72">
        <f>INDEX($F$5:$F$14,MATCH(D198,$C$5:$C$14,0))</f>
        <v/>
      </c>
      <c r="G198" s="72">
        <f>INDEX($G$5:$G$14,MATCH(D198,$C$5:$C$14,0))</f>
        <v/>
      </c>
      <c r="H198" s="72" t="inlineStr">
        <is>
          <t>F11</t>
        </is>
      </c>
      <c r="I198" s="72" t="inlineStr">
        <is>
          <t>stjt2C2</t>
        </is>
      </c>
      <c r="J198" s="80" t="n">
        <v>1075</v>
      </c>
      <c r="K198" s="72" t="inlineStr">
        <is>
          <t>Hannah Beverly</t>
        </is>
      </c>
      <c r="L198" s="81" t="n">
        <v>1280</v>
      </c>
      <c r="M198" s="81">
        <f>Y198</f>
        <v/>
      </c>
      <c r="N198" s="82" t="n">
        <v>45675</v>
      </c>
      <c r="O198" s="82" t="n">
        <v>45675</v>
      </c>
      <c r="P198" s="82" t="n">
        <v>46220</v>
      </c>
      <c r="R198" s="81">
        <f>SUM(AB198:AK198)</f>
        <v/>
      </c>
      <c r="S198" s="81">
        <f>SUM(AM198:AQ198)</f>
        <v/>
      </c>
      <c r="T198" s="81">
        <f>SUM(AS198:AW198)</f>
        <v/>
      </c>
      <c r="Y198" s="81" t="n">
        <v>1025</v>
      </c>
    </row>
    <row r="199">
      <c r="A199" s="72">
        <f>$D$27</f>
        <v/>
      </c>
      <c r="B199" s="72">
        <f>B198+1</f>
        <v/>
      </c>
      <c r="C199" s="72">
        <f>IF(K199="Vacant","Vac",IF(K199="Model","Model",IF(K199="Admin","Admin",IF(K199="Down","Down",IF(K199="Super","Super","Occ")))))</f>
        <v/>
      </c>
      <c r="D199" s="72">
        <f>INDEX($C$5:$C$14,MATCH(I199,$D$5:$D$14,0))</f>
        <v/>
      </c>
      <c r="E199" s="72">
        <f>INDEX($E$5:$E$14,MATCH(D199,$C$5:$C$14,0))</f>
        <v/>
      </c>
      <c r="F199" s="72">
        <f>INDEX($F$5:$F$14,MATCH(D199,$C$5:$C$14,0))</f>
        <v/>
      </c>
      <c r="G199" s="72">
        <f>INDEX($G$5:$G$14,MATCH(D199,$C$5:$C$14,0))</f>
        <v/>
      </c>
      <c r="H199" s="72" t="inlineStr">
        <is>
          <t>F12</t>
        </is>
      </c>
      <c r="I199" s="72" t="inlineStr">
        <is>
          <t>stjt2A1R</t>
        </is>
      </c>
      <c r="J199" s="80" t="n">
        <v>850</v>
      </c>
      <c r="K199" s="72" t="inlineStr">
        <is>
          <t>Harpreet Kaur</t>
        </is>
      </c>
      <c r="L199" s="81" t="n">
        <v>1055</v>
      </c>
      <c r="M199" s="81">
        <f>Y199</f>
        <v/>
      </c>
      <c r="N199" s="82" t="n">
        <v>45779</v>
      </c>
      <c r="O199" s="82" t="n">
        <v>45779</v>
      </c>
      <c r="P199" s="82" t="n">
        <v>46143</v>
      </c>
      <c r="R199" s="81">
        <f>SUM(AB199:AK199)</f>
        <v/>
      </c>
      <c r="S199" s="81">
        <f>SUM(AM199:AQ199)</f>
        <v/>
      </c>
      <c r="T199" s="81">
        <f>SUM(AS199:AW199)</f>
        <v/>
      </c>
      <c r="Y199" s="81" t="n">
        <v>1040</v>
      </c>
    </row>
    <row r="200">
      <c r="A200" s="72">
        <f>$D$27</f>
        <v/>
      </c>
      <c r="B200" s="72">
        <f>B199+1</f>
        <v/>
      </c>
      <c r="C200" s="72">
        <f>IF(K200="Vacant","Vac",IF(K200="Model","Model",IF(K200="Admin","Admin",IF(K200="Down","Down",IF(K200="Super","Super","Occ")))))</f>
        <v/>
      </c>
      <c r="D200" s="72">
        <f>INDEX($C$5:$C$14,MATCH(I200,$D$5:$D$14,0))</f>
        <v/>
      </c>
      <c r="E200" s="72">
        <f>INDEX($E$5:$E$14,MATCH(D200,$C$5:$C$14,0))</f>
        <v/>
      </c>
      <c r="F200" s="72">
        <f>INDEX($F$5:$F$14,MATCH(D200,$C$5:$C$14,0))</f>
        <v/>
      </c>
      <c r="G200" s="72">
        <f>INDEX($G$5:$G$14,MATCH(D200,$C$5:$C$14,0))</f>
        <v/>
      </c>
      <c r="H200" s="72" t="inlineStr">
        <is>
          <t>F13</t>
        </is>
      </c>
      <c r="I200" s="72" t="inlineStr">
        <is>
          <t>stjt2B1</t>
        </is>
      </c>
      <c r="J200" s="80" t="n">
        <v>950</v>
      </c>
      <c r="K200" s="72" t="inlineStr">
        <is>
          <t>Antonio Evans</t>
        </is>
      </c>
      <c r="L200" s="81" t="n">
        <v>1020</v>
      </c>
      <c r="M200" s="81">
        <f>Y200</f>
        <v/>
      </c>
      <c r="N200" s="82" t="n">
        <v>46093</v>
      </c>
      <c r="O200" s="82" t="n">
        <v>46093</v>
      </c>
      <c r="P200" s="82" t="n">
        <v>46457</v>
      </c>
      <c r="R200" s="81">
        <f>SUM(AB200:AK200)</f>
        <v/>
      </c>
      <c r="S200" s="81">
        <f>SUM(AM200:AQ200)</f>
        <v/>
      </c>
      <c r="T200" s="81">
        <f>SUM(AS200:AW200)</f>
        <v/>
      </c>
      <c r="Y200" s="81" t="n">
        <v>1010</v>
      </c>
    </row>
    <row r="201">
      <c r="A201" s="72">
        <f>$D$27</f>
        <v/>
      </c>
      <c r="B201" s="72">
        <f>B200+1</f>
        <v/>
      </c>
      <c r="C201" s="72">
        <f>IF(K201="Vacant","Vac",IF(K201="Model","Model",IF(K201="Admin","Admin",IF(K201="Down","Down",IF(K201="Super","Super","Occ")))))</f>
        <v/>
      </c>
      <c r="D201" s="72">
        <f>INDEX($C$5:$C$14,MATCH(I201,$D$5:$D$14,0))</f>
        <v/>
      </c>
      <c r="E201" s="72">
        <f>INDEX($E$5:$E$14,MATCH(D201,$C$5:$C$14,0))</f>
        <v/>
      </c>
      <c r="F201" s="72">
        <f>INDEX($F$5:$F$14,MATCH(D201,$C$5:$C$14,0))</f>
        <v/>
      </c>
      <c r="G201" s="72">
        <f>INDEX($G$5:$G$14,MATCH(D201,$C$5:$C$14,0))</f>
        <v/>
      </c>
      <c r="H201" s="72" t="inlineStr">
        <is>
          <t>F14</t>
        </is>
      </c>
      <c r="I201" s="72" t="inlineStr">
        <is>
          <t>stjt2B1</t>
        </is>
      </c>
      <c r="J201" s="80" t="n">
        <v>950</v>
      </c>
      <c r="K201" s="72" t="inlineStr">
        <is>
          <t>Lal Rai</t>
        </is>
      </c>
      <c r="L201" s="81" t="n">
        <v>1040</v>
      </c>
      <c r="M201" s="81">
        <f>Y201</f>
        <v/>
      </c>
      <c r="N201" s="82" t="n">
        <v>45607</v>
      </c>
      <c r="O201" s="82" t="n">
        <v>45607</v>
      </c>
      <c r="P201" s="82" t="n">
        <v>46517</v>
      </c>
      <c r="R201" s="81">
        <f>SUM(AB201:AK201)</f>
        <v/>
      </c>
      <c r="S201" s="81">
        <f>SUM(AM201:AQ201)</f>
        <v/>
      </c>
      <c r="T201" s="81">
        <f>SUM(AS201:AW201)</f>
        <v/>
      </c>
      <c r="Y201" s="81" t="n">
        <v>999</v>
      </c>
    </row>
    <row r="202">
      <c r="A202" s="72">
        <f>$D$27</f>
        <v/>
      </c>
      <c r="B202" s="72">
        <f>B201+1</f>
        <v/>
      </c>
      <c r="C202" s="72">
        <f>IF(K202="Vacant","Vac",IF(K202="Model","Model",IF(K202="Admin","Admin",IF(K202="Down","Down",IF(K202="Super","Super","Occ")))))</f>
        <v/>
      </c>
      <c r="D202" s="72">
        <f>INDEX($C$5:$C$14,MATCH(I202,$D$5:$D$14,0))</f>
        <v/>
      </c>
      <c r="E202" s="72">
        <f>INDEX($E$5:$E$14,MATCH(D202,$C$5:$C$14,0))</f>
        <v/>
      </c>
      <c r="F202" s="72">
        <f>INDEX($F$5:$F$14,MATCH(D202,$C$5:$C$14,0))</f>
        <v/>
      </c>
      <c r="G202" s="72">
        <f>INDEX($G$5:$G$14,MATCH(D202,$C$5:$C$14,0))</f>
        <v/>
      </c>
      <c r="H202" s="72" t="inlineStr">
        <is>
          <t>F15</t>
        </is>
      </c>
      <c r="I202" s="72" t="inlineStr">
        <is>
          <t>stjt2B2</t>
        </is>
      </c>
      <c r="J202" s="80" t="n">
        <v>950</v>
      </c>
      <c r="K202" s="72" t="inlineStr">
        <is>
          <t>Parker Hiteshew</t>
        </is>
      </c>
      <c r="L202" s="81" t="n">
        <v>1060</v>
      </c>
      <c r="M202" s="81">
        <f>Y202</f>
        <v/>
      </c>
      <c r="N202" s="82" t="n">
        <v>45499</v>
      </c>
      <c r="O202" s="82" t="n">
        <v>45499</v>
      </c>
      <c r="P202" s="82" t="n">
        <v>46227</v>
      </c>
      <c r="R202" s="81">
        <f>SUM(AB202:AK202)</f>
        <v/>
      </c>
      <c r="S202" s="81">
        <f>SUM(AM202:AQ202)</f>
        <v/>
      </c>
      <c r="T202" s="81">
        <f>SUM(AS202:AW202)</f>
        <v/>
      </c>
      <c r="Y202" s="81" t="n">
        <v>1050</v>
      </c>
    </row>
    <row r="203">
      <c r="A203" s="72">
        <f>$D$27</f>
        <v/>
      </c>
      <c r="B203" s="72">
        <f>B202+1</f>
        <v/>
      </c>
      <c r="C203" s="72">
        <f>IF(K203="Vacant","Vac",IF(K203="Model","Model",IF(K203="Admin","Admin",IF(K203="Down","Down",IF(K203="Super","Super","Occ")))))</f>
        <v/>
      </c>
      <c r="D203" s="72">
        <f>INDEX($C$5:$C$14,MATCH(I203,$D$5:$D$14,0))</f>
        <v/>
      </c>
      <c r="E203" s="72">
        <f>INDEX($E$5:$E$14,MATCH(D203,$C$5:$C$14,0))</f>
        <v/>
      </c>
      <c r="F203" s="72">
        <f>INDEX($F$5:$F$14,MATCH(D203,$C$5:$C$14,0))</f>
        <v/>
      </c>
      <c r="G203" s="72">
        <f>INDEX($G$5:$G$14,MATCH(D203,$C$5:$C$14,0))</f>
        <v/>
      </c>
      <c r="H203" s="72" t="inlineStr">
        <is>
          <t>F16</t>
        </is>
      </c>
      <c r="I203" s="72" t="inlineStr">
        <is>
          <t>stjt2B2</t>
        </is>
      </c>
      <c r="J203" s="80" t="n">
        <v>950</v>
      </c>
      <c r="K203" s="72" t="inlineStr">
        <is>
          <t>Alexandra Ohnemus</t>
        </is>
      </c>
      <c r="L203" s="81" t="n">
        <v>1060</v>
      </c>
      <c r="M203" s="81">
        <f>Y203</f>
        <v/>
      </c>
      <c r="N203" s="82" t="n">
        <v>45899</v>
      </c>
      <c r="O203" s="82" t="n">
        <v>45899</v>
      </c>
      <c r="P203" s="82" t="n">
        <v>46263</v>
      </c>
      <c r="R203" s="81">
        <f>SUM(AB203:AK203)</f>
        <v/>
      </c>
      <c r="S203" s="81">
        <f>SUM(AM203:AQ203)</f>
        <v/>
      </c>
      <c r="T203" s="81">
        <f>SUM(AS203:AW203)</f>
        <v/>
      </c>
      <c r="Y203" s="81" t="n">
        <v>1030</v>
      </c>
    </row>
    <row r="204">
      <c r="A204" s="72">
        <f>$D$27</f>
        <v/>
      </c>
      <c r="B204" s="72">
        <f>B203+1</f>
        <v/>
      </c>
      <c r="C204" s="72">
        <f>IF(K204="Vacant","Vac",IF(K204="Model","Model",IF(K204="Admin","Admin",IF(K204="Down","Down",IF(K204="Super","Super","Occ")))))</f>
        <v/>
      </c>
      <c r="D204" s="72">
        <f>INDEX($C$5:$C$14,MATCH(I204,$D$5:$D$14,0))</f>
        <v/>
      </c>
      <c r="E204" s="72">
        <f>INDEX($E$5:$E$14,MATCH(D204,$C$5:$C$14,0))</f>
        <v/>
      </c>
      <c r="F204" s="72">
        <f>INDEX($F$5:$F$14,MATCH(D204,$C$5:$C$14,0))</f>
        <v/>
      </c>
      <c r="G204" s="72">
        <f>INDEX($G$5:$G$14,MATCH(D204,$C$5:$C$14,0))</f>
        <v/>
      </c>
      <c r="H204" s="72" t="inlineStr">
        <is>
          <t>F17</t>
        </is>
      </c>
      <c r="I204" s="72" t="inlineStr">
        <is>
          <t>stjt2B1</t>
        </is>
      </c>
      <c r="J204" s="80" t="n">
        <v>950</v>
      </c>
      <c r="K204" s="72" t="inlineStr">
        <is>
          <t>Leslie Hardy</t>
        </is>
      </c>
      <c r="L204" s="81" t="n">
        <v>1035</v>
      </c>
      <c r="M204" s="81">
        <f>Y204</f>
        <v/>
      </c>
      <c r="N204" s="82" t="n">
        <v>45778</v>
      </c>
      <c r="O204" s="82" t="n">
        <v>45778</v>
      </c>
      <c r="P204" s="82" t="n">
        <v>46234</v>
      </c>
      <c r="R204" s="81">
        <f>SUM(AB204:AK204)</f>
        <v/>
      </c>
      <c r="S204" s="81">
        <f>SUM(AM204:AQ204)</f>
        <v/>
      </c>
      <c r="T204" s="81">
        <f>SUM(AS204:AW204)</f>
        <v/>
      </c>
      <c r="Y204" s="81" t="n">
        <v>1014</v>
      </c>
    </row>
    <row r="205">
      <c r="A205" s="72">
        <f>$D$27</f>
        <v/>
      </c>
      <c r="B205" s="72">
        <f>B204+1</f>
        <v/>
      </c>
      <c r="C205" s="72">
        <f>IF(K205="Vacant","Vac",IF(K205="Model","Model",IF(K205="Admin","Admin",IF(K205="Down","Down",IF(K205="Super","Super","Occ")))))</f>
        <v/>
      </c>
      <c r="D205" s="72">
        <f>INDEX($C$5:$C$14,MATCH(I205,$D$5:$D$14,0))</f>
        <v/>
      </c>
      <c r="E205" s="72">
        <f>INDEX($E$5:$E$14,MATCH(D205,$C$5:$C$14,0))</f>
        <v/>
      </c>
      <c r="F205" s="72">
        <f>INDEX($F$5:$F$14,MATCH(D205,$C$5:$C$14,0))</f>
        <v/>
      </c>
      <c r="G205" s="72">
        <f>INDEX($G$5:$G$14,MATCH(D205,$C$5:$C$14,0))</f>
        <v/>
      </c>
      <c r="H205" s="72" t="inlineStr">
        <is>
          <t>F18</t>
        </is>
      </c>
      <c r="I205" s="72" t="inlineStr">
        <is>
          <t>stjt2B1</t>
        </is>
      </c>
      <c r="J205" s="80" t="n">
        <v>950</v>
      </c>
      <c r="K205" s="72" t="inlineStr">
        <is>
          <t>Edgar Constantino</t>
        </is>
      </c>
      <c r="L205" s="81" t="n">
        <v>1035</v>
      </c>
      <c r="M205" s="81">
        <f>Y205</f>
        <v/>
      </c>
      <c r="N205" s="82" t="n">
        <v>45433</v>
      </c>
      <c r="O205" s="82" t="n">
        <v>45433</v>
      </c>
      <c r="P205" s="82" t="n">
        <v>46162</v>
      </c>
      <c r="R205" s="81">
        <f>SUM(AB205:AK205)</f>
        <v/>
      </c>
      <c r="S205" s="81">
        <f>SUM(AM205:AQ205)</f>
        <v/>
      </c>
      <c r="T205" s="81">
        <f>SUM(AS205:AW205)</f>
        <v/>
      </c>
      <c r="Y205" s="81" t="n">
        <v>965</v>
      </c>
    </row>
    <row r="206">
      <c r="A206" s="72">
        <f>$D$27</f>
        <v/>
      </c>
      <c r="B206" s="72">
        <f>B205+1</f>
        <v/>
      </c>
      <c r="C206" s="72">
        <f>IF(K206="Vacant","Vac",IF(K206="Model","Model",IF(K206="Admin","Admin",IF(K206="Down","Down",IF(K206="Super","Super","Occ")))))</f>
        <v/>
      </c>
      <c r="D206" s="72">
        <f>INDEX($C$5:$C$14,MATCH(I206,$D$5:$D$14,0))</f>
        <v/>
      </c>
      <c r="E206" s="72">
        <f>INDEX($E$5:$E$14,MATCH(D206,$C$5:$C$14,0))</f>
        <v/>
      </c>
      <c r="F206" s="72">
        <f>INDEX($F$5:$F$14,MATCH(D206,$C$5:$C$14,0))</f>
        <v/>
      </c>
      <c r="G206" s="72">
        <f>INDEX($G$5:$G$14,MATCH(D206,$C$5:$C$14,0))</f>
        <v/>
      </c>
      <c r="H206" s="72" t="inlineStr">
        <is>
          <t>F19</t>
        </is>
      </c>
      <c r="I206" s="72" t="inlineStr">
        <is>
          <t>stjt2B2R</t>
        </is>
      </c>
      <c r="J206" s="80" t="n">
        <v>950</v>
      </c>
      <c r="K206" s="72" t="inlineStr">
        <is>
          <t>Petronila Grave Ralios</t>
        </is>
      </c>
      <c r="L206" s="81" t="n">
        <v>1214</v>
      </c>
      <c r="M206" s="81">
        <f>Y206</f>
        <v/>
      </c>
      <c r="N206" s="82" t="n">
        <v>46087</v>
      </c>
      <c r="O206" s="82" t="n">
        <v>46087</v>
      </c>
      <c r="P206" s="82" t="n">
        <v>46451</v>
      </c>
      <c r="R206" s="81">
        <f>SUM(AB206:AK206)</f>
        <v/>
      </c>
      <c r="S206" s="81">
        <f>SUM(AM206:AQ206)</f>
        <v/>
      </c>
      <c r="T206" s="81">
        <f>SUM(AS206:AW206)</f>
        <v/>
      </c>
      <c r="Y206" s="81" t="n">
        <v>1105</v>
      </c>
    </row>
    <row r="207">
      <c r="A207" s="72">
        <f>$D$27</f>
        <v/>
      </c>
      <c r="B207" s="72">
        <f>B206+1</f>
        <v/>
      </c>
      <c r="C207" s="72">
        <f>IF(K207="Vacant","Vac",IF(K207="Model","Model",IF(K207="Admin","Admin",IF(K207="Down","Down",IF(K207="Super","Super","Occ")))))</f>
        <v/>
      </c>
      <c r="D207" s="72">
        <f>INDEX($C$5:$C$14,MATCH(I207,$D$5:$D$14,0))</f>
        <v/>
      </c>
      <c r="E207" s="72">
        <f>INDEX($E$5:$E$14,MATCH(D207,$C$5:$C$14,0))</f>
        <v/>
      </c>
      <c r="F207" s="72">
        <f>INDEX($F$5:$F$14,MATCH(D207,$C$5:$C$14,0))</f>
        <v/>
      </c>
      <c r="G207" s="72">
        <f>INDEX($G$5:$G$14,MATCH(D207,$C$5:$C$14,0))</f>
        <v/>
      </c>
      <c r="H207" s="72" t="inlineStr">
        <is>
          <t>F20</t>
        </is>
      </c>
      <c r="I207" s="72" t="inlineStr">
        <is>
          <t>stjt2B2</t>
        </is>
      </c>
      <c r="J207" s="80" t="n">
        <v>950</v>
      </c>
      <c r="K207" s="72" t="inlineStr">
        <is>
          <t>Khadija Ahmedou</t>
        </is>
      </c>
      <c r="L207" s="81" t="n">
        <v>1075</v>
      </c>
      <c r="M207" s="81">
        <f>Y207</f>
        <v/>
      </c>
      <c r="N207" s="82" t="n">
        <v>45567</v>
      </c>
      <c r="O207" s="82" t="n">
        <v>45567</v>
      </c>
      <c r="P207" s="82" t="n">
        <v>46296</v>
      </c>
      <c r="R207" s="81">
        <f>SUM(AB207:AK207)</f>
        <v/>
      </c>
      <c r="S207" s="81">
        <f>SUM(AM207:AQ207)</f>
        <v/>
      </c>
      <c r="T207" s="81">
        <f>SUM(AS207:AW207)</f>
        <v/>
      </c>
      <c r="Y207" s="81" t="n">
        <v>1060</v>
      </c>
    </row>
    <row r="208">
      <c r="A208" s="72">
        <f>$D$27</f>
        <v/>
      </c>
      <c r="B208" s="72">
        <f>B207+1</f>
        <v/>
      </c>
      <c r="C208" s="72">
        <f>IF(K208="Vacant","Vac",IF(K208="Model","Model",IF(K208="Admin","Admin",IF(K208="Down","Down",IF(K208="Super","Super","Occ")))))</f>
        <v/>
      </c>
      <c r="D208" s="72">
        <f>INDEX($C$5:$C$14,MATCH(I208,$D$5:$D$14,0))</f>
        <v/>
      </c>
      <c r="E208" s="72">
        <f>INDEX($E$5:$E$14,MATCH(D208,$C$5:$C$14,0))</f>
        <v/>
      </c>
      <c r="F208" s="72">
        <f>INDEX($F$5:$F$14,MATCH(D208,$C$5:$C$14,0))</f>
        <v/>
      </c>
      <c r="G208" s="72">
        <f>INDEX($G$5:$G$14,MATCH(D208,$C$5:$C$14,0))</f>
        <v/>
      </c>
      <c r="H208" s="72" t="inlineStr">
        <is>
          <t>F21</t>
        </is>
      </c>
      <c r="I208" s="72" t="inlineStr">
        <is>
          <t>stjt2B1</t>
        </is>
      </c>
      <c r="J208" s="80" t="n">
        <v>950</v>
      </c>
      <c r="K208" s="72" t="inlineStr">
        <is>
          <t>Eric Forehand</t>
        </is>
      </c>
      <c r="L208" s="81" t="n">
        <v>1035</v>
      </c>
      <c r="M208" s="81">
        <f>Y208</f>
        <v/>
      </c>
      <c r="N208" s="82" t="n">
        <v>44779</v>
      </c>
      <c r="O208" s="82" t="n">
        <v>44779</v>
      </c>
      <c r="P208" s="82" t="n">
        <v>46240</v>
      </c>
      <c r="R208" s="81">
        <f>SUM(AB208:AK208)</f>
        <v/>
      </c>
      <c r="S208" s="81">
        <f>SUM(AM208:AQ208)</f>
        <v/>
      </c>
      <c r="T208" s="81">
        <f>SUM(AS208:AW208)</f>
        <v/>
      </c>
      <c r="Y208" s="81" t="n">
        <v>1015</v>
      </c>
    </row>
    <row r="209">
      <c r="A209" s="72">
        <f>$D$27</f>
        <v/>
      </c>
      <c r="B209" s="72">
        <f>B208+1</f>
        <v/>
      </c>
      <c r="C209" s="72">
        <f>IF(K209="Vacant","Vac",IF(K209="Model","Model",IF(K209="Admin","Admin",IF(K209="Down","Down",IF(K209="Super","Super","Occ")))))</f>
        <v/>
      </c>
      <c r="D209" s="72">
        <f>INDEX($C$5:$C$14,MATCH(I209,$D$5:$D$14,0))</f>
        <v/>
      </c>
      <c r="E209" s="72">
        <f>INDEX($E$5:$E$14,MATCH(D209,$C$5:$C$14,0))</f>
        <v/>
      </c>
      <c r="F209" s="72">
        <f>INDEX($F$5:$F$14,MATCH(D209,$C$5:$C$14,0))</f>
        <v/>
      </c>
      <c r="G209" s="72">
        <f>INDEX($G$5:$G$14,MATCH(D209,$C$5:$C$14,0))</f>
        <v/>
      </c>
      <c r="H209" s="72" t="inlineStr">
        <is>
          <t>F22</t>
        </is>
      </c>
      <c r="I209" s="72" t="inlineStr">
        <is>
          <t>stjt2B1</t>
        </is>
      </c>
      <c r="J209" s="80" t="n">
        <v>950</v>
      </c>
      <c r="K209" s="72" t="inlineStr">
        <is>
          <t>Ira Dunlap</t>
        </is>
      </c>
      <c r="L209" s="81" t="n">
        <v>1035</v>
      </c>
      <c r="M209" s="81">
        <f>Y209</f>
        <v/>
      </c>
      <c r="N209" s="82" t="n">
        <v>45807</v>
      </c>
      <c r="O209" s="82" t="n">
        <v>45807</v>
      </c>
      <c r="P209" s="82" t="n">
        <v>46171</v>
      </c>
      <c r="R209" s="81">
        <f>SUM(AB209:AK209)</f>
        <v/>
      </c>
      <c r="S209" s="81">
        <f>SUM(AM209:AQ209)</f>
        <v/>
      </c>
      <c r="T209" s="81">
        <f>SUM(AS209:AW209)</f>
        <v/>
      </c>
      <c r="Y209" s="81" t="n">
        <v>1014</v>
      </c>
    </row>
    <row r="210">
      <c r="A210" s="72">
        <f>$D$27</f>
        <v/>
      </c>
      <c r="B210" s="72">
        <f>B209+1</f>
        <v/>
      </c>
      <c r="C210" s="72">
        <f>IF(K210="Vacant","Vac",IF(K210="Model","Model",IF(K210="Admin","Admin",IF(K210="Down","Down",IF(K210="Super","Super","Occ")))))</f>
        <v/>
      </c>
      <c r="D210" s="72">
        <f>INDEX($C$5:$C$14,MATCH(I210,$D$5:$D$14,0))</f>
        <v/>
      </c>
      <c r="E210" s="72">
        <f>INDEX($E$5:$E$14,MATCH(D210,$C$5:$C$14,0))</f>
        <v/>
      </c>
      <c r="F210" s="72">
        <f>INDEX($F$5:$F$14,MATCH(D210,$C$5:$C$14,0))</f>
        <v/>
      </c>
      <c r="G210" s="72">
        <f>INDEX($G$5:$G$14,MATCH(D210,$C$5:$C$14,0))</f>
        <v/>
      </c>
      <c r="H210" s="72" t="inlineStr">
        <is>
          <t>F23</t>
        </is>
      </c>
      <c r="I210" s="72" t="inlineStr">
        <is>
          <t>stjt2B2</t>
        </is>
      </c>
      <c r="J210" s="80" t="n">
        <v>950</v>
      </c>
      <c r="K210" s="72" t="inlineStr">
        <is>
          <t>Carson Smith</t>
        </is>
      </c>
      <c r="L210" s="81" t="n">
        <v>1075</v>
      </c>
      <c r="M210" s="81">
        <f>Y210</f>
        <v/>
      </c>
      <c r="N210" s="82" t="n">
        <v>46116</v>
      </c>
      <c r="O210" s="82" t="n">
        <v>46116</v>
      </c>
      <c r="P210" s="82" t="n">
        <v>46480</v>
      </c>
      <c r="R210" s="81">
        <f>SUM(AB210:AK210)</f>
        <v/>
      </c>
      <c r="S210" s="81">
        <f>SUM(AM210:AQ210)</f>
        <v/>
      </c>
      <c r="T210" s="81">
        <f>SUM(AS210:AW210)</f>
        <v/>
      </c>
      <c r="Y210" s="81" t="n">
        <v>1075</v>
      </c>
    </row>
    <row r="211">
      <c r="A211" s="72">
        <f>$D$27</f>
        <v/>
      </c>
      <c r="B211" s="72">
        <f>B210+1</f>
        <v/>
      </c>
      <c r="C211" s="72">
        <f>IF(K211="Vacant","Vac",IF(K211="Model","Model",IF(K211="Admin","Admin",IF(K211="Down","Down",IF(K211="Super","Super","Occ")))))</f>
        <v/>
      </c>
      <c r="D211" s="72">
        <f>INDEX($C$5:$C$14,MATCH(I211,$D$5:$D$14,0))</f>
        <v/>
      </c>
      <c r="E211" s="72">
        <f>INDEX($E$5:$E$14,MATCH(D211,$C$5:$C$14,0))</f>
        <v/>
      </c>
      <c r="F211" s="72">
        <f>INDEX($F$5:$F$14,MATCH(D211,$C$5:$C$14,0))</f>
        <v/>
      </c>
      <c r="G211" s="72">
        <f>INDEX($G$5:$G$14,MATCH(D211,$C$5:$C$14,0))</f>
        <v/>
      </c>
      <c r="H211" s="72" t="inlineStr">
        <is>
          <t>F24</t>
        </is>
      </c>
      <c r="I211" s="72" t="inlineStr">
        <is>
          <t>stjt2B2</t>
        </is>
      </c>
      <c r="J211" s="80" t="n">
        <v>950</v>
      </c>
      <c r="K211" s="72" t="inlineStr">
        <is>
          <t>Adam Anderson</t>
        </is>
      </c>
      <c r="L211" s="81" t="n">
        <v>1075</v>
      </c>
      <c r="M211" s="81">
        <f>Y211</f>
        <v/>
      </c>
      <c r="N211" s="82" t="n">
        <v>45801</v>
      </c>
      <c r="O211" s="82" t="n">
        <v>45801</v>
      </c>
      <c r="P211" s="82" t="n">
        <v>46165</v>
      </c>
      <c r="R211" s="81">
        <f>SUM(AB211:AK211)</f>
        <v/>
      </c>
      <c r="S211" s="81">
        <f>SUM(AM211:AQ211)</f>
        <v/>
      </c>
      <c r="T211" s="81">
        <f>SUM(AS211:AW211)</f>
        <v/>
      </c>
      <c r="Y211" s="81" t="n">
        <v>1030</v>
      </c>
    </row>
    <row r="212">
      <c r="A212" s="72">
        <f>$D$27</f>
        <v/>
      </c>
      <c r="B212" s="72">
        <f>B211+1</f>
        <v/>
      </c>
      <c r="C212" s="72">
        <f>IF(K212="Vacant","Vac",IF(K212="Model","Model",IF(K212="Admin","Admin",IF(K212="Down","Down",IF(K212="Super","Super","Occ")))))</f>
        <v/>
      </c>
      <c r="D212" s="72">
        <f>INDEX($C$5:$C$14,MATCH(I212,$D$5:$D$14,0))</f>
        <v/>
      </c>
      <c r="E212" s="72">
        <f>INDEX($E$5:$E$14,MATCH(D212,$C$5:$C$14,0))</f>
        <v/>
      </c>
      <c r="F212" s="72">
        <f>INDEX($F$5:$F$14,MATCH(D212,$C$5:$C$14,0))</f>
        <v/>
      </c>
      <c r="G212" s="72">
        <f>INDEX($G$5:$G$14,MATCH(D212,$C$5:$C$14,0))</f>
        <v/>
      </c>
      <c r="H212" s="72" t="inlineStr">
        <is>
          <t>F25</t>
        </is>
      </c>
      <c r="I212" s="72" t="inlineStr">
        <is>
          <t>stjt2A1R</t>
        </is>
      </c>
      <c r="J212" s="80" t="n">
        <v>850</v>
      </c>
      <c r="K212" s="72" t="inlineStr">
        <is>
          <t>Heaven Henderson</t>
        </is>
      </c>
      <c r="L212" s="81" t="n">
        <v>1040</v>
      </c>
      <c r="M212" s="81">
        <f>Y212</f>
        <v/>
      </c>
      <c r="N212" s="82" t="n">
        <v>45527</v>
      </c>
      <c r="O212" s="82" t="n">
        <v>45527</v>
      </c>
      <c r="P212" s="82" t="n">
        <v>46256</v>
      </c>
      <c r="R212" s="81">
        <f>SUM(AB212:AK212)</f>
        <v/>
      </c>
      <c r="S212" s="81">
        <f>SUM(AM212:AQ212)</f>
        <v/>
      </c>
      <c r="T212" s="81">
        <f>SUM(AS212:AW212)</f>
        <v/>
      </c>
      <c r="Y212" s="81" t="n">
        <v>1025</v>
      </c>
    </row>
    <row r="213">
      <c r="A213" s="72">
        <f>$D$27</f>
        <v/>
      </c>
      <c r="B213" s="72">
        <f>B212+1</f>
        <v/>
      </c>
      <c r="C213" s="72">
        <f>IF(K213="Vacant","Vac",IF(K213="Model","Model",IF(K213="Admin","Admin",IF(K213="Down","Down",IF(K213="Super","Super","Occ")))))</f>
        <v/>
      </c>
      <c r="D213" s="72">
        <f>INDEX($C$5:$C$14,MATCH(I213,$D$5:$D$14,0))</f>
        <v/>
      </c>
      <c r="E213" s="72">
        <f>INDEX($E$5:$E$14,MATCH(D213,$C$5:$C$14,0))</f>
        <v/>
      </c>
      <c r="F213" s="72">
        <f>INDEX($F$5:$F$14,MATCH(D213,$C$5:$C$14,0))</f>
        <v/>
      </c>
      <c r="G213" s="72">
        <f>INDEX($G$5:$G$14,MATCH(D213,$C$5:$C$14,0))</f>
        <v/>
      </c>
      <c r="H213" s="72" t="inlineStr">
        <is>
          <t>F26</t>
        </is>
      </c>
      <c r="I213" s="72" t="inlineStr">
        <is>
          <t>stjt2C1</t>
        </is>
      </c>
      <c r="J213" s="80" t="n">
        <v>1075</v>
      </c>
      <c r="K213" s="72" t="inlineStr">
        <is>
          <t>Luis Miller-Rivas</t>
        </is>
      </c>
      <c r="L213" s="81" t="n">
        <v>1190</v>
      </c>
      <c r="M213" s="81">
        <f>Y213</f>
        <v/>
      </c>
      <c r="N213" s="82" t="n">
        <v>45987</v>
      </c>
      <c r="O213" s="82" t="n">
        <v>45987</v>
      </c>
      <c r="P213" s="82" t="n">
        <v>46716</v>
      </c>
      <c r="R213" s="81">
        <f>SUM(AB213:AK213)</f>
        <v/>
      </c>
      <c r="S213" s="81">
        <f>SUM(AM213:AQ213)</f>
        <v/>
      </c>
      <c r="T213" s="81">
        <f>SUM(AS213:AW213)</f>
        <v/>
      </c>
      <c r="Y213" s="81" t="n">
        <v>999</v>
      </c>
    </row>
    <row r="214">
      <c r="A214" s="72">
        <f>$D$27</f>
        <v/>
      </c>
      <c r="B214" s="72">
        <f>B213+1</f>
        <v/>
      </c>
      <c r="C214" s="72">
        <f>IF(K214="Vacant","Vac",IF(K214="Model","Model",IF(K214="Admin","Admin",IF(K214="Down","Down",IF(K214="Super","Super","Occ")))))</f>
        <v/>
      </c>
      <c r="D214" s="72">
        <f>INDEX($C$5:$C$14,MATCH(I214,$D$5:$D$14,0))</f>
        <v/>
      </c>
      <c r="E214" s="72">
        <f>INDEX($E$5:$E$14,MATCH(D214,$C$5:$C$14,0))</f>
        <v/>
      </c>
      <c r="F214" s="72">
        <f>INDEX($F$5:$F$14,MATCH(D214,$C$5:$C$14,0))</f>
        <v/>
      </c>
      <c r="G214" s="72">
        <f>INDEX($G$5:$G$14,MATCH(D214,$C$5:$C$14,0))</f>
        <v/>
      </c>
      <c r="H214" s="72" t="inlineStr">
        <is>
          <t>F27</t>
        </is>
      </c>
      <c r="I214" s="72" t="inlineStr">
        <is>
          <t>stjt2A1</t>
        </is>
      </c>
      <c r="J214" s="80" t="n">
        <v>850</v>
      </c>
      <c r="K214" s="72" t="inlineStr">
        <is>
          <t>William Long</t>
        </is>
      </c>
      <c r="L214" s="81" t="n">
        <v>975</v>
      </c>
      <c r="M214" s="81">
        <f>Y214</f>
        <v/>
      </c>
      <c r="N214" s="82" t="n">
        <v>45618</v>
      </c>
      <c r="O214" s="82" t="n">
        <v>45618</v>
      </c>
      <c r="P214" s="82" t="n">
        <v>46163</v>
      </c>
      <c r="R214" s="81">
        <f>SUM(AB214:AK214)</f>
        <v/>
      </c>
      <c r="S214" s="81">
        <f>SUM(AM214:AQ214)</f>
        <v/>
      </c>
      <c r="T214" s="81">
        <f>SUM(AS214:AW214)</f>
        <v/>
      </c>
      <c r="Y214" s="81" t="n">
        <v>850</v>
      </c>
    </row>
    <row r="215">
      <c r="A215" s="72">
        <f>$D$27</f>
        <v/>
      </c>
      <c r="B215" s="72">
        <f>B214+1</f>
        <v/>
      </c>
      <c r="C215" s="72">
        <f>IF(K215="Vacant","Vac",IF(K215="Model","Model",IF(K215="Admin","Admin",IF(K215="Down","Down",IF(K215="Super","Super","Occ")))))</f>
        <v/>
      </c>
      <c r="D215" s="72">
        <f>INDEX($C$5:$C$14,MATCH(I215,$D$5:$D$14,0))</f>
        <v/>
      </c>
      <c r="E215" s="72">
        <f>INDEX($E$5:$E$14,MATCH(D215,$C$5:$C$14,0))</f>
        <v/>
      </c>
      <c r="F215" s="72">
        <f>INDEX($F$5:$F$14,MATCH(D215,$C$5:$C$14,0))</f>
        <v/>
      </c>
      <c r="G215" s="72">
        <f>INDEX($G$5:$G$14,MATCH(D215,$C$5:$C$14,0))</f>
        <v/>
      </c>
      <c r="H215" s="72" t="inlineStr">
        <is>
          <t>F28</t>
        </is>
      </c>
      <c r="I215" s="72" t="inlineStr">
        <is>
          <t>stjt2C1</t>
        </is>
      </c>
      <c r="J215" s="80" t="n">
        <v>1075</v>
      </c>
      <c r="K215" s="72" t="inlineStr">
        <is>
          <t>Marco Martinez</t>
        </is>
      </c>
      <c r="L215" s="81" t="n">
        <v>1190</v>
      </c>
      <c r="M215" s="81">
        <f>Y215</f>
        <v/>
      </c>
      <c r="N215" s="82" t="n">
        <v>45278</v>
      </c>
      <c r="O215" s="82" t="n">
        <v>45278</v>
      </c>
      <c r="P215" s="82" t="n">
        <v>46220</v>
      </c>
      <c r="R215" s="81">
        <f>SUM(AB215:AK215)</f>
        <v/>
      </c>
      <c r="S215" s="81">
        <f>SUM(AM215:AQ215)</f>
        <v/>
      </c>
      <c r="T215" s="81">
        <f>SUM(AS215:AW215)</f>
        <v/>
      </c>
      <c r="Y215" s="81" t="n">
        <v>1185</v>
      </c>
    </row>
    <row r="216">
      <c r="A216" s="72">
        <f>$D$27</f>
        <v/>
      </c>
      <c r="B216" s="72">
        <f>B215+1</f>
        <v/>
      </c>
      <c r="C216" s="72">
        <f>IF(K216="Vacant","Vac",IF(K216="Model","Model",IF(K216="Admin","Admin",IF(K216="Down","Down",IF(K216="Super","Super","Occ")))))</f>
        <v/>
      </c>
      <c r="D216" s="72">
        <f>INDEX($C$5:$C$14,MATCH(I216,$D$5:$D$14,0))</f>
        <v/>
      </c>
      <c r="E216" s="72">
        <f>INDEX($E$5:$E$14,MATCH(D216,$C$5:$C$14,0))</f>
        <v/>
      </c>
      <c r="F216" s="72">
        <f>INDEX($F$5:$F$14,MATCH(D216,$C$5:$C$14,0))</f>
        <v/>
      </c>
      <c r="G216" s="72">
        <f>INDEX($G$5:$G$14,MATCH(D216,$C$5:$C$14,0))</f>
        <v/>
      </c>
      <c r="H216" s="72" t="inlineStr">
        <is>
          <t>F29</t>
        </is>
      </c>
      <c r="I216" s="72" t="inlineStr">
        <is>
          <t>stjt2A1</t>
        </is>
      </c>
      <c r="J216" s="80" t="n">
        <v>850</v>
      </c>
      <c r="K216" s="72" t="inlineStr">
        <is>
          <t>Brittany Warner</t>
        </is>
      </c>
      <c r="L216" s="81" t="n">
        <v>990</v>
      </c>
      <c r="M216" s="81">
        <f>Y216</f>
        <v/>
      </c>
      <c r="N216" s="82" t="n">
        <v>45740</v>
      </c>
      <c r="O216" s="82" t="n">
        <v>45740</v>
      </c>
      <c r="P216" s="82" t="n">
        <v>46834</v>
      </c>
      <c r="R216" s="81">
        <f>SUM(AB216:AK216)</f>
        <v/>
      </c>
      <c r="S216" s="81">
        <f>SUM(AM216:AQ216)</f>
        <v/>
      </c>
      <c r="T216" s="81">
        <f>SUM(AS216:AW216)</f>
        <v/>
      </c>
      <c r="Y216" s="81" t="n">
        <v>925</v>
      </c>
    </row>
    <row r="217">
      <c r="A217" s="72">
        <f>$D$27</f>
        <v/>
      </c>
      <c r="B217" s="72">
        <f>B216+1</f>
        <v/>
      </c>
      <c r="C217" s="72">
        <f>IF(K217="Vacant","Vac",IF(K217="Model","Model",IF(K217="Admin","Admin",IF(K217="Down","Down",IF(K217="Super","Super","Occ")))))</f>
        <v/>
      </c>
      <c r="D217" s="72">
        <f>INDEX($C$5:$C$14,MATCH(I217,$D$5:$D$14,0))</f>
        <v/>
      </c>
      <c r="E217" s="72">
        <f>INDEX($E$5:$E$14,MATCH(D217,$C$5:$C$14,0))</f>
        <v/>
      </c>
      <c r="F217" s="72">
        <f>INDEX($F$5:$F$14,MATCH(D217,$C$5:$C$14,0))</f>
        <v/>
      </c>
      <c r="G217" s="72">
        <f>INDEX($G$5:$G$14,MATCH(D217,$C$5:$C$14,0))</f>
        <v/>
      </c>
      <c r="H217" s="72" t="inlineStr">
        <is>
          <t>F30</t>
        </is>
      </c>
      <c r="I217" s="72" t="inlineStr">
        <is>
          <t>stjt2C1</t>
        </is>
      </c>
      <c r="J217" s="80" t="n">
        <v>1075</v>
      </c>
      <c r="K217" s="72" t="inlineStr">
        <is>
          <t>Jessica Lamothe</t>
        </is>
      </c>
      <c r="L217" s="81" t="n">
        <v>1205</v>
      </c>
      <c r="M217" s="81">
        <f>Y217</f>
        <v/>
      </c>
      <c r="N217" s="82" t="n">
        <v>44403</v>
      </c>
      <c r="O217" s="82" t="n">
        <v>44403</v>
      </c>
      <c r="P217" s="82" t="n">
        <v>46236</v>
      </c>
      <c r="R217" s="81">
        <f>SUM(AB217:AK217)</f>
        <v/>
      </c>
      <c r="S217" s="81">
        <f>SUM(AM217:AQ217)</f>
        <v/>
      </c>
      <c r="T217" s="81">
        <f>SUM(AS217:AW217)</f>
        <v/>
      </c>
      <c r="Y217" s="81" t="n">
        <v>1079</v>
      </c>
    </row>
    <row r="218">
      <c r="A218" s="72">
        <f>$D$27</f>
        <v/>
      </c>
      <c r="B218" s="72">
        <f>B217+1</f>
        <v/>
      </c>
      <c r="C218" s="72">
        <f>IF(K218="Vacant","Vac",IF(K218="Model","Model",IF(K218="Admin","Admin",IF(K218="Down","Down",IF(K218="Super","Super","Occ")))))</f>
        <v/>
      </c>
      <c r="D218" s="72">
        <f>INDEX($C$5:$C$14,MATCH(I218,$D$5:$D$14,0))</f>
        <v/>
      </c>
      <c r="E218" s="72">
        <f>INDEX($E$5:$E$14,MATCH(D218,$C$5:$C$14,0))</f>
        <v/>
      </c>
      <c r="F218" s="72">
        <f>INDEX($F$5:$F$14,MATCH(D218,$C$5:$C$14,0))</f>
        <v/>
      </c>
      <c r="G218" s="72">
        <f>INDEX($G$5:$G$14,MATCH(D218,$C$5:$C$14,0))</f>
        <v/>
      </c>
      <c r="H218" s="72" t="inlineStr">
        <is>
          <t>F31</t>
        </is>
      </c>
      <c r="I218" s="72" t="inlineStr">
        <is>
          <t>stjt2A1</t>
        </is>
      </c>
      <c r="J218" s="80" t="n">
        <v>850</v>
      </c>
      <c r="K218" s="72" t="inlineStr">
        <is>
          <t>John Francis Burnette</t>
        </is>
      </c>
      <c r="L218" s="81" t="n">
        <v>990</v>
      </c>
      <c r="M218" s="81">
        <f>Y218</f>
        <v/>
      </c>
      <c r="N218" s="82" t="n">
        <v>43049</v>
      </c>
      <c r="O218" s="82" t="n">
        <v>43049</v>
      </c>
      <c r="P218" s="82" t="n">
        <v>46234</v>
      </c>
      <c r="R218" s="81">
        <f>SUM(AB218:AK218)</f>
        <v/>
      </c>
      <c r="S218" s="81">
        <f>SUM(AM218:AQ218)</f>
        <v/>
      </c>
      <c r="T218" s="81">
        <f>SUM(AS218:AW218)</f>
        <v/>
      </c>
      <c r="Y218" s="81" t="n">
        <v>880</v>
      </c>
    </row>
    <row r="219">
      <c r="A219" s="72">
        <f>$D$27</f>
        <v/>
      </c>
      <c r="B219" s="72">
        <f>B218+1</f>
        <v/>
      </c>
      <c r="C219" s="72">
        <f>IF(K219="Vacant","Vac",IF(K219="Model","Model",IF(K219="Admin","Admin",IF(K219="Down","Down",IF(K219="Super","Super","Occ")))))</f>
        <v/>
      </c>
      <c r="D219" s="72">
        <f>INDEX($C$5:$C$14,MATCH(I219,$D$5:$D$14,0))</f>
        <v/>
      </c>
      <c r="E219" s="72">
        <f>INDEX($E$5:$E$14,MATCH(D219,$C$5:$C$14,0))</f>
        <v/>
      </c>
      <c r="F219" s="72">
        <f>INDEX($F$5:$F$14,MATCH(D219,$C$5:$C$14,0))</f>
        <v/>
      </c>
      <c r="G219" s="72">
        <f>INDEX($G$5:$G$14,MATCH(D219,$C$5:$C$14,0))</f>
        <v/>
      </c>
      <c r="H219" s="72" t="inlineStr">
        <is>
          <t>F32</t>
        </is>
      </c>
      <c r="I219" s="72" t="inlineStr">
        <is>
          <t>stjt2C1R</t>
        </is>
      </c>
      <c r="J219" s="80" t="n">
        <v>1075</v>
      </c>
      <c r="K219" s="72" t="inlineStr">
        <is>
          <t>Sonne Steel Inc.</t>
        </is>
      </c>
      <c r="L219" s="81" t="n">
        <v>1365</v>
      </c>
      <c r="M219" s="81">
        <f>Y219</f>
        <v/>
      </c>
      <c r="N219" s="82" t="n">
        <v>46009</v>
      </c>
      <c r="O219" s="82" t="n">
        <v>46009</v>
      </c>
      <c r="P219" s="82" t="n">
        <v>46373</v>
      </c>
      <c r="R219" s="81">
        <f>SUM(AB219:AK219)</f>
        <v/>
      </c>
      <c r="S219" s="81">
        <f>SUM(AM219:AQ219)</f>
        <v/>
      </c>
      <c r="T219" s="81">
        <f>SUM(AS219:AW219)</f>
        <v/>
      </c>
      <c r="Y219" s="81" t="n">
        <v>1190</v>
      </c>
    </row>
    <row r="220">
      <c r="A220" s="72">
        <f>$D$27</f>
        <v/>
      </c>
      <c r="B220" s="72">
        <f>B219+1</f>
        <v/>
      </c>
      <c r="C220" s="72">
        <f>IF(K220="Vacant","Vac",IF(K220="Model","Model",IF(K220="Admin","Admin",IF(K220="Down","Down",IF(K220="Super","Super","Occ")))))</f>
        <v/>
      </c>
      <c r="D220" s="72">
        <f>INDEX($C$5:$C$14,MATCH(I220,$D$5:$D$14,0))</f>
        <v/>
      </c>
      <c r="E220" s="72">
        <f>INDEX($E$5:$E$14,MATCH(D220,$C$5:$C$14,0))</f>
        <v/>
      </c>
      <c r="F220" s="72">
        <f>INDEX($F$5:$F$14,MATCH(D220,$C$5:$C$14,0))</f>
        <v/>
      </c>
      <c r="G220" s="72">
        <f>INDEX($G$5:$G$14,MATCH(D220,$C$5:$C$14,0))</f>
        <v/>
      </c>
      <c r="H220" s="72" t="inlineStr">
        <is>
          <t>F33</t>
        </is>
      </c>
      <c r="I220" s="72" t="inlineStr">
        <is>
          <t>stjt2A1</t>
        </is>
      </c>
      <c r="J220" s="80" t="n">
        <v>850</v>
      </c>
      <c r="K220" s="72" t="inlineStr">
        <is>
          <t>Liss Reymond Cedeno</t>
        </is>
      </c>
      <c r="L220" s="81" t="n">
        <v>990</v>
      </c>
      <c r="M220" s="81">
        <f>Y220</f>
        <v/>
      </c>
      <c r="N220" s="82" t="n">
        <v>45884</v>
      </c>
      <c r="O220" s="82" t="n">
        <v>45884</v>
      </c>
      <c r="P220" s="82" t="n">
        <v>46248</v>
      </c>
      <c r="R220" s="81">
        <f>SUM(AB220:AK220)</f>
        <v/>
      </c>
      <c r="S220" s="81">
        <f>SUM(AM220:AQ220)</f>
        <v/>
      </c>
      <c r="T220" s="81">
        <f>SUM(AS220:AW220)</f>
        <v/>
      </c>
      <c r="Y220" s="81" t="n">
        <v>975</v>
      </c>
    </row>
    <row r="221">
      <c r="A221" s="72">
        <f>$D$27</f>
        <v/>
      </c>
      <c r="B221" s="72">
        <f>B220+1</f>
        <v/>
      </c>
      <c r="C221" s="72">
        <f>IF(K221="Vacant","Vac",IF(K221="Model","Model",IF(K221="Admin","Admin",IF(K221="Down","Down",IF(K221="Super","Super","Occ")))))</f>
        <v/>
      </c>
      <c r="D221" s="72">
        <f>INDEX($C$5:$C$14,MATCH(I221,$D$5:$D$14,0))</f>
        <v/>
      </c>
      <c r="E221" s="72">
        <f>INDEX($E$5:$E$14,MATCH(D221,$C$5:$C$14,0))</f>
        <v/>
      </c>
      <c r="F221" s="72">
        <f>INDEX($F$5:$F$14,MATCH(D221,$C$5:$C$14,0))</f>
        <v/>
      </c>
      <c r="G221" s="72">
        <f>INDEX($G$5:$G$14,MATCH(D221,$C$5:$C$14,0))</f>
        <v/>
      </c>
      <c r="H221" s="72" t="inlineStr">
        <is>
          <t>F34</t>
        </is>
      </c>
      <c r="I221" s="72" t="inlineStr">
        <is>
          <t>stjt2C1</t>
        </is>
      </c>
      <c r="J221" s="80" t="n">
        <v>1075</v>
      </c>
      <c r="K221" s="72" t="inlineStr">
        <is>
          <t>Mark Espin~</t>
        </is>
      </c>
      <c r="L221" s="81" t="n">
        <v>1205</v>
      </c>
      <c r="M221" s="81">
        <f>Y221</f>
        <v/>
      </c>
      <c r="N221" s="82" t="n">
        <v>45374</v>
      </c>
      <c r="O221" s="82" t="n">
        <v>45374</v>
      </c>
      <c r="P221" s="82" t="n">
        <v>45738</v>
      </c>
      <c r="R221" s="81">
        <f>SUM(AB221:AK221)</f>
        <v/>
      </c>
      <c r="S221" s="81">
        <f>SUM(AM221:AQ221)</f>
        <v/>
      </c>
      <c r="T221" s="81">
        <f>SUM(AS221:AW221)</f>
        <v/>
      </c>
      <c r="Y221" s="81" t="n">
        <v>1180</v>
      </c>
    </row>
    <row r="222">
      <c r="A222" s="72">
        <f>$D$27</f>
        <v/>
      </c>
      <c r="B222" s="72">
        <f>B221+1</f>
        <v/>
      </c>
      <c r="C222" s="72">
        <f>IF(K222="Vacant","Vac",IF(K222="Model","Model",IF(K222="Admin","Admin",IF(K222="Down","Down",IF(K222="Super","Super","Occ")))))</f>
        <v/>
      </c>
      <c r="D222" s="72">
        <f>INDEX($C$5:$C$14,MATCH(I222,$D$5:$D$14,0))</f>
        <v/>
      </c>
      <c r="E222" s="72">
        <f>INDEX($E$5:$E$14,MATCH(D222,$C$5:$C$14,0))</f>
        <v/>
      </c>
      <c r="F222" s="72">
        <f>INDEX($F$5:$F$14,MATCH(D222,$C$5:$C$14,0))</f>
        <v/>
      </c>
      <c r="G222" s="72">
        <f>INDEX($G$5:$G$14,MATCH(D222,$C$5:$C$14,0))</f>
        <v/>
      </c>
      <c r="H222" s="72" t="inlineStr">
        <is>
          <t>F35</t>
        </is>
      </c>
      <c r="I222" s="72" t="inlineStr">
        <is>
          <t>stjt2A1</t>
        </is>
      </c>
      <c r="J222" s="80" t="n">
        <v>850</v>
      </c>
      <c r="K222" s="72" t="inlineStr">
        <is>
          <t>VACANT</t>
        </is>
      </c>
      <c r="L222" s="81" t="n">
        <v>990</v>
      </c>
      <c r="M222" s="81">
        <f>Y222</f>
        <v/>
      </c>
      <c r="R222" s="81">
        <f>SUM(AB222:AK222)</f>
        <v/>
      </c>
      <c r="S222" s="81">
        <f>SUM(AM222:AQ222)</f>
        <v/>
      </c>
      <c r="T222" s="81">
        <f>SUM(AS222:AW222)</f>
        <v/>
      </c>
      <c r="Y222" s="81" t="n">
        <v>0</v>
      </c>
    </row>
    <row r="223">
      <c r="A223" s="72">
        <f>$D$27</f>
        <v/>
      </c>
      <c r="B223" s="72">
        <f>B222+1</f>
        <v/>
      </c>
      <c r="C223" s="72">
        <f>IF(K223="Vacant","Vac",IF(K223="Model","Model",IF(K223="Admin","Admin",IF(K223="Down","Down",IF(K223="Super","Super","Occ")))))</f>
        <v/>
      </c>
      <c r="D223" s="72">
        <f>INDEX($C$5:$C$14,MATCH(I223,$D$5:$D$14,0))</f>
        <v/>
      </c>
      <c r="E223" s="72">
        <f>INDEX($E$5:$E$14,MATCH(D223,$C$5:$C$14,0))</f>
        <v/>
      </c>
      <c r="F223" s="72">
        <f>INDEX($F$5:$F$14,MATCH(D223,$C$5:$C$14,0))</f>
        <v/>
      </c>
      <c r="G223" s="72">
        <f>INDEX($G$5:$G$14,MATCH(D223,$C$5:$C$14,0))</f>
        <v/>
      </c>
      <c r="H223" s="72" t="inlineStr">
        <is>
          <t>F36</t>
        </is>
      </c>
      <c r="I223" s="72" t="inlineStr">
        <is>
          <t>stjt2C2R</t>
        </is>
      </c>
      <c r="J223" s="80" t="n">
        <v>1075</v>
      </c>
      <c r="K223" s="72" t="inlineStr">
        <is>
          <t>Ibrahim Ahmed</t>
        </is>
      </c>
      <c r="L223" s="81" t="n">
        <v>1414</v>
      </c>
      <c r="M223" s="81">
        <f>Y223</f>
        <v/>
      </c>
      <c r="N223" s="82" t="n">
        <v>45873</v>
      </c>
      <c r="O223" s="82" t="n">
        <v>45873</v>
      </c>
      <c r="P223" s="82" t="n">
        <v>46268</v>
      </c>
      <c r="R223" s="81">
        <f>SUM(AB223:AK223)</f>
        <v/>
      </c>
      <c r="S223" s="81">
        <f>SUM(AM223:AQ223)</f>
        <v/>
      </c>
      <c r="T223" s="81">
        <f>SUM(AS223:AW223)</f>
        <v/>
      </c>
      <c r="Y223" s="81" t="n">
        <v>1350</v>
      </c>
    </row>
    <row r="224">
      <c r="A224" s="72">
        <f>$D$27</f>
        <v/>
      </c>
      <c r="B224" s="72">
        <f>B223+1</f>
        <v/>
      </c>
      <c r="C224" s="72">
        <f>IF(K224="Vacant","Vac",IF(K224="Model","Model",IF(K224="Admin","Admin",IF(K224="Down","Down",IF(K224="Super","Super","Occ")))))</f>
        <v/>
      </c>
      <c r="D224" s="72">
        <f>INDEX($C$5:$C$14,MATCH(I224,$D$5:$D$14,0))</f>
        <v/>
      </c>
      <c r="E224" s="72">
        <f>INDEX($E$5:$E$14,MATCH(D224,$C$5:$C$14,0))</f>
        <v/>
      </c>
      <c r="F224" s="72">
        <f>INDEX($F$5:$F$14,MATCH(D224,$C$5:$C$14,0))</f>
        <v/>
      </c>
      <c r="G224" s="72">
        <f>INDEX($G$5:$G$14,MATCH(D224,$C$5:$C$14,0))</f>
        <v/>
      </c>
      <c r="H224" s="72" t="inlineStr">
        <is>
          <t>G01</t>
        </is>
      </c>
      <c r="I224" s="72" t="inlineStr">
        <is>
          <t>stjt2B1</t>
        </is>
      </c>
      <c r="J224" s="80" t="n">
        <v>950</v>
      </c>
      <c r="K224" s="72" t="inlineStr">
        <is>
          <t>Diemai Mwayuma</t>
        </is>
      </c>
      <c r="L224" s="81" t="n">
        <v>975</v>
      </c>
      <c r="M224" s="81">
        <f>Y224</f>
        <v/>
      </c>
      <c r="N224" s="82" t="n">
        <v>46107</v>
      </c>
      <c r="O224" s="82" t="n">
        <v>46107</v>
      </c>
      <c r="P224" s="82" t="n">
        <v>46471</v>
      </c>
      <c r="R224" s="81">
        <f>SUM(AB224:AK224)</f>
        <v/>
      </c>
      <c r="S224" s="81">
        <f>SUM(AM224:AQ224)</f>
        <v/>
      </c>
      <c r="T224" s="81">
        <f>SUM(AS224:AW224)</f>
        <v/>
      </c>
      <c r="Y224" s="81" t="n">
        <v>975</v>
      </c>
    </row>
    <row r="225">
      <c r="A225" s="72">
        <f>$D$27</f>
        <v/>
      </c>
      <c r="B225" s="72">
        <f>B224+1</f>
        <v/>
      </c>
      <c r="C225" s="72">
        <f>IF(K225="Vacant","Vac",IF(K225="Model","Model",IF(K225="Admin","Admin",IF(K225="Down","Down",IF(K225="Super","Super","Occ")))))</f>
        <v/>
      </c>
      <c r="D225" s="72">
        <f>INDEX($C$5:$C$14,MATCH(I225,$D$5:$D$14,0))</f>
        <v/>
      </c>
      <c r="E225" s="72">
        <f>INDEX($E$5:$E$14,MATCH(D225,$C$5:$C$14,0))</f>
        <v/>
      </c>
      <c r="F225" s="72">
        <f>INDEX($F$5:$F$14,MATCH(D225,$C$5:$C$14,0))</f>
        <v/>
      </c>
      <c r="G225" s="72">
        <f>INDEX($G$5:$G$14,MATCH(D225,$C$5:$C$14,0))</f>
        <v/>
      </c>
      <c r="H225" s="72" t="inlineStr">
        <is>
          <t>G02</t>
        </is>
      </c>
      <c r="I225" s="72" t="inlineStr">
        <is>
          <t>stjt2B1</t>
        </is>
      </c>
      <c r="J225" s="80" t="n">
        <v>950</v>
      </c>
      <c r="K225" s="72" t="inlineStr">
        <is>
          <t>Erika Moore</t>
        </is>
      </c>
      <c r="L225" s="81" t="n">
        <v>1020</v>
      </c>
      <c r="M225" s="81">
        <f>Y225</f>
        <v/>
      </c>
      <c r="N225" s="82" t="n">
        <v>42479</v>
      </c>
      <c r="O225" s="82" t="n">
        <v>42479</v>
      </c>
      <c r="P225" s="82" t="n">
        <v>46160</v>
      </c>
      <c r="R225" s="81">
        <f>SUM(AB225:AK225)</f>
        <v/>
      </c>
      <c r="S225" s="81">
        <f>SUM(AM225:AQ225)</f>
        <v/>
      </c>
      <c r="T225" s="81">
        <f>SUM(AS225:AW225)</f>
        <v/>
      </c>
      <c r="Y225" s="81" t="n">
        <v>953</v>
      </c>
    </row>
    <row r="226">
      <c r="A226" s="72">
        <f>$D$27</f>
        <v/>
      </c>
      <c r="B226" s="72">
        <f>B225+1</f>
        <v/>
      </c>
      <c r="C226" s="72">
        <f>IF(K226="Vacant","Vac",IF(K226="Model","Model",IF(K226="Admin","Admin",IF(K226="Down","Down",IF(K226="Super","Super","Occ")))))</f>
        <v/>
      </c>
      <c r="D226" s="72">
        <f>INDEX($C$5:$C$14,MATCH(I226,$D$5:$D$14,0))</f>
        <v/>
      </c>
      <c r="E226" s="72">
        <f>INDEX($E$5:$E$14,MATCH(D226,$C$5:$C$14,0))</f>
        <v/>
      </c>
      <c r="F226" s="72">
        <f>INDEX($F$5:$F$14,MATCH(D226,$C$5:$C$14,0))</f>
        <v/>
      </c>
      <c r="G226" s="72">
        <f>INDEX($G$5:$G$14,MATCH(D226,$C$5:$C$14,0))</f>
        <v/>
      </c>
      <c r="H226" s="72" t="inlineStr">
        <is>
          <t>G03</t>
        </is>
      </c>
      <c r="I226" s="72" t="inlineStr">
        <is>
          <t>stjt2B2R</t>
        </is>
      </c>
      <c r="J226" s="80" t="n">
        <v>950</v>
      </c>
      <c r="K226" s="72" t="inlineStr">
        <is>
          <t>Marion Lance</t>
        </is>
      </c>
      <c r="L226" s="81" t="n">
        <v>1199</v>
      </c>
      <c r="M226" s="81">
        <f>Y226</f>
        <v/>
      </c>
      <c r="N226" s="82" t="n">
        <v>45464</v>
      </c>
      <c r="O226" s="82" t="n">
        <v>45464</v>
      </c>
      <c r="P226" s="82" t="n">
        <v>46179</v>
      </c>
      <c r="R226" s="81">
        <f>SUM(AB226:AK226)</f>
        <v/>
      </c>
      <c r="S226" s="81">
        <f>SUM(AM226:AQ226)</f>
        <v/>
      </c>
      <c r="T226" s="81">
        <f>SUM(AS226:AW226)</f>
        <v/>
      </c>
      <c r="Y226" s="81" t="n">
        <v>1175</v>
      </c>
    </row>
    <row r="227">
      <c r="A227" s="72">
        <f>$D$27</f>
        <v/>
      </c>
      <c r="B227" s="72">
        <f>B226+1</f>
        <v/>
      </c>
      <c r="C227" s="72">
        <f>IF(K227="Vacant","Vac",IF(K227="Model","Model",IF(K227="Admin","Admin",IF(K227="Down","Down",IF(K227="Super","Super","Occ")))))</f>
        <v/>
      </c>
      <c r="D227" s="72">
        <f>INDEX($C$5:$C$14,MATCH(I227,$D$5:$D$14,0))</f>
        <v/>
      </c>
      <c r="E227" s="72">
        <f>INDEX($E$5:$E$14,MATCH(D227,$C$5:$C$14,0))</f>
        <v/>
      </c>
      <c r="F227" s="72">
        <f>INDEX($F$5:$F$14,MATCH(D227,$C$5:$C$14,0))</f>
        <v/>
      </c>
      <c r="G227" s="72">
        <f>INDEX($G$5:$G$14,MATCH(D227,$C$5:$C$14,0))</f>
        <v/>
      </c>
      <c r="H227" s="72" t="inlineStr">
        <is>
          <t>G04</t>
        </is>
      </c>
      <c r="I227" s="72" t="inlineStr">
        <is>
          <t>stjt2B1</t>
        </is>
      </c>
      <c r="J227" s="80" t="n">
        <v>950</v>
      </c>
      <c r="K227" s="72" t="inlineStr">
        <is>
          <t>Melaysia Adams</t>
        </is>
      </c>
      <c r="L227" s="81" t="n">
        <v>1020</v>
      </c>
      <c r="M227" s="81">
        <f>Y227</f>
        <v/>
      </c>
      <c r="N227" s="82" t="n">
        <v>45775</v>
      </c>
      <c r="O227" s="82" t="n">
        <v>45775</v>
      </c>
      <c r="P227" s="82" t="n">
        <v>46322</v>
      </c>
      <c r="R227" s="81">
        <f>SUM(AB227:AK227)</f>
        <v/>
      </c>
      <c r="S227" s="81">
        <f>SUM(AM227:AQ227)</f>
        <v/>
      </c>
      <c r="T227" s="81">
        <f>SUM(AS227:AW227)</f>
        <v/>
      </c>
      <c r="Y227" s="81" t="n">
        <v>999</v>
      </c>
    </row>
    <row r="228">
      <c r="A228" s="72">
        <f>$D$27</f>
        <v/>
      </c>
      <c r="B228" s="72">
        <f>B227+1</f>
        <v/>
      </c>
      <c r="C228" s="72">
        <f>IF(K228="Vacant","Vac",IF(K228="Model","Model",IF(K228="Admin","Admin",IF(K228="Down","Down",IF(K228="Super","Super","Occ")))))</f>
        <v/>
      </c>
      <c r="D228" s="72">
        <f>INDEX($C$5:$C$14,MATCH(I228,$D$5:$D$14,0))</f>
        <v/>
      </c>
      <c r="E228" s="72">
        <f>INDEX($E$5:$E$14,MATCH(D228,$C$5:$C$14,0))</f>
        <v/>
      </c>
      <c r="F228" s="72">
        <f>INDEX($F$5:$F$14,MATCH(D228,$C$5:$C$14,0))</f>
        <v/>
      </c>
      <c r="G228" s="72">
        <f>INDEX($G$5:$G$14,MATCH(D228,$C$5:$C$14,0))</f>
        <v/>
      </c>
      <c r="H228" s="72" t="inlineStr">
        <is>
          <t>G05</t>
        </is>
      </c>
      <c r="I228" s="72" t="inlineStr">
        <is>
          <t>stjt2B1R</t>
        </is>
      </c>
      <c r="J228" s="80" t="n">
        <v>950</v>
      </c>
      <c r="K228" s="72" t="inlineStr">
        <is>
          <t>Manuel Robles</t>
        </is>
      </c>
      <c r="L228" s="81" t="n">
        <v>1135</v>
      </c>
      <c r="M228" s="81">
        <f>Y228</f>
        <v/>
      </c>
      <c r="N228" s="82" t="n">
        <v>45938</v>
      </c>
      <c r="O228" s="82" t="n">
        <v>45938</v>
      </c>
      <c r="P228" s="82" t="n">
        <v>46302</v>
      </c>
      <c r="R228" s="81">
        <f>SUM(AB228:AK228)</f>
        <v/>
      </c>
      <c r="S228" s="81">
        <f>SUM(AM228:AQ228)</f>
        <v/>
      </c>
      <c r="T228" s="81">
        <f>SUM(AS228:AW228)</f>
        <v/>
      </c>
      <c r="Y228" s="81" t="n">
        <v>1095</v>
      </c>
    </row>
    <row r="229">
      <c r="A229" s="72">
        <f>$D$27</f>
        <v/>
      </c>
      <c r="B229" s="72">
        <f>B228+1</f>
        <v/>
      </c>
      <c r="C229" s="72">
        <f>IF(K229="Vacant","Vac",IF(K229="Model","Model",IF(K229="Admin","Admin",IF(K229="Down","Down",IF(K229="Super","Super","Occ")))))</f>
        <v/>
      </c>
      <c r="D229" s="72">
        <f>INDEX($C$5:$C$14,MATCH(I229,$D$5:$D$14,0))</f>
        <v/>
      </c>
      <c r="E229" s="72">
        <f>INDEX($E$5:$E$14,MATCH(D229,$C$5:$C$14,0))</f>
        <v/>
      </c>
      <c r="F229" s="72">
        <f>INDEX($F$5:$F$14,MATCH(D229,$C$5:$C$14,0))</f>
        <v/>
      </c>
      <c r="G229" s="72">
        <f>INDEX($G$5:$G$14,MATCH(D229,$C$5:$C$14,0))</f>
        <v/>
      </c>
      <c r="H229" s="72" t="inlineStr">
        <is>
          <t>G06</t>
        </is>
      </c>
      <c r="I229" s="72" t="inlineStr">
        <is>
          <t>stjt2B1</t>
        </is>
      </c>
      <c r="J229" s="80" t="n">
        <v>950</v>
      </c>
      <c r="K229" s="72" t="inlineStr">
        <is>
          <t>Eric Westenhofer</t>
        </is>
      </c>
      <c r="L229" s="81" t="n">
        <v>1035</v>
      </c>
      <c r="M229" s="81">
        <f>Y229</f>
        <v/>
      </c>
      <c r="N229" s="82" t="n">
        <v>42793</v>
      </c>
      <c r="O229" s="82" t="n">
        <v>42793</v>
      </c>
      <c r="P229" s="82" t="n">
        <v>46498</v>
      </c>
      <c r="R229" s="81">
        <f>SUM(AB229:AK229)</f>
        <v/>
      </c>
      <c r="S229" s="81">
        <f>SUM(AM229:AQ229)</f>
        <v/>
      </c>
      <c r="T229" s="81">
        <f>SUM(AS229:AW229)</f>
        <v/>
      </c>
      <c r="Y229" s="81" t="n">
        <v>1000</v>
      </c>
    </row>
    <row r="230">
      <c r="A230" s="72">
        <f>$D$27</f>
        <v/>
      </c>
      <c r="B230" s="72">
        <f>B229+1</f>
        <v/>
      </c>
      <c r="C230" s="72">
        <f>IF(K230="Vacant","Vac",IF(K230="Model","Model",IF(K230="Admin","Admin",IF(K230="Down","Down",IF(K230="Super","Super","Occ")))))</f>
        <v/>
      </c>
      <c r="D230" s="72">
        <f>INDEX($C$5:$C$14,MATCH(I230,$D$5:$D$14,0))</f>
        <v/>
      </c>
      <c r="E230" s="72">
        <f>INDEX($E$5:$E$14,MATCH(D230,$C$5:$C$14,0))</f>
        <v/>
      </c>
      <c r="F230" s="72">
        <f>INDEX($F$5:$F$14,MATCH(D230,$C$5:$C$14,0))</f>
        <v/>
      </c>
      <c r="G230" s="72">
        <f>INDEX($G$5:$G$14,MATCH(D230,$C$5:$C$14,0))</f>
        <v/>
      </c>
      <c r="H230" s="72" t="inlineStr">
        <is>
          <t>G07</t>
        </is>
      </c>
      <c r="I230" s="72" t="inlineStr">
        <is>
          <t>stjt2B2</t>
        </is>
      </c>
      <c r="J230" s="80" t="n">
        <v>950</v>
      </c>
      <c r="K230" s="72" t="inlineStr">
        <is>
          <t>Ashley Simpson</t>
        </is>
      </c>
      <c r="L230" s="81" t="n">
        <v>1075</v>
      </c>
      <c r="M230" s="81">
        <f>Y230</f>
        <v/>
      </c>
      <c r="N230" s="82" t="n">
        <v>45848</v>
      </c>
      <c r="O230" s="82" t="n">
        <v>45848</v>
      </c>
      <c r="P230" s="82" t="n">
        <v>46212</v>
      </c>
      <c r="R230" s="81">
        <f>SUM(AB230:AK230)</f>
        <v/>
      </c>
      <c r="S230" s="81">
        <f>SUM(AM230:AQ230)</f>
        <v/>
      </c>
      <c r="T230" s="81">
        <f>SUM(AS230:AW230)</f>
        <v/>
      </c>
      <c r="Y230" s="81" t="n">
        <v>1030</v>
      </c>
    </row>
    <row r="231">
      <c r="A231" s="72">
        <f>$D$27</f>
        <v/>
      </c>
      <c r="B231" s="72">
        <f>B230+1</f>
        <v/>
      </c>
      <c r="C231" s="72">
        <f>IF(K231="Vacant","Vac",IF(K231="Model","Model",IF(K231="Admin","Admin",IF(K231="Down","Down",IF(K231="Super","Super","Occ")))))</f>
        <v/>
      </c>
      <c r="D231" s="72">
        <f>INDEX($C$5:$C$14,MATCH(I231,$D$5:$D$14,0))</f>
        <v/>
      </c>
      <c r="E231" s="72">
        <f>INDEX($E$5:$E$14,MATCH(D231,$C$5:$C$14,0))</f>
        <v/>
      </c>
      <c r="F231" s="72">
        <f>INDEX($F$5:$F$14,MATCH(D231,$C$5:$C$14,0))</f>
        <v/>
      </c>
      <c r="G231" s="72">
        <f>INDEX($G$5:$G$14,MATCH(D231,$C$5:$C$14,0))</f>
        <v/>
      </c>
      <c r="H231" s="72" t="inlineStr">
        <is>
          <t>G08</t>
        </is>
      </c>
      <c r="I231" s="72" t="inlineStr">
        <is>
          <t>stjt2B2</t>
        </is>
      </c>
      <c r="J231" s="80" t="n">
        <v>950</v>
      </c>
      <c r="K231" s="72" t="inlineStr">
        <is>
          <t>VACANT</t>
        </is>
      </c>
      <c r="L231" s="81" t="n">
        <v>1075</v>
      </c>
      <c r="M231" s="81">
        <f>Y231</f>
        <v/>
      </c>
      <c r="R231" s="81">
        <f>SUM(AB231:AK231)</f>
        <v/>
      </c>
      <c r="S231" s="81">
        <f>SUM(AM231:AQ231)</f>
        <v/>
      </c>
      <c r="T231" s="81">
        <f>SUM(AS231:AW231)</f>
        <v/>
      </c>
      <c r="Y231" s="81" t="n">
        <v>0</v>
      </c>
    </row>
    <row r="232">
      <c r="A232" s="72">
        <f>$D$27</f>
        <v/>
      </c>
      <c r="B232" s="72">
        <f>B231+1</f>
        <v/>
      </c>
      <c r="C232" s="72">
        <f>IF(K232="Vacant","Vac",IF(K232="Model","Model",IF(K232="Admin","Admin",IF(K232="Down","Down",IF(K232="Super","Super","Occ")))))</f>
        <v/>
      </c>
      <c r="D232" s="72">
        <f>INDEX($C$5:$C$14,MATCH(I232,$D$5:$D$14,0))</f>
        <v/>
      </c>
      <c r="E232" s="72">
        <f>INDEX($E$5:$E$14,MATCH(D232,$C$5:$C$14,0))</f>
        <v/>
      </c>
      <c r="F232" s="72">
        <f>INDEX($F$5:$F$14,MATCH(D232,$C$5:$C$14,0))</f>
        <v/>
      </c>
      <c r="G232" s="72">
        <f>INDEX($G$5:$G$14,MATCH(D232,$C$5:$C$14,0))</f>
        <v/>
      </c>
      <c r="H232" s="72" t="inlineStr">
        <is>
          <t>G09</t>
        </is>
      </c>
      <c r="I232" s="72" t="inlineStr">
        <is>
          <t>stjt2B1</t>
        </is>
      </c>
      <c r="J232" s="80" t="n">
        <v>950</v>
      </c>
      <c r="K232" s="72" t="inlineStr">
        <is>
          <t>Dalia Naftaliyeva</t>
        </is>
      </c>
      <c r="L232" s="81" t="n">
        <v>1035</v>
      </c>
      <c r="M232" s="81">
        <f>Y232</f>
        <v/>
      </c>
      <c r="N232" s="82" t="n">
        <v>40928</v>
      </c>
      <c r="O232" s="82" t="n">
        <v>40928</v>
      </c>
      <c r="P232" s="82" t="n">
        <v>46173</v>
      </c>
      <c r="R232" s="81">
        <f>SUM(AB232:AK232)</f>
        <v/>
      </c>
      <c r="S232" s="81">
        <f>SUM(AM232:AQ232)</f>
        <v/>
      </c>
      <c r="T232" s="81">
        <f>SUM(AS232:AW232)</f>
        <v/>
      </c>
      <c r="Y232" s="81" t="n">
        <v>965</v>
      </c>
    </row>
    <row r="233">
      <c r="A233" s="72">
        <f>$D$27</f>
        <v/>
      </c>
      <c r="B233" s="72">
        <f>B232+1</f>
        <v/>
      </c>
      <c r="C233" s="72">
        <f>IF(K233="Vacant","Vac",IF(K233="Model","Model",IF(K233="Admin","Admin",IF(K233="Down","Down",IF(K233="Super","Super","Occ")))))</f>
        <v/>
      </c>
      <c r="D233" s="72">
        <f>INDEX($C$5:$C$14,MATCH(I233,$D$5:$D$14,0))</f>
        <v/>
      </c>
      <c r="E233" s="72">
        <f>INDEX($E$5:$E$14,MATCH(D233,$C$5:$C$14,0))</f>
        <v/>
      </c>
      <c r="F233" s="72">
        <f>INDEX($F$5:$F$14,MATCH(D233,$C$5:$C$14,0))</f>
        <v/>
      </c>
      <c r="G233" s="72">
        <f>INDEX($G$5:$G$14,MATCH(D233,$C$5:$C$14,0))</f>
        <v/>
      </c>
      <c r="H233" s="72" t="inlineStr">
        <is>
          <t>G10</t>
        </is>
      </c>
      <c r="I233" s="72" t="inlineStr">
        <is>
          <t>stjt2B1</t>
        </is>
      </c>
      <c r="J233" s="80" t="n">
        <v>950</v>
      </c>
      <c r="K233" s="72" t="inlineStr">
        <is>
          <t>Luis Rodriguez</t>
        </is>
      </c>
      <c r="L233" s="81" t="n">
        <v>1035</v>
      </c>
      <c r="M233" s="81">
        <f>Y233</f>
        <v/>
      </c>
      <c r="N233" s="82" t="n">
        <v>43981</v>
      </c>
      <c r="O233" s="82" t="n">
        <v>43981</v>
      </c>
      <c r="P233" s="82" t="n">
        <v>46284</v>
      </c>
      <c r="R233" s="81">
        <f>SUM(AB233:AK233)</f>
        <v/>
      </c>
      <c r="S233" s="81">
        <f>SUM(AM233:AQ233)</f>
        <v/>
      </c>
      <c r="T233" s="81">
        <f>SUM(AS233:AW233)</f>
        <v/>
      </c>
      <c r="Y233" s="81" t="n">
        <v>1054</v>
      </c>
    </row>
    <row r="234">
      <c r="A234" s="72">
        <f>$D$27</f>
        <v/>
      </c>
      <c r="B234" s="72">
        <f>B233+1</f>
        <v/>
      </c>
      <c r="C234" s="72">
        <f>IF(K234="Vacant","Vac",IF(K234="Model","Model",IF(K234="Admin","Admin",IF(K234="Down","Down",IF(K234="Super","Super","Occ")))))</f>
        <v/>
      </c>
      <c r="D234" s="72">
        <f>INDEX($C$5:$C$14,MATCH(I234,$D$5:$D$14,0))</f>
        <v/>
      </c>
      <c r="E234" s="72">
        <f>INDEX($E$5:$E$14,MATCH(D234,$C$5:$C$14,0))</f>
        <v/>
      </c>
      <c r="F234" s="72">
        <f>INDEX($F$5:$F$14,MATCH(D234,$C$5:$C$14,0))</f>
        <v/>
      </c>
      <c r="G234" s="72">
        <f>INDEX($G$5:$G$14,MATCH(D234,$C$5:$C$14,0))</f>
        <v/>
      </c>
      <c r="H234" s="72" t="inlineStr">
        <is>
          <t>G11</t>
        </is>
      </c>
      <c r="I234" s="72" t="inlineStr">
        <is>
          <t>stjt2B2</t>
        </is>
      </c>
      <c r="J234" s="80" t="n">
        <v>950</v>
      </c>
      <c r="K234" s="72" t="inlineStr">
        <is>
          <t>Marlene Fregozo</t>
        </is>
      </c>
      <c r="L234" s="81" t="n">
        <v>1140</v>
      </c>
      <c r="M234" s="81">
        <f>Y234</f>
        <v/>
      </c>
      <c r="N234" s="82" t="n">
        <v>45836</v>
      </c>
      <c r="O234" s="82" t="n">
        <v>45836</v>
      </c>
      <c r="P234" s="82" t="n">
        <v>46200</v>
      </c>
      <c r="R234" s="81">
        <f>SUM(AB234:AK234)</f>
        <v/>
      </c>
      <c r="S234" s="81">
        <f>SUM(AM234:AQ234)</f>
        <v/>
      </c>
      <c r="T234" s="81">
        <f>SUM(AS234:AW234)</f>
        <v/>
      </c>
      <c r="Y234" s="81" t="n">
        <v>1080</v>
      </c>
    </row>
    <row r="235">
      <c r="A235" s="72">
        <f>$D$27</f>
        <v/>
      </c>
      <c r="B235" s="72">
        <f>B234+1</f>
        <v/>
      </c>
      <c r="C235" s="72">
        <f>IF(K235="Vacant","Vac",IF(K235="Model","Model",IF(K235="Admin","Admin",IF(K235="Down","Down",IF(K235="Super","Super","Occ")))))</f>
        <v/>
      </c>
      <c r="D235" s="72">
        <f>INDEX($C$5:$C$14,MATCH(I235,$D$5:$D$14,0))</f>
        <v/>
      </c>
      <c r="E235" s="72">
        <f>INDEX($E$5:$E$14,MATCH(D235,$C$5:$C$14,0))</f>
        <v/>
      </c>
      <c r="F235" s="72">
        <f>INDEX($F$5:$F$14,MATCH(D235,$C$5:$C$14,0))</f>
        <v/>
      </c>
      <c r="G235" s="72">
        <f>INDEX($G$5:$G$14,MATCH(D235,$C$5:$C$14,0))</f>
        <v/>
      </c>
      <c r="H235" s="72" t="inlineStr">
        <is>
          <t>G12</t>
        </is>
      </c>
      <c r="I235" s="72" t="inlineStr">
        <is>
          <t>stjt2B2R</t>
        </is>
      </c>
      <c r="J235" s="80" t="n">
        <v>950</v>
      </c>
      <c r="K235" s="72" t="inlineStr">
        <is>
          <t>Deven Chadwick</t>
        </is>
      </c>
      <c r="L235" s="81" t="n">
        <v>1214</v>
      </c>
      <c r="M235" s="81">
        <f>Y235</f>
        <v/>
      </c>
      <c r="N235" s="82" t="n">
        <v>46094</v>
      </c>
      <c r="O235" s="82" t="n">
        <v>46094</v>
      </c>
      <c r="P235" s="82" t="n">
        <v>46825</v>
      </c>
      <c r="R235" s="81">
        <f>SUM(AB235:AK235)</f>
        <v/>
      </c>
      <c r="S235" s="81">
        <f>SUM(AM235:AQ235)</f>
        <v/>
      </c>
      <c r="T235" s="81">
        <f>SUM(AS235:AW235)</f>
        <v/>
      </c>
      <c r="Y235" s="81" t="n">
        <v>1190</v>
      </c>
    </row>
    <row r="236">
      <c r="A236" s="72">
        <f>$D$27</f>
        <v/>
      </c>
      <c r="B236" s="72">
        <f>B235+1</f>
        <v/>
      </c>
      <c r="C236" s="72">
        <f>IF(K236="Vacant","Vac",IF(K236="Model","Model",IF(K236="Admin","Admin",IF(K236="Down","Down",IF(K236="Super","Super","Occ")))))</f>
        <v/>
      </c>
      <c r="D236" s="72">
        <f>INDEX($C$5:$C$14,MATCH(I236,$D$5:$D$14,0))</f>
        <v/>
      </c>
      <c r="E236" s="72">
        <f>INDEX($E$5:$E$14,MATCH(D236,$C$5:$C$14,0))</f>
        <v/>
      </c>
      <c r="F236" s="72">
        <f>INDEX($F$5:$F$14,MATCH(D236,$C$5:$C$14,0))</f>
        <v/>
      </c>
      <c r="G236" s="72">
        <f>INDEX($G$5:$G$14,MATCH(D236,$C$5:$C$14,0))</f>
        <v/>
      </c>
      <c r="H236" s="72" t="inlineStr">
        <is>
          <t>G13</t>
        </is>
      </c>
      <c r="I236" s="72" t="inlineStr">
        <is>
          <t>stjt2B1</t>
        </is>
      </c>
      <c r="J236" s="80" t="n">
        <v>950</v>
      </c>
      <c r="K236" s="72" t="inlineStr">
        <is>
          <t>Nicholas Stone</t>
        </is>
      </c>
      <c r="L236" s="81" t="n">
        <v>1020</v>
      </c>
      <c r="M236" s="81">
        <f>Y236</f>
        <v/>
      </c>
      <c r="N236" s="82" t="n">
        <v>45836</v>
      </c>
      <c r="O236" s="82" t="n">
        <v>45836</v>
      </c>
      <c r="P236" s="82" t="n">
        <v>46200</v>
      </c>
      <c r="R236" s="81">
        <f>SUM(AB236:AK236)</f>
        <v/>
      </c>
      <c r="S236" s="81">
        <f>SUM(AM236:AQ236)</f>
        <v/>
      </c>
      <c r="T236" s="81">
        <f>SUM(AS236:AW236)</f>
        <v/>
      </c>
      <c r="Y236" s="81" t="n">
        <v>999</v>
      </c>
    </row>
    <row r="237">
      <c r="A237" s="72">
        <f>$D$27</f>
        <v/>
      </c>
      <c r="B237" s="72">
        <f>B236+1</f>
        <v/>
      </c>
      <c r="C237" s="72">
        <f>IF(K237="Vacant","Vac",IF(K237="Model","Model",IF(K237="Admin","Admin",IF(K237="Down","Down",IF(K237="Super","Super","Occ")))))</f>
        <v/>
      </c>
      <c r="D237" s="72">
        <f>INDEX($C$5:$C$14,MATCH(I237,$D$5:$D$14,0))</f>
        <v/>
      </c>
      <c r="E237" s="72">
        <f>INDEX($E$5:$E$14,MATCH(D237,$C$5:$C$14,0))</f>
        <v/>
      </c>
      <c r="F237" s="72">
        <f>INDEX($F$5:$F$14,MATCH(D237,$C$5:$C$14,0))</f>
        <v/>
      </c>
      <c r="G237" s="72">
        <f>INDEX($G$5:$G$14,MATCH(D237,$C$5:$C$14,0))</f>
        <v/>
      </c>
      <c r="H237" s="72" t="inlineStr">
        <is>
          <t>G14</t>
        </is>
      </c>
      <c r="I237" s="72" t="inlineStr">
        <is>
          <t>stjt2B1</t>
        </is>
      </c>
      <c r="J237" s="80" t="n">
        <v>950</v>
      </c>
      <c r="K237" s="72" t="inlineStr">
        <is>
          <t>Alexander Fernandez Roman</t>
        </is>
      </c>
      <c r="L237" s="81" t="n">
        <v>1020</v>
      </c>
      <c r="M237" s="81">
        <f>Y237</f>
        <v/>
      </c>
      <c r="N237" s="82" t="n">
        <v>45528</v>
      </c>
      <c r="O237" s="82" t="n">
        <v>45528</v>
      </c>
      <c r="P237" s="82" t="n">
        <v>46256</v>
      </c>
      <c r="R237" s="81">
        <f>SUM(AB237:AK237)</f>
        <v/>
      </c>
      <c r="S237" s="81">
        <f>SUM(AM237:AQ237)</f>
        <v/>
      </c>
      <c r="T237" s="81">
        <f>SUM(AS237:AW237)</f>
        <v/>
      </c>
      <c r="Y237" s="81" t="n">
        <v>999</v>
      </c>
    </row>
    <row r="238">
      <c r="A238" s="72">
        <f>$D$27</f>
        <v/>
      </c>
      <c r="B238" s="72">
        <f>B237+1</f>
        <v/>
      </c>
      <c r="C238" s="72">
        <f>IF(K238="Vacant","Vac",IF(K238="Model","Model",IF(K238="Admin","Admin",IF(K238="Down","Down",IF(K238="Super","Super","Occ")))))</f>
        <v/>
      </c>
      <c r="D238" s="72">
        <f>INDEX($C$5:$C$14,MATCH(I238,$D$5:$D$14,0))</f>
        <v/>
      </c>
      <c r="E238" s="72">
        <f>INDEX($E$5:$E$14,MATCH(D238,$C$5:$C$14,0))</f>
        <v/>
      </c>
      <c r="F238" s="72">
        <f>INDEX($F$5:$F$14,MATCH(D238,$C$5:$C$14,0))</f>
        <v/>
      </c>
      <c r="G238" s="72">
        <f>INDEX($G$5:$G$14,MATCH(D238,$C$5:$C$14,0))</f>
        <v/>
      </c>
      <c r="H238" s="72" t="inlineStr">
        <is>
          <t>G15</t>
        </is>
      </c>
      <c r="I238" s="72" t="inlineStr">
        <is>
          <t>stjt2B2R</t>
        </is>
      </c>
      <c r="J238" s="80" t="n">
        <v>950</v>
      </c>
      <c r="K238" s="72" t="inlineStr">
        <is>
          <t>John Geisler Jr</t>
        </is>
      </c>
      <c r="L238" s="81" t="n">
        <v>1199</v>
      </c>
      <c r="M238" s="81">
        <f>Y238</f>
        <v/>
      </c>
      <c r="N238" s="82" t="n">
        <v>45612</v>
      </c>
      <c r="O238" s="82" t="n">
        <v>45612</v>
      </c>
      <c r="P238" s="82" t="n">
        <v>46157</v>
      </c>
      <c r="R238" s="81">
        <f>SUM(AB238:AK238)</f>
        <v/>
      </c>
      <c r="S238" s="81">
        <f>SUM(AM238:AQ238)</f>
        <v/>
      </c>
      <c r="T238" s="81">
        <f>SUM(AS238:AW238)</f>
        <v/>
      </c>
      <c r="Y238" s="81" t="n">
        <v>975</v>
      </c>
    </row>
    <row r="239">
      <c r="A239" s="72">
        <f>$D$27</f>
        <v/>
      </c>
      <c r="B239" s="72">
        <f>B238+1</f>
        <v/>
      </c>
      <c r="C239" s="72">
        <f>IF(K239="Vacant","Vac",IF(K239="Model","Model",IF(K239="Admin","Admin",IF(K239="Down","Down",IF(K239="Super","Super","Occ")))))</f>
        <v/>
      </c>
      <c r="D239" s="72">
        <f>INDEX($C$5:$C$14,MATCH(I239,$D$5:$D$14,0))</f>
        <v/>
      </c>
      <c r="E239" s="72">
        <f>INDEX($E$5:$E$14,MATCH(D239,$C$5:$C$14,0))</f>
        <v/>
      </c>
      <c r="F239" s="72">
        <f>INDEX($F$5:$F$14,MATCH(D239,$C$5:$C$14,0))</f>
        <v/>
      </c>
      <c r="G239" s="72">
        <f>INDEX($G$5:$G$14,MATCH(D239,$C$5:$C$14,0))</f>
        <v/>
      </c>
      <c r="H239" s="72" t="inlineStr">
        <is>
          <t>G16</t>
        </is>
      </c>
      <c r="I239" s="72" t="inlineStr">
        <is>
          <t>stjt2B2</t>
        </is>
      </c>
      <c r="J239" s="80" t="n">
        <v>950</v>
      </c>
      <c r="K239" s="72" t="inlineStr">
        <is>
          <t>Raikayla Ewing</t>
        </is>
      </c>
      <c r="L239" s="81" t="n">
        <v>1060</v>
      </c>
      <c r="M239" s="81">
        <f>Y239</f>
        <v/>
      </c>
      <c r="N239" s="82" t="n">
        <v>45457</v>
      </c>
      <c r="O239" s="82" t="n">
        <v>45457</v>
      </c>
      <c r="P239" s="82" t="n">
        <v>46186</v>
      </c>
      <c r="R239" s="81">
        <f>SUM(AB239:AK239)</f>
        <v/>
      </c>
      <c r="S239" s="81">
        <f>SUM(AM239:AQ239)</f>
        <v/>
      </c>
      <c r="T239" s="81">
        <f>SUM(AS239:AW239)</f>
        <v/>
      </c>
      <c r="Y239" s="81" t="n">
        <v>1035</v>
      </c>
    </row>
    <row r="240">
      <c r="A240" s="72">
        <f>$D$27</f>
        <v/>
      </c>
      <c r="B240" s="72">
        <f>B239+1</f>
        <v/>
      </c>
      <c r="C240" s="72">
        <f>IF(K240="Vacant","Vac",IF(K240="Model","Model",IF(K240="Admin","Admin",IF(K240="Down","Down",IF(K240="Super","Super","Occ")))))</f>
        <v/>
      </c>
      <c r="D240" s="72">
        <f>INDEX($C$5:$C$14,MATCH(I240,$D$5:$D$14,0))</f>
        <v/>
      </c>
      <c r="E240" s="72">
        <f>INDEX($E$5:$E$14,MATCH(D240,$C$5:$C$14,0))</f>
        <v/>
      </c>
      <c r="F240" s="72">
        <f>INDEX($F$5:$F$14,MATCH(D240,$C$5:$C$14,0))</f>
        <v/>
      </c>
      <c r="G240" s="72">
        <f>INDEX($G$5:$G$14,MATCH(D240,$C$5:$C$14,0))</f>
        <v/>
      </c>
      <c r="H240" s="72" t="inlineStr">
        <is>
          <t>G17</t>
        </is>
      </c>
      <c r="I240" s="72" t="inlineStr">
        <is>
          <t>stjt2B1</t>
        </is>
      </c>
      <c r="J240" s="80" t="n">
        <v>950</v>
      </c>
      <c r="K240" s="72" t="inlineStr">
        <is>
          <t>Oliver Mendoza</t>
        </is>
      </c>
      <c r="L240" s="81" t="n">
        <v>1035</v>
      </c>
      <c r="M240" s="81">
        <f>Y240</f>
        <v/>
      </c>
      <c r="N240" s="82" t="n">
        <v>46112</v>
      </c>
      <c r="O240" s="82" t="n">
        <v>46112</v>
      </c>
      <c r="P240" s="82" t="n">
        <v>46476</v>
      </c>
      <c r="R240" s="81">
        <f>SUM(AB240:AK240)</f>
        <v/>
      </c>
      <c r="S240" s="81">
        <f>SUM(AM240:AQ240)</f>
        <v/>
      </c>
      <c r="T240" s="81">
        <f>SUM(AS240:AW240)</f>
        <v/>
      </c>
      <c r="Y240" s="81" t="n">
        <v>1035</v>
      </c>
    </row>
    <row r="241">
      <c r="A241" s="72">
        <f>$D$27</f>
        <v/>
      </c>
      <c r="B241" s="72">
        <f>B240+1</f>
        <v/>
      </c>
      <c r="C241" s="72">
        <f>IF(K241="Vacant","Vac",IF(K241="Model","Model",IF(K241="Admin","Admin",IF(K241="Down","Down",IF(K241="Super","Super","Occ")))))</f>
        <v/>
      </c>
      <c r="D241" s="72">
        <f>INDEX($C$5:$C$14,MATCH(I241,$D$5:$D$14,0))</f>
        <v/>
      </c>
      <c r="E241" s="72">
        <f>INDEX($E$5:$E$14,MATCH(D241,$C$5:$C$14,0))</f>
        <v/>
      </c>
      <c r="F241" s="72">
        <f>INDEX($F$5:$F$14,MATCH(D241,$C$5:$C$14,0))</f>
        <v/>
      </c>
      <c r="G241" s="72">
        <f>INDEX($G$5:$G$14,MATCH(D241,$C$5:$C$14,0))</f>
        <v/>
      </c>
      <c r="H241" s="72" t="inlineStr">
        <is>
          <t>G18</t>
        </is>
      </c>
      <c r="I241" s="72" t="inlineStr">
        <is>
          <t>stjt2B1</t>
        </is>
      </c>
      <c r="J241" s="80" t="n">
        <v>950</v>
      </c>
      <c r="K241" s="72" t="inlineStr">
        <is>
          <t>Ron Furjes</t>
        </is>
      </c>
      <c r="L241" s="81" t="n">
        <v>1055</v>
      </c>
      <c r="M241" s="81">
        <f>Y241</f>
        <v/>
      </c>
      <c r="N241" s="82" t="n">
        <v>45514</v>
      </c>
      <c r="O241" s="82" t="n">
        <v>45514</v>
      </c>
      <c r="P241" s="82" t="n">
        <v>46243</v>
      </c>
      <c r="R241" s="81">
        <f>SUM(AB241:AK241)</f>
        <v/>
      </c>
      <c r="S241" s="81">
        <f>SUM(AM241:AQ241)</f>
        <v/>
      </c>
      <c r="T241" s="81">
        <f>SUM(AS241:AW241)</f>
        <v/>
      </c>
      <c r="Y241" s="81" t="n">
        <v>1034</v>
      </c>
    </row>
    <row r="242">
      <c r="A242" s="72">
        <f>$D$27</f>
        <v/>
      </c>
      <c r="B242" s="72">
        <f>B241+1</f>
        <v/>
      </c>
      <c r="C242" s="72">
        <f>IF(K242="Vacant","Vac",IF(K242="Model","Model",IF(K242="Admin","Admin",IF(K242="Down","Down",IF(K242="Super","Super","Occ")))))</f>
        <v/>
      </c>
      <c r="D242" s="72">
        <f>INDEX($C$5:$C$14,MATCH(I242,$D$5:$D$14,0))</f>
        <v/>
      </c>
      <c r="E242" s="72">
        <f>INDEX($E$5:$E$14,MATCH(D242,$C$5:$C$14,0))</f>
        <v/>
      </c>
      <c r="F242" s="72">
        <f>INDEX($F$5:$F$14,MATCH(D242,$C$5:$C$14,0))</f>
        <v/>
      </c>
      <c r="G242" s="72">
        <f>INDEX($G$5:$G$14,MATCH(D242,$C$5:$C$14,0))</f>
        <v/>
      </c>
      <c r="H242" s="72" t="inlineStr">
        <is>
          <t>G19</t>
        </is>
      </c>
      <c r="I242" s="72" t="inlineStr">
        <is>
          <t>stjt2B2</t>
        </is>
      </c>
      <c r="J242" s="80" t="n">
        <v>950</v>
      </c>
      <c r="K242" s="72" t="inlineStr">
        <is>
          <t>Earl Thorpe</t>
        </is>
      </c>
      <c r="L242" s="81" t="n">
        <v>1075</v>
      </c>
      <c r="M242" s="81">
        <f>Y242</f>
        <v/>
      </c>
      <c r="N242" s="82" t="n">
        <v>45877</v>
      </c>
      <c r="O242" s="82" t="n">
        <v>45877</v>
      </c>
      <c r="P242" s="82" t="n">
        <v>46272</v>
      </c>
      <c r="R242" s="81">
        <f>SUM(AB242:AK242)</f>
        <v/>
      </c>
      <c r="S242" s="81">
        <f>SUM(AM242:AQ242)</f>
        <v/>
      </c>
      <c r="T242" s="81">
        <f>SUM(AS242:AW242)</f>
        <v/>
      </c>
      <c r="Y242" s="81" t="n">
        <v>1045</v>
      </c>
    </row>
    <row r="243">
      <c r="A243" s="72">
        <f>$D$27</f>
        <v/>
      </c>
      <c r="B243" s="72">
        <f>B242+1</f>
        <v/>
      </c>
      <c r="C243" s="72">
        <f>IF(K243="Vacant","Vac",IF(K243="Model","Model",IF(K243="Admin","Admin",IF(K243="Down","Down",IF(K243="Super","Super","Occ")))))</f>
        <v/>
      </c>
      <c r="D243" s="72">
        <f>INDEX($C$5:$C$14,MATCH(I243,$D$5:$D$14,0))</f>
        <v/>
      </c>
      <c r="E243" s="72">
        <f>INDEX($E$5:$E$14,MATCH(D243,$C$5:$C$14,0))</f>
        <v/>
      </c>
      <c r="F243" s="72">
        <f>INDEX($F$5:$F$14,MATCH(D243,$C$5:$C$14,0))</f>
        <v/>
      </c>
      <c r="G243" s="72">
        <f>INDEX($G$5:$G$14,MATCH(D243,$C$5:$C$14,0))</f>
        <v/>
      </c>
      <c r="H243" s="72" t="inlineStr">
        <is>
          <t>G20</t>
        </is>
      </c>
      <c r="I243" s="72" t="inlineStr">
        <is>
          <t>stjt2B2</t>
        </is>
      </c>
      <c r="J243" s="80" t="n">
        <v>950</v>
      </c>
      <c r="K243" s="72" t="inlineStr">
        <is>
          <t>Brandon Josey</t>
        </is>
      </c>
      <c r="L243" s="81" t="n">
        <v>1075</v>
      </c>
      <c r="M243" s="81">
        <f>Y243</f>
        <v/>
      </c>
      <c r="N243" s="82" t="n">
        <v>44179</v>
      </c>
      <c r="O243" s="82" t="n">
        <v>44179</v>
      </c>
      <c r="P243" s="82" t="n">
        <v>44681</v>
      </c>
      <c r="R243" s="81">
        <f>SUM(AB243:AK243)</f>
        <v/>
      </c>
      <c r="S243" s="81">
        <f>SUM(AM243:AQ243)</f>
        <v/>
      </c>
      <c r="T243" s="81">
        <f>SUM(AS243:AW243)</f>
        <v/>
      </c>
      <c r="Y243" s="81" t="n">
        <v>1045</v>
      </c>
    </row>
    <row r="244">
      <c r="A244" s="72">
        <f>$D$27</f>
        <v/>
      </c>
      <c r="B244" s="72">
        <f>B243+1</f>
        <v/>
      </c>
      <c r="C244" s="72">
        <f>IF(K244="Vacant","Vac",IF(K244="Model","Model",IF(K244="Admin","Admin",IF(K244="Down","Down",IF(K244="Super","Super","Occ")))))</f>
        <v/>
      </c>
      <c r="D244" s="72">
        <f>INDEX($C$5:$C$14,MATCH(I244,$D$5:$D$14,0))</f>
        <v/>
      </c>
      <c r="E244" s="72">
        <f>INDEX($E$5:$E$14,MATCH(D244,$C$5:$C$14,0))</f>
        <v/>
      </c>
      <c r="F244" s="72">
        <f>INDEX($F$5:$F$14,MATCH(D244,$C$5:$C$14,0))</f>
        <v/>
      </c>
      <c r="G244" s="72">
        <f>INDEX($G$5:$G$14,MATCH(D244,$C$5:$C$14,0))</f>
        <v/>
      </c>
      <c r="H244" s="72" t="inlineStr">
        <is>
          <t>G21</t>
        </is>
      </c>
      <c r="I244" s="72" t="inlineStr">
        <is>
          <t>stjt2B1R</t>
        </is>
      </c>
      <c r="J244" s="80" t="n">
        <v>950</v>
      </c>
      <c r="K244" s="72" t="inlineStr">
        <is>
          <t>Kelvonte Grant</t>
        </is>
      </c>
      <c r="L244" s="81" t="n">
        <v>1135</v>
      </c>
      <c r="M244" s="81">
        <f>Y244</f>
        <v/>
      </c>
      <c r="N244" s="82" t="n">
        <v>45296</v>
      </c>
      <c r="O244" s="82" t="n">
        <v>45296</v>
      </c>
      <c r="P244" s="82" t="n">
        <v>46207</v>
      </c>
      <c r="R244" s="81">
        <f>SUM(AB244:AK244)</f>
        <v/>
      </c>
      <c r="S244" s="81">
        <f>SUM(AM244:AQ244)</f>
        <v/>
      </c>
      <c r="T244" s="81">
        <f>SUM(AS244:AW244)</f>
        <v/>
      </c>
      <c r="Y244" s="81" t="n">
        <v>1085</v>
      </c>
    </row>
    <row r="245">
      <c r="A245" s="72">
        <f>$D$27</f>
        <v/>
      </c>
      <c r="B245" s="72">
        <f>B244+1</f>
        <v/>
      </c>
      <c r="C245" s="72">
        <f>IF(K245="Vacant","Vac",IF(K245="Model","Model",IF(K245="Admin","Admin",IF(K245="Down","Down",IF(K245="Super","Super","Occ")))))</f>
        <v/>
      </c>
      <c r="D245" s="72">
        <f>INDEX($C$5:$C$14,MATCH(I245,$D$5:$D$14,0))</f>
        <v/>
      </c>
      <c r="E245" s="72">
        <f>INDEX($E$5:$E$14,MATCH(D245,$C$5:$C$14,0))</f>
        <v/>
      </c>
      <c r="F245" s="72">
        <f>INDEX($F$5:$F$14,MATCH(D245,$C$5:$C$14,0))</f>
        <v/>
      </c>
      <c r="G245" s="72">
        <f>INDEX($G$5:$G$14,MATCH(D245,$C$5:$C$14,0))</f>
        <v/>
      </c>
      <c r="H245" s="72" t="inlineStr">
        <is>
          <t>G22</t>
        </is>
      </c>
      <c r="I245" s="72" t="inlineStr">
        <is>
          <t>stjt2B1</t>
        </is>
      </c>
      <c r="J245" s="80" t="n">
        <v>950</v>
      </c>
      <c r="K245" s="72" t="inlineStr">
        <is>
          <t>Bahaa Jibrini</t>
        </is>
      </c>
      <c r="L245" s="81" t="n">
        <v>1035</v>
      </c>
      <c r="M245" s="81">
        <f>Y245</f>
        <v/>
      </c>
      <c r="N245" s="82" t="n">
        <v>45857</v>
      </c>
      <c r="O245" s="82" t="n">
        <v>45857</v>
      </c>
      <c r="P245" s="82" t="n">
        <v>46252</v>
      </c>
      <c r="R245" s="81">
        <f>SUM(AB245:AK245)</f>
        <v/>
      </c>
      <c r="S245" s="81">
        <f>SUM(AM245:AQ245)</f>
        <v/>
      </c>
      <c r="T245" s="81">
        <f>SUM(AS245:AW245)</f>
        <v/>
      </c>
      <c r="Y245" s="81" t="n">
        <v>1025</v>
      </c>
    </row>
    <row r="246">
      <c r="A246" s="72">
        <f>$D$27</f>
        <v/>
      </c>
      <c r="B246" s="72">
        <f>B245+1</f>
        <v/>
      </c>
      <c r="C246" s="72">
        <f>IF(K246="Vacant","Vac",IF(K246="Model","Model",IF(K246="Admin","Admin",IF(K246="Down","Down",IF(K246="Super","Super","Occ")))))</f>
        <v/>
      </c>
      <c r="D246" s="72">
        <f>INDEX($C$5:$C$14,MATCH(I246,$D$5:$D$14,0))</f>
        <v/>
      </c>
      <c r="E246" s="72">
        <f>INDEX($E$5:$E$14,MATCH(D246,$C$5:$C$14,0))</f>
        <v/>
      </c>
      <c r="F246" s="72">
        <f>INDEX($F$5:$F$14,MATCH(D246,$C$5:$C$14,0))</f>
        <v/>
      </c>
      <c r="G246" s="72">
        <f>INDEX($G$5:$G$14,MATCH(D246,$C$5:$C$14,0))</f>
        <v/>
      </c>
      <c r="H246" s="72" t="inlineStr">
        <is>
          <t>G23</t>
        </is>
      </c>
      <c r="I246" s="72" t="inlineStr">
        <is>
          <t>stjt2B2R</t>
        </is>
      </c>
      <c r="J246" s="80" t="n">
        <v>950</v>
      </c>
      <c r="K246" s="72" t="inlineStr">
        <is>
          <t>Antwon Delaney</t>
        </is>
      </c>
      <c r="L246" s="81" t="n">
        <v>1214</v>
      </c>
      <c r="M246" s="81">
        <f>Y246</f>
        <v/>
      </c>
      <c r="N246" s="82" t="n">
        <v>45632</v>
      </c>
      <c r="O246" s="82" t="n">
        <v>45632</v>
      </c>
      <c r="P246" s="82" t="n">
        <v>46178</v>
      </c>
      <c r="R246" s="81">
        <f>SUM(AB246:AK246)</f>
        <v/>
      </c>
      <c r="S246" s="81">
        <f>SUM(AM246:AQ246)</f>
        <v/>
      </c>
      <c r="T246" s="81">
        <f>SUM(AS246:AW246)</f>
        <v/>
      </c>
      <c r="Y246" s="81" t="n">
        <v>965</v>
      </c>
    </row>
    <row r="247">
      <c r="A247" s="72">
        <f>$D$27</f>
        <v/>
      </c>
      <c r="B247" s="72">
        <f>B246+1</f>
        <v/>
      </c>
      <c r="C247" s="72">
        <f>IF(K247="Vacant","Vac",IF(K247="Model","Model",IF(K247="Admin","Admin",IF(K247="Down","Down",IF(K247="Super","Super","Occ")))))</f>
        <v/>
      </c>
      <c r="D247" s="72">
        <f>INDEX($C$5:$C$14,MATCH(I247,$D$5:$D$14,0))</f>
        <v/>
      </c>
      <c r="E247" s="72">
        <f>INDEX($E$5:$E$14,MATCH(D247,$C$5:$C$14,0))</f>
        <v/>
      </c>
      <c r="F247" s="72">
        <f>INDEX($F$5:$F$14,MATCH(D247,$C$5:$C$14,0))</f>
        <v/>
      </c>
      <c r="G247" s="72">
        <f>INDEX($G$5:$G$14,MATCH(D247,$C$5:$C$14,0))</f>
        <v/>
      </c>
      <c r="H247" s="72" t="inlineStr">
        <is>
          <t>G24</t>
        </is>
      </c>
      <c r="I247" s="72" t="inlineStr">
        <is>
          <t>stjt2B2R</t>
        </is>
      </c>
      <c r="J247" s="80" t="n">
        <v>950</v>
      </c>
      <c r="K247" s="72" t="inlineStr">
        <is>
          <t>Teofilo Gaspar</t>
        </is>
      </c>
      <c r="L247" s="81" t="n">
        <v>1214</v>
      </c>
      <c r="M247" s="81">
        <f>Y247</f>
        <v/>
      </c>
      <c r="N247" s="82" t="n">
        <v>44911</v>
      </c>
      <c r="O247" s="82" t="n">
        <v>44911</v>
      </c>
      <c r="P247" s="82" t="n">
        <v>46188</v>
      </c>
      <c r="R247" s="81">
        <f>SUM(AB247:AK247)</f>
        <v/>
      </c>
      <c r="S247" s="81">
        <f>SUM(AM247:AQ247)</f>
        <v/>
      </c>
      <c r="T247" s="81">
        <f>SUM(AS247:AW247)</f>
        <v/>
      </c>
      <c r="Y247" s="81" t="n">
        <v>1125</v>
      </c>
    </row>
    <row r="248">
      <c r="A248" s="72">
        <f>$D$27</f>
        <v/>
      </c>
      <c r="B248" s="72">
        <f>B247+1</f>
        <v/>
      </c>
      <c r="C248" s="72">
        <f>IF(K248="Vacant","Vac",IF(K248="Model","Model",IF(K248="Admin","Admin",IF(K248="Down","Down",IF(K248="Super","Super","Occ")))))</f>
        <v/>
      </c>
      <c r="D248" s="72">
        <f>INDEX($C$5:$C$14,MATCH(I248,$D$5:$D$14,0))</f>
        <v/>
      </c>
      <c r="E248" s="72">
        <f>INDEX($E$5:$E$14,MATCH(D248,$C$5:$C$14,0))</f>
        <v/>
      </c>
      <c r="F248" s="72">
        <f>INDEX($F$5:$F$14,MATCH(D248,$C$5:$C$14,0))</f>
        <v/>
      </c>
      <c r="G248" s="72">
        <f>INDEX($G$5:$G$14,MATCH(D248,$C$5:$C$14,0))</f>
        <v/>
      </c>
      <c r="H248" s="72" t="inlineStr">
        <is>
          <t>G25</t>
        </is>
      </c>
      <c r="I248" s="72" t="inlineStr">
        <is>
          <t>stjt2B1R</t>
        </is>
      </c>
      <c r="J248" s="80" t="n">
        <v>950</v>
      </c>
      <c r="K248" s="72" t="inlineStr">
        <is>
          <t>Aly Palacio</t>
        </is>
      </c>
      <c r="L248" s="81" t="n">
        <v>1120</v>
      </c>
      <c r="M248" s="81">
        <f>Y248</f>
        <v/>
      </c>
      <c r="N248" s="82" t="n">
        <v>44929</v>
      </c>
      <c r="O248" s="82" t="n">
        <v>44929</v>
      </c>
      <c r="P248" s="82" t="n">
        <v>46479</v>
      </c>
      <c r="R248" s="81">
        <f>SUM(AB248:AK248)</f>
        <v/>
      </c>
      <c r="S248" s="81">
        <f>SUM(AM248:AQ248)</f>
        <v/>
      </c>
      <c r="T248" s="81">
        <f>SUM(AS248:AW248)</f>
        <v/>
      </c>
      <c r="Y248" s="81" t="n">
        <v>1070</v>
      </c>
    </row>
    <row r="249">
      <c r="A249" s="72">
        <f>$D$27</f>
        <v/>
      </c>
      <c r="B249" s="72">
        <f>B248+1</f>
        <v/>
      </c>
      <c r="C249" s="72">
        <f>IF(K249="Vacant","Vac",IF(K249="Model","Model",IF(K249="Admin","Admin",IF(K249="Down","Down",IF(K249="Super","Super","Occ")))))</f>
        <v/>
      </c>
      <c r="D249" s="72">
        <f>INDEX($C$5:$C$14,MATCH(I249,$D$5:$D$14,0))</f>
        <v/>
      </c>
      <c r="E249" s="72">
        <f>INDEX($E$5:$E$14,MATCH(D249,$C$5:$C$14,0))</f>
        <v/>
      </c>
      <c r="F249" s="72">
        <f>INDEX($F$5:$F$14,MATCH(D249,$C$5:$C$14,0))</f>
        <v/>
      </c>
      <c r="G249" s="72">
        <f>INDEX($G$5:$G$14,MATCH(D249,$C$5:$C$14,0))</f>
        <v/>
      </c>
      <c r="H249" s="72" t="inlineStr">
        <is>
          <t>G26</t>
        </is>
      </c>
      <c r="I249" s="72" t="inlineStr">
        <is>
          <t>stjt2B1</t>
        </is>
      </c>
      <c r="J249" s="80" t="n">
        <v>950</v>
      </c>
      <c r="K249" s="72" t="inlineStr">
        <is>
          <t>Mason Schenck</t>
        </is>
      </c>
      <c r="L249" s="81" t="n">
        <v>1020</v>
      </c>
      <c r="M249" s="81">
        <f>Y249</f>
        <v/>
      </c>
      <c r="N249" s="82" t="n">
        <v>43826</v>
      </c>
      <c r="O249" s="82" t="n">
        <v>43826</v>
      </c>
      <c r="P249" s="82" t="n">
        <v>46199</v>
      </c>
      <c r="R249" s="81">
        <f>SUM(AB249:AK249)</f>
        <v/>
      </c>
      <c r="S249" s="81">
        <f>SUM(AM249:AQ249)</f>
        <v/>
      </c>
      <c r="T249" s="81">
        <f>SUM(AS249:AW249)</f>
        <v/>
      </c>
      <c r="Y249" s="81" t="n">
        <v>999</v>
      </c>
    </row>
    <row r="250">
      <c r="A250" s="72">
        <f>$D$27</f>
        <v/>
      </c>
      <c r="B250" s="72">
        <f>B249+1</f>
        <v/>
      </c>
      <c r="C250" s="72">
        <f>IF(K250="Vacant","Vac",IF(K250="Model","Model",IF(K250="Admin","Admin",IF(K250="Down","Down",IF(K250="Super","Super","Occ")))))</f>
        <v/>
      </c>
      <c r="D250" s="72">
        <f>INDEX($C$5:$C$14,MATCH(I250,$D$5:$D$14,0))</f>
        <v/>
      </c>
      <c r="E250" s="72">
        <f>INDEX($E$5:$E$14,MATCH(D250,$C$5:$C$14,0))</f>
        <v/>
      </c>
      <c r="F250" s="72">
        <f>INDEX($F$5:$F$14,MATCH(D250,$C$5:$C$14,0))</f>
        <v/>
      </c>
      <c r="G250" s="72">
        <f>INDEX($G$5:$G$14,MATCH(D250,$C$5:$C$14,0))</f>
        <v/>
      </c>
      <c r="H250" s="72" t="inlineStr">
        <is>
          <t>G27</t>
        </is>
      </c>
      <c r="I250" s="72" t="inlineStr">
        <is>
          <t>stjt2B2R</t>
        </is>
      </c>
      <c r="J250" s="80" t="n">
        <v>950</v>
      </c>
      <c r="K250" s="72" t="inlineStr">
        <is>
          <t>VACANT</t>
        </is>
      </c>
      <c r="L250" s="81" t="n">
        <v>1190</v>
      </c>
      <c r="M250" s="81">
        <f>Y250</f>
        <v/>
      </c>
      <c r="R250" s="81">
        <f>SUM(AB250:AK250)</f>
        <v/>
      </c>
      <c r="S250" s="81">
        <f>SUM(AM250:AQ250)</f>
        <v/>
      </c>
      <c r="T250" s="81">
        <f>SUM(AS250:AW250)</f>
        <v/>
      </c>
      <c r="Y250" s="81" t="n">
        <v>0</v>
      </c>
    </row>
    <row r="251">
      <c r="A251" s="72">
        <f>$D$27</f>
        <v/>
      </c>
      <c r="B251" s="72">
        <f>B250+1</f>
        <v/>
      </c>
      <c r="C251" s="72">
        <f>IF(K251="Vacant","Vac",IF(K251="Model","Model",IF(K251="Admin","Admin",IF(K251="Down","Down",IF(K251="Super","Super","Occ")))))</f>
        <v/>
      </c>
      <c r="D251" s="72">
        <f>INDEX($C$5:$C$14,MATCH(I251,$D$5:$D$14,0))</f>
        <v/>
      </c>
      <c r="E251" s="72">
        <f>INDEX($E$5:$E$14,MATCH(D251,$C$5:$C$14,0))</f>
        <v/>
      </c>
      <c r="F251" s="72">
        <f>INDEX($F$5:$F$14,MATCH(D251,$C$5:$C$14,0))</f>
        <v/>
      </c>
      <c r="G251" s="72">
        <f>INDEX($G$5:$G$14,MATCH(D251,$C$5:$C$14,0))</f>
        <v/>
      </c>
      <c r="H251" s="72" t="inlineStr">
        <is>
          <t>G28</t>
        </is>
      </c>
      <c r="I251" s="72" t="inlineStr">
        <is>
          <t>stjt2B2R</t>
        </is>
      </c>
      <c r="J251" s="80" t="n">
        <v>950</v>
      </c>
      <c r="K251" s="72" t="inlineStr">
        <is>
          <t>Victoria Chamberlain</t>
        </is>
      </c>
      <c r="L251" s="81" t="n">
        <v>1199</v>
      </c>
      <c r="M251" s="81">
        <f>Y251</f>
        <v/>
      </c>
      <c r="N251" s="82" t="n">
        <v>45773</v>
      </c>
      <c r="O251" s="82" t="n">
        <v>45773</v>
      </c>
      <c r="P251" s="82" t="n">
        <v>46502</v>
      </c>
      <c r="R251" s="81">
        <f>SUM(AB251:AK251)</f>
        <v/>
      </c>
      <c r="S251" s="81">
        <f>SUM(AM251:AQ251)</f>
        <v/>
      </c>
      <c r="T251" s="81">
        <f>SUM(AS251:AW251)</f>
        <v/>
      </c>
      <c r="Y251" s="81" t="n">
        <v>1015</v>
      </c>
    </row>
    <row r="252">
      <c r="A252" s="72">
        <f>$D$27</f>
        <v/>
      </c>
      <c r="B252" s="72">
        <f>B251+1</f>
        <v/>
      </c>
      <c r="C252" s="72">
        <f>IF(K252="Vacant","Vac",IF(K252="Model","Model",IF(K252="Admin","Admin",IF(K252="Down","Down",IF(K252="Super","Super","Occ")))))</f>
        <v/>
      </c>
      <c r="D252" s="72">
        <f>INDEX($C$5:$C$14,MATCH(I252,$D$5:$D$14,0))</f>
        <v/>
      </c>
      <c r="E252" s="72">
        <f>INDEX($E$5:$E$14,MATCH(D252,$C$5:$C$14,0))</f>
        <v/>
      </c>
      <c r="F252" s="72">
        <f>INDEX($F$5:$F$14,MATCH(D252,$C$5:$C$14,0))</f>
        <v/>
      </c>
      <c r="G252" s="72">
        <f>INDEX($G$5:$G$14,MATCH(D252,$C$5:$C$14,0))</f>
        <v/>
      </c>
      <c r="H252" s="72" t="inlineStr">
        <is>
          <t>G29</t>
        </is>
      </c>
      <c r="I252" s="72" t="inlineStr">
        <is>
          <t>stjt2B1R</t>
        </is>
      </c>
      <c r="J252" s="80" t="n">
        <v>950</v>
      </c>
      <c r="K252" s="72" t="inlineStr">
        <is>
          <t>Brianna Johnson</t>
        </is>
      </c>
      <c r="L252" s="81" t="n">
        <v>1135</v>
      </c>
      <c r="M252" s="81">
        <f>Y252</f>
        <v/>
      </c>
      <c r="N252" s="82" t="n">
        <v>45793</v>
      </c>
      <c r="O252" s="82" t="n">
        <v>45793</v>
      </c>
      <c r="P252" s="82" t="n">
        <v>46157</v>
      </c>
      <c r="R252" s="81">
        <f>SUM(AB252:AK252)</f>
        <v/>
      </c>
      <c r="S252" s="81">
        <f>SUM(AM252:AQ252)</f>
        <v/>
      </c>
      <c r="T252" s="81">
        <f>SUM(AS252:AW252)</f>
        <v/>
      </c>
      <c r="Y252" s="81" t="n">
        <v>1060</v>
      </c>
    </row>
    <row r="253">
      <c r="A253" s="72">
        <f>$D$27</f>
        <v/>
      </c>
      <c r="B253" s="72">
        <f>B252+1</f>
        <v/>
      </c>
      <c r="C253" s="72">
        <f>IF(K253="Vacant","Vac",IF(K253="Model","Model",IF(K253="Admin","Admin",IF(K253="Down","Down",IF(K253="Super","Super","Occ")))))</f>
        <v/>
      </c>
      <c r="D253" s="72">
        <f>INDEX($C$5:$C$14,MATCH(I253,$D$5:$D$14,0))</f>
        <v/>
      </c>
      <c r="E253" s="72">
        <f>INDEX($E$5:$E$14,MATCH(D253,$C$5:$C$14,0))</f>
        <v/>
      </c>
      <c r="F253" s="72">
        <f>INDEX($F$5:$F$14,MATCH(D253,$C$5:$C$14,0))</f>
        <v/>
      </c>
      <c r="G253" s="72">
        <f>INDEX($G$5:$G$14,MATCH(D253,$C$5:$C$14,0))</f>
        <v/>
      </c>
      <c r="H253" s="72" t="inlineStr">
        <is>
          <t>G30</t>
        </is>
      </c>
      <c r="I253" s="72" t="inlineStr">
        <is>
          <t>stjt2B1</t>
        </is>
      </c>
      <c r="J253" s="80" t="n">
        <v>950</v>
      </c>
      <c r="K253" s="72" t="inlineStr">
        <is>
          <t>Phillip Mcelroy</t>
        </is>
      </c>
      <c r="L253" s="81" t="n">
        <v>1035</v>
      </c>
      <c r="M253" s="81">
        <f>Y253</f>
        <v/>
      </c>
      <c r="N253" s="82" t="n">
        <v>46088</v>
      </c>
      <c r="O253" s="82" t="n">
        <v>46088</v>
      </c>
      <c r="P253" s="82" t="n">
        <v>46452</v>
      </c>
      <c r="R253" s="81">
        <f>SUM(AB253:AK253)</f>
        <v/>
      </c>
      <c r="S253" s="81">
        <f>SUM(AM253:AQ253)</f>
        <v/>
      </c>
      <c r="T253" s="81">
        <f>SUM(AS253:AW253)</f>
        <v/>
      </c>
      <c r="Y253" s="81" t="n">
        <v>1025</v>
      </c>
    </row>
    <row r="254">
      <c r="A254" s="72">
        <f>$D$27</f>
        <v/>
      </c>
      <c r="B254" s="72">
        <f>B253+1</f>
        <v/>
      </c>
      <c r="C254" s="72">
        <f>IF(K254="Vacant","Vac",IF(K254="Model","Model",IF(K254="Admin","Admin",IF(K254="Down","Down",IF(K254="Super","Super","Occ")))))</f>
        <v/>
      </c>
      <c r="D254" s="72">
        <f>INDEX($C$5:$C$14,MATCH(I254,$D$5:$D$14,0))</f>
        <v/>
      </c>
      <c r="E254" s="72">
        <f>INDEX($E$5:$E$14,MATCH(D254,$C$5:$C$14,0))</f>
        <v/>
      </c>
      <c r="F254" s="72">
        <f>INDEX($F$5:$F$14,MATCH(D254,$C$5:$C$14,0))</f>
        <v/>
      </c>
      <c r="G254" s="72">
        <f>INDEX($G$5:$G$14,MATCH(D254,$C$5:$C$14,0))</f>
        <v/>
      </c>
      <c r="H254" s="72" t="inlineStr">
        <is>
          <t>G31</t>
        </is>
      </c>
      <c r="I254" s="72" t="inlineStr">
        <is>
          <t>stjt2B2</t>
        </is>
      </c>
      <c r="J254" s="80" t="n">
        <v>950</v>
      </c>
      <c r="K254" s="72" t="inlineStr">
        <is>
          <t>Pedro Melesio-Macias</t>
        </is>
      </c>
      <c r="L254" s="81" t="n">
        <v>1075</v>
      </c>
      <c r="M254" s="81">
        <f>Y254</f>
        <v/>
      </c>
      <c r="N254" s="82" t="n">
        <v>44436</v>
      </c>
      <c r="O254" s="82" t="n">
        <v>44436</v>
      </c>
      <c r="P254" s="82" t="n">
        <v>46292</v>
      </c>
      <c r="R254" s="81">
        <f>SUM(AB254:AK254)</f>
        <v/>
      </c>
      <c r="S254" s="81">
        <f>SUM(AM254:AQ254)</f>
        <v/>
      </c>
      <c r="T254" s="81">
        <f>SUM(AS254:AW254)</f>
        <v/>
      </c>
      <c r="Y254" s="81" t="n">
        <v>1017</v>
      </c>
    </row>
    <row r="255">
      <c r="A255" s="72">
        <f>$D$27</f>
        <v/>
      </c>
      <c r="B255" s="72">
        <f>B254+1</f>
        <v/>
      </c>
      <c r="C255" s="72">
        <f>IF(K255="Vacant","Vac",IF(K255="Model","Model",IF(K255="Admin","Admin",IF(K255="Down","Down",IF(K255="Super","Super","Occ")))))</f>
        <v/>
      </c>
      <c r="D255" s="72">
        <f>INDEX($C$5:$C$14,MATCH(I255,$D$5:$D$14,0))</f>
        <v/>
      </c>
      <c r="E255" s="72">
        <f>INDEX($E$5:$E$14,MATCH(D255,$C$5:$C$14,0))</f>
        <v/>
      </c>
      <c r="F255" s="72">
        <f>INDEX($F$5:$F$14,MATCH(D255,$C$5:$C$14,0))</f>
        <v/>
      </c>
      <c r="G255" s="72">
        <f>INDEX($G$5:$G$14,MATCH(D255,$C$5:$C$14,0))</f>
        <v/>
      </c>
      <c r="H255" s="72" t="inlineStr">
        <is>
          <t>G32</t>
        </is>
      </c>
      <c r="I255" s="72" t="inlineStr">
        <is>
          <t>stjt2B2R</t>
        </is>
      </c>
      <c r="J255" s="80" t="n">
        <v>950</v>
      </c>
      <c r="K255" s="72" t="inlineStr">
        <is>
          <t>Demarcus Sowell</t>
        </is>
      </c>
      <c r="L255" s="81" t="n">
        <v>1214</v>
      </c>
      <c r="M255" s="81">
        <f>Y255</f>
        <v/>
      </c>
      <c r="N255" s="82" t="n">
        <v>45499</v>
      </c>
      <c r="O255" s="82" t="n">
        <v>45499</v>
      </c>
      <c r="P255" s="82" t="n">
        <v>46228</v>
      </c>
      <c r="R255" s="81">
        <f>SUM(AB255:AK255)</f>
        <v/>
      </c>
      <c r="S255" s="81">
        <f>SUM(AM255:AQ255)</f>
        <v/>
      </c>
      <c r="T255" s="81">
        <f>SUM(AS255:AW255)</f>
        <v/>
      </c>
      <c r="Y255" s="81" t="n">
        <v>1190</v>
      </c>
    </row>
    <row r="256">
      <c r="A256" s="72">
        <f>$D$27</f>
        <v/>
      </c>
      <c r="B256" s="72">
        <f>B255+1</f>
        <v/>
      </c>
      <c r="C256" s="72">
        <f>IF(K256="Vacant","Vac",IF(K256="Model","Model",IF(K256="Admin","Admin",IF(K256="Down","Down",IF(K256="Super","Super","Occ")))))</f>
        <v/>
      </c>
      <c r="D256" s="72">
        <f>INDEX($C$5:$C$14,MATCH(I256,$D$5:$D$14,0))</f>
        <v/>
      </c>
      <c r="E256" s="72">
        <f>INDEX($E$5:$E$14,MATCH(D256,$C$5:$C$14,0))</f>
        <v/>
      </c>
      <c r="F256" s="72">
        <f>INDEX($F$5:$F$14,MATCH(D256,$C$5:$C$14,0))</f>
        <v/>
      </c>
      <c r="G256" s="72">
        <f>INDEX($G$5:$G$14,MATCH(D256,$C$5:$C$14,0))</f>
        <v/>
      </c>
      <c r="H256" s="72" t="inlineStr">
        <is>
          <t>G33</t>
        </is>
      </c>
      <c r="I256" s="72" t="inlineStr">
        <is>
          <t>stjt2B1R</t>
        </is>
      </c>
      <c r="J256" s="80" t="n">
        <v>950</v>
      </c>
      <c r="K256" s="72" t="inlineStr">
        <is>
          <t>Maddie Douglas</t>
        </is>
      </c>
      <c r="L256" s="81" t="n">
        <v>1135</v>
      </c>
      <c r="M256" s="81">
        <f>Y256</f>
        <v/>
      </c>
      <c r="N256" s="82" t="n">
        <v>45716</v>
      </c>
      <c r="O256" s="82" t="n">
        <v>45716</v>
      </c>
      <c r="P256" s="82" t="n">
        <v>46169</v>
      </c>
      <c r="R256" s="81">
        <f>SUM(AB256:AK256)</f>
        <v/>
      </c>
      <c r="S256" s="81">
        <f>SUM(AM256:AQ256)</f>
        <v/>
      </c>
      <c r="T256" s="81">
        <f>SUM(AS256:AW256)</f>
        <v/>
      </c>
      <c r="Y256" s="81" t="n">
        <v>1060</v>
      </c>
    </row>
    <row r="257">
      <c r="A257" s="72">
        <f>$D$27</f>
        <v/>
      </c>
      <c r="B257" s="72">
        <f>B256+1</f>
        <v/>
      </c>
      <c r="C257" s="72">
        <f>IF(K257="Vacant","Vac",IF(K257="Model","Model",IF(K257="Admin","Admin",IF(K257="Down","Down",IF(K257="Super","Super","Occ")))))</f>
        <v/>
      </c>
      <c r="D257" s="72">
        <f>INDEX($C$5:$C$14,MATCH(I257,$D$5:$D$14,0))</f>
        <v/>
      </c>
      <c r="E257" s="72">
        <f>INDEX($E$5:$E$14,MATCH(D257,$C$5:$C$14,0))</f>
        <v/>
      </c>
      <c r="F257" s="72">
        <f>INDEX($F$5:$F$14,MATCH(D257,$C$5:$C$14,0))</f>
        <v/>
      </c>
      <c r="G257" s="72">
        <f>INDEX($G$5:$G$14,MATCH(D257,$C$5:$C$14,0))</f>
        <v/>
      </c>
      <c r="H257" s="72" t="inlineStr">
        <is>
          <t>G34</t>
        </is>
      </c>
      <c r="I257" s="72" t="inlineStr">
        <is>
          <t>stjt2B1R</t>
        </is>
      </c>
      <c r="J257" s="80" t="n">
        <v>950</v>
      </c>
      <c r="K257" s="72" t="inlineStr">
        <is>
          <t>Yailen Cespedes</t>
        </is>
      </c>
      <c r="L257" s="81" t="n">
        <v>1135</v>
      </c>
      <c r="M257" s="81">
        <f>Y257</f>
        <v/>
      </c>
      <c r="N257" s="82" t="n">
        <v>44909</v>
      </c>
      <c r="O257" s="82" t="n">
        <v>44909</v>
      </c>
      <c r="P257" s="82" t="n">
        <v>46216</v>
      </c>
      <c r="R257" s="81">
        <f>SUM(AB257:AK257)</f>
        <v/>
      </c>
      <c r="S257" s="81">
        <f>SUM(AM257:AQ257)</f>
        <v/>
      </c>
      <c r="T257" s="81">
        <f>SUM(AS257:AW257)</f>
        <v/>
      </c>
      <c r="Y257" s="81" t="n">
        <v>1095</v>
      </c>
    </row>
    <row r="258">
      <c r="A258" s="72">
        <f>$D$27</f>
        <v/>
      </c>
      <c r="B258" s="72">
        <f>B257+1</f>
        <v/>
      </c>
      <c r="C258" s="72">
        <f>IF(K258="Vacant","Vac",IF(K258="Model","Model",IF(K258="Admin","Admin",IF(K258="Down","Down",IF(K258="Super","Super","Occ")))))</f>
        <v/>
      </c>
      <c r="D258" s="72">
        <f>INDEX($C$5:$C$14,MATCH(I258,$D$5:$D$14,0))</f>
        <v/>
      </c>
      <c r="E258" s="72">
        <f>INDEX($E$5:$E$14,MATCH(D258,$C$5:$C$14,0))</f>
        <v/>
      </c>
      <c r="F258" s="72">
        <f>INDEX($F$5:$F$14,MATCH(D258,$C$5:$C$14,0))</f>
        <v/>
      </c>
      <c r="G258" s="72">
        <f>INDEX($G$5:$G$14,MATCH(D258,$C$5:$C$14,0))</f>
        <v/>
      </c>
      <c r="H258" s="72" t="inlineStr">
        <is>
          <t>G35</t>
        </is>
      </c>
      <c r="I258" s="72" t="inlineStr">
        <is>
          <t>stjt2B2R</t>
        </is>
      </c>
      <c r="J258" s="80" t="n">
        <v>950</v>
      </c>
      <c r="K258" s="72" t="inlineStr">
        <is>
          <t>Lusaidi Acosta Olivares</t>
        </is>
      </c>
      <c r="L258" s="81" t="n">
        <v>1214</v>
      </c>
      <c r="M258" s="81">
        <f>Y258</f>
        <v/>
      </c>
      <c r="N258" s="82" t="n">
        <v>45076</v>
      </c>
      <c r="O258" s="82" t="n">
        <v>45076</v>
      </c>
      <c r="P258" s="82" t="n">
        <v>46202</v>
      </c>
      <c r="R258" s="81">
        <f>SUM(AB258:AK258)</f>
        <v/>
      </c>
      <c r="S258" s="81">
        <f>SUM(AM258:AQ258)</f>
        <v/>
      </c>
      <c r="T258" s="81">
        <f>SUM(AS258:AW258)</f>
        <v/>
      </c>
      <c r="Y258" s="81" t="n">
        <v>1225</v>
      </c>
    </row>
    <row r="259">
      <c r="A259" s="72">
        <f>$D$27</f>
        <v/>
      </c>
      <c r="B259" s="72">
        <f>B258+1</f>
        <v/>
      </c>
      <c r="C259" s="72">
        <f>IF(K259="Vacant","Vac",IF(K259="Model","Model",IF(K259="Admin","Admin",IF(K259="Down","Down",IF(K259="Super","Super","Occ")))))</f>
        <v/>
      </c>
      <c r="D259" s="72">
        <f>INDEX($C$5:$C$14,MATCH(I259,$D$5:$D$14,0))</f>
        <v/>
      </c>
      <c r="E259" s="72">
        <f>INDEX($E$5:$E$14,MATCH(D259,$C$5:$C$14,0))</f>
        <v/>
      </c>
      <c r="F259" s="72">
        <f>INDEX($F$5:$F$14,MATCH(D259,$C$5:$C$14,0))</f>
        <v/>
      </c>
      <c r="G259" s="72">
        <f>INDEX($G$5:$G$14,MATCH(D259,$C$5:$C$14,0))</f>
        <v/>
      </c>
      <c r="H259" s="72" t="inlineStr">
        <is>
          <t>G36</t>
        </is>
      </c>
      <c r="I259" s="72" t="inlineStr">
        <is>
          <t>stjt2B2</t>
        </is>
      </c>
      <c r="J259" s="80" t="n">
        <v>950</v>
      </c>
      <c r="K259" s="72" t="inlineStr">
        <is>
          <t>Jasmin Jordan</t>
        </is>
      </c>
      <c r="L259" s="81" t="n">
        <v>1075</v>
      </c>
      <c r="M259" s="81">
        <f>Y259</f>
        <v/>
      </c>
      <c r="N259" s="82" t="n">
        <v>44316</v>
      </c>
      <c r="O259" s="82" t="n">
        <v>44316</v>
      </c>
      <c r="P259" s="82" t="n">
        <v>46202</v>
      </c>
      <c r="R259" s="81">
        <f>SUM(AB259:AK259)</f>
        <v/>
      </c>
      <c r="S259" s="81">
        <f>SUM(AM259:AQ259)</f>
        <v/>
      </c>
      <c r="T259" s="81">
        <f>SUM(AS259:AW259)</f>
        <v/>
      </c>
      <c r="Y259" s="81" t="n">
        <v>1015</v>
      </c>
    </row>
    <row r="260">
      <c r="A260" s="72">
        <f>$D$27</f>
        <v/>
      </c>
      <c r="B260" s="72">
        <f>B259+1</f>
        <v/>
      </c>
      <c r="C260" s="72">
        <f>IF(K260="Vacant","Vac",IF(K260="Model","Model",IF(K260="Admin","Admin",IF(K260="Down","Down",IF(K260="Super","Super","Occ")))))</f>
        <v/>
      </c>
      <c r="D260" s="72">
        <f>INDEX($C$5:$C$14,MATCH(I260,$D$5:$D$14,0))</f>
        <v/>
      </c>
      <c r="E260" s="72">
        <f>INDEX($E$5:$E$14,MATCH(D260,$C$5:$C$14,0))</f>
        <v/>
      </c>
      <c r="F260" s="72">
        <f>INDEX($F$5:$F$14,MATCH(D260,$C$5:$C$14,0))</f>
        <v/>
      </c>
      <c r="G260" s="72">
        <f>INDEX($G$5:$G$14,MATCH(D260,$C$5:$C$14,0))</f>
        <v/>
      </c>
      <c r="H260" s="72" t="inlineStr">
        <is>
          <t>H01</t>
        </is>
      </c>
      <c r="I260" s="72" t="inlineStr">
        <is>
          <t>stjt2B1</t>
        </is>
      </c>
      <c r="J260" s="80" t="n">
        <v>950</v>
      </c>
      <c r="K260" s="72" t="inlineStr">
        <is>
          <t>Joshua Rhea</t>
        </is>
      </c>
      <c r="L260" s="81" t="n">
        <v>1020</v>
      </c>
      <c r="M260" s="81">
        <f>Y260</f>
        <v/>
      </c>
      <c r="N260" s="82" t="n">
        <v>40398</v>
      </c>
      <c r="O260" s="82" t="n">
        <v>40398</v>
      </c>
      <c r="P260" s="82" t="n">
        <v>46295</v>
      </c>
      <c r="R260" s="81">
        <f>SUM(AB260:AK260)</f>
        <v/>
      </c>
      <c r="S260" s="81">
        <f>SUM(AM260:AQ260)</f>
        <v/>
      </c>
      <c r="T260" s="81">
        <f>SUM(AS260:AW260)</f>
        <v/>
      </c>
      <c r="Y260" s="81" t="n">
        <v>980</v>
      </c>
    </row>
    <row r="261">
      <c r="A261" s="72">
        <f>$D$27</f>
        <v/>
      </c>
      <c r="B261" s="72">
        <f>B260+1</f>
        <v/>
      </c>
      <c r="C261" s="72">
        <f>IF(K261="Vacant","Vac",IF(K261="Model","Model",IF(K261="Admin","Admin",IF(K261="Down","Down",IF(K261="Super","Super","Occ")))))</f>
        <v/>
      </c>
      <c r="D261" s="72">
        <f>INDEX($C$5:$C$14,MATCH(I261,$D$5:$D$14,0))</f>
        <v/>
      </c>
      <c r="E261" s="72">
        <f>INDEX($E$5:$E$14,MATCH(D261,$C$5:$C$14,0))</f>
        <v/>
      </c>
      <c r="F261" s="72">
        <f>INDEX($F$5:$F$14,MATCH(D261,$C$5:$C$14,0))</f>
        <v/>
      </c>
      <c r="G261" s="72">
        <f>INDEX($G$5:$G$14,MATCH(D261,$C$5:$C$14,0))</f>
        <v/>
      </c>
      <c r="H261" s="72" t="inlineStr">
        <is>
          <t>H02</t>
        </is>
      </c>
      <c r="I261" s="72" t="inlineStr">
        <is>
          <t>stjt2B1</t>
        </is>
      </c>
      <c r="J261" s="80" t="n">
        <v>950</v>
      </c>
      <c r="K261" s="72" t="inlineStr">
        <is>
          <t>William Osborne</t>
        </is>
      </c>
      <c r="L261" s="81" t="n">
        <v>1020</v>
      </c>
      <c r="M261" s="81">
        <f>Y261</f>
        <v/>
      </c>
      <c r="N261" s="82" t="n">
        <v>44103</v>
      </c>
      <c r="O261" s="82" t="n">
        <v>44103</v>
      </c>
      <c r="P261" s="82" t="n">
        <v>46293</v>
      </c>
      <c r="R261" s="81">
        <f>SUM(AB261:AK261)</f>
        <v/>
      </c>
      <c r="S261" s="81">
        <f>SUM(AM261:AQ261)</f>
        <v/>
      </c>
      <c r="T261" s="81">
        <f>SUM(AS261:AW261)</f>
        <v/>
      </c>
      <c r="Y261" s="81" t="n">
        <v>985</v>
      </c>
    </row>
    <row r="262">
      <c r="A262" s="72">
        <f>$D$27</f>
        <v/>
      </c>
      <c r="B262" s="72">
        <f>B261+1</f>
        <v/>
      </c>
      <c r="C262" s="72">
        <f>IF(K262="Vacant","Vac",IF(K262="Model","Model",IF(K262="Admin","Admin",IF(K262="Down","Down",IF(K262="Super","Super","Occ")))))</f>
        <v/>
      </c>
      <c r="D262" s="72">
        <f>INDEX($C$5:$C$14,MATCH(I262,$D$5:$D$14,0))</f>
        <v/>
      </c>
      <c r="E262" s="72">
        <f>INDEX($E$5:$E$14,MATCH(D262,$C$5:$C$14,0))</f>
        <v/>
      </c>
      <c r="F262" s="72">
        <f>INDEX($F$5:$F$14,MATCH(D262,$C$5:$C$14,0))</f>
        <v/>
      </c>
      <c r="G262" s="72">
        <f>INDEX($G$5:$G$14,MATCH(D262,$C$5:$C$14,0))</f>
        <v/>
      </c>
      <c r="H262" s="72" t="inlineStr">
        <is>
          <t>H03</t>
        </is>
      </c>
      <c r="I262" s="72" t="inlineStr">
        <is>
          <t>stjt2B1R</t>
        </is>
      </c>
      <c r="J262" s="80" t="n">
        <v>950</v>
      </c>
      <c r="K262" s="72" t="inlineStr">
        <is>
          <t>Giovanni Ramon Virla</t>
        </is>
      </c>
      <c r="L262" s="81" t="n">
        <v>1120</v>
      </c>
      <c r="M262" s="81">
        <f>Y262</f>
        <v/>
      </c>
      <c r="N262" s="82" t="n">
        <v>45322</v>
      </c>
      <c r="O262" s="82" t="n">
        <v>45322</v>
      </c>
      <c r="P262" s="82" t="n">
        <v>46142</v>
      </c>
      <c r="R262" s="81">
        <f>SUM(AB262:AK262)</f>
        <v/>
      </c>
      <c r="S262" s="81">
        <f>SUM(AM262:AQ262)</f>
        <v/>
      </c>
      <c r="T262" s="81">
        <f>SUM(AS262:AW262)</f>
        <v/>
      </c>
      <c r="Y262" s="81" t="n">
        <v>1035</v>
      </c>
    </row>
    <row r="263">
      <c r="A263" s="72">
        <f>$D$27</f>
        <v/>
      </c>
      <c r="B263" s="72">
        <f>B262+1</f>
        <v/>
      </c>
      <c r="C263" s="72">
        <f>IF(K263="Vacant","Vac",IF(K263="Model","Model",IF(K263="Admin","Admin",IF(K263="Down","Down",IF(K263="Super","Super","Occ")))))</f>
        <v/>
      </c>
      <c r="D263" s="72">
        <f>INDEX($C$5:$C$14,MATCH(I263,$D$5:$D$14,0))</f>
        <v/>
      </c>
      <c r="E263" s="72">
        <f>INDEX($E$5:$E$14,MATCH(D263,$C$5:$C$14,0))</f>
        <v/>
      </c>
      <c r="F263" s="72">
        <f>INDEX($F$5:$F$14,MATCH(D263,$C$5:$C$14,0))</f>
        <v/>
      </c>
      <c r="G263" s="72">
        <f>INDEX($G$5:$G$14,MATCH(D263,$C$5:$C$14,0))</f>
        <v/>
      </c>
      <c r="H263" s="72" t="inlineStr">
        <is>
          <t>H04</t>
        </is>
      </c>
      <c r="I263" s="72" t="inlineStr">
        <is>
          <t>stjt2B1</t>
        </is>
      </c>
      <c r="J263" s="80" t="n">
        <v>950</v>
      </c>
      <c r="K263" s="72" t="inlineStr">
        <is>
          <t>Lorena Campos Perez</t>
        </is>
      </c>
      <c r="L263" s="81" t="n">
        <v>1020</v>
      </c>
      <c r="M263" s="81">
        <f>Y263</f>
        <v/>
      </c>
      <c r="N263" s="82" t="n">
        <v>45927</v>
      </c>
      <c r="O263" s="82" t="n">
        <v>45927</v>
      </c>
      <c r="P263" s="82" t="n">
        <v>46473</v>
      </c>
      <c r="R263" s="81">
        <f>SUM(AB263:AK263)</f>
        <v/>
      </c>
      <c r="S263" s="81">
        <f>SUM(AM263:AQ263)</f>
        <v/>
      </c>
      <c r="T263" s="81">
        <f>SUM(AS263:AW263)</f>
        <v/>
      </c>
      <c r="Y263" s="81" t="n">
        <v>1034</v>
      </c>
    </row>
    <row r="264">
      <c r="A264" s="72">
        <f>$D$27</f>
        <v/>
      </c>
      <c r="B264" s="72">
        <f>B263+1</f>
        <v/>
      </c>
      <c r="C264" s="72">
        <f>IF(K264="Vacant","Vac",IF(K264="Model","Model",IF(K264="Admin","Admin",IF(K264="Down","Down",IF(K264="Super","Super","Occ")))))</f>
        <v/>
      </c>
      <c r="D264" s="72">
        <f>INDEX($C$5:$C$14,MATCH(I264,$D$5:$D$14,0))</f>
        <v/>
      </c>
      <c r="E264" s="72">
        <f>INDEX($E$5:$E$14,MATCH(D264,$C$5:$C$14,0))</f>
        <v/>
      </c>
      <c r="F264" s="72">
        <f>INDEX($F$5:$F$14,MATCH(D264,$C$5:$C$14,0))</f>
        <v/>
      </c>
      <c r="G264" s="72">
        <f>INDEX($G$5:$G$14,MATCH(D264,$C$5:$C$14,0))</f>
        <v/>
      </c>
      <c r="H264" s="72" t="inlineStr">
        <is>
          <t>H05</t>
        </is>
      </c>
      <c r="I264" s="72" t="inlineStr">
        <is>
          <t>stjt2B1R</t>
        </is>
      </c>
      <c r="J264" s="80" t="n">
        <v>950</v>
      </c>
      <c r="K264" s="72" t="inlineStr">
        <is>
          <t>Angela Strobel</t>
        </is>
      </c>
      <c r="L264" s="81" t="n">
        <v>1135</v>
      </c>
      <c r="M264" s="81">
        <f>Y264</f>
        <v/>
      </c>
      <c r="N264" s="82" t="n">
        <v>45442</v>
      </c>
      <c r="O264" s="82" t="n">
        <v>45442</v>
      </c>
      <c r="P264" s="82" t="n">
        <v>46171</v>
      </c>
      <c r="R264" s="81">
        <f>SUM(AB264:AK264)</f>
        <v/>
      </c>
      <c r="S264" s="81">
        <f>SUM(AM264:AQ264)</f>
        <v/>
      </c>
      <c r="T264" s="81">
        <f>SUM(AS264:AW264)</f>
        <v/>
      </c>
      <c r="Y264" s="81" t="n">
        <v>1050</v>
      </c>
    </row>
    <row r="265">
      <c r="A265" s="72">
        <f>$D$27</f>
        <v/>
      </c>
      <c r="B265" s="72">
        <f>B264+1</f>
        <v/>
      </c>
      <c r="C265" s="72">
        <f>IF(K265="Vacant","Vac",IF(K265="Model","Model",IF(K265="Admin","Admin",IF(K265="Down","Down",IF(K265="Super","Super","Occ")))))</f>
        <v/>
      </c>
      <c r="D265" s="72">
        <f>INDEX($C$5:$C$14,MATCH(I265,$D$5:$D$14,0))</f>
        <v/>
      </c>
      <c r="E265" s="72">
        <f>INDEX($E$5:$E$14,MATCH(D265,$C$5:$C$14,0))</f>
        <v/>
      </c>
      <c r="F265" s="72">
        <f>INDEX($F$5:$F$14,MATCH(D265,$C$5:$C$14,0))</f>
        <v/>
      </c>
      <c r="G265" s="72">
        <f>INDEX($G$5:$G$14,MATCH(D265,$C$5:$C$14,0))</f>
        <v/>
      </c>
      <c r="H265" s="72" t="inlineStr">
        <is>
          <t>H06</t>
        </is>
      </c>
      <c r="I265" s="72" t="inlineStr">
        <is>
          <t>stjt2B1R</t>
        </is>
      </c>
      <c r="J265" s="80" t="n">
        <v>950</v>
      </c>
      <c r="K265" s="72" t="inlineStr">
        <is>
          <t>Aaron Stinson</t>
        </is>
      </c>
      <c r="L265" s="81" t="n">
        <v>1135</v>
      </c>
      <c r="M265" s="81">
        <f>Y265</f>
        <v/>
      </c>
      <c r="N265" s="82" t="n">
        <v>46101</v>
      </c>
      <c r="O265" s="82" t="n">
        <v>46101</v>
      </c>
      <c r="P265" s="82" t="n">
        <v>46465</v>
      </c>
      <c r="R265" s="81">
        <f>SUM(AB265:AK265)</f>
        <v/>
      </c>
      <c r="S265" s="81">
        <f>SUM(AM265:AQ265)</f>
        <v/>
      </c>
      <c r="T265" s="81">
        <f>SUM(AS265:AW265)</f>
        <v/>
      </c>
      <c r="Y265" s="81" t="n">
        <v>1125</v>
      </c>
    </row>
    <row r="266">
      <c r="A266" s="72">
        <f>$D$27</f>
        <v/>
      </c>
      <c r="B266" s="72">
        <f>B265+1</f>
        <v/>
      </c>
      <c r="C266" s="72">
        <f>IF(K266="Vacant","Vac",IF(K266="Model","Model",IF(K266="Admin","Admin",IF(K266="Down","Down",IF(K266="Super","Super","Occ")))))</f>
        <v/>
      </c>
      <c r="D266" s="72">
        <f>INDEX($C$5:$C$14,MATCH(I266,$D$5:$D$14,0))</f>
        <v/>
      </c>
      <c r="E266" s="72">
        <f>INDEX($E$5:$E$14,MATCH(D266,$C$5:$C$14,0))</f>
        <v/>
      </c>
      <c r="F266" s="72">
        <f>INDEX($F$5:$F$14,MATCH(D266,$C$5:$C$14,0))</f>
        <v/>
      </c>
      <c r="G266" s="72">
        <f>INDEX($G$5:$G$14,MATCH(D266,$C$5:$C$14,0))</f>
        <v/>
      </c>
      <c r="H266" s="72" t="inlineStr">
        <is>
          <t>H07</t>
        </is>
      </c>
      <c r="I266" s="72" t="inlineStr">
        <is>
          <t>stjt2B1</t>
        </is>
      </c>
      <c r="J266" s="80" t="n">
        <v>950</v>
      </c>
      <c r="K266" s="72" t="inlineStr">
        <is>
          <t>Ivonne Rodriguez</t>
        </is>
      </c>
      <c r="L266" s="81" t="n">
        <v>1035</v>
      </c>
      <c r="M266" s="81">
        <f>Y266</f>
        <v/>
      </c>
      <c r="N266" s="82" t="n">
        <v>45457</v>
      </c>
      <c r="O266" s="82" t="n">
        <v>45457</v>
      </c>
      <c r="P266" s="82" t="n">
        <v>46186</v>
      </c>
      <c r="R266" s="81">
        <f>SUM(AB266:AK266)</f>
        <v/>
      </c>
      <c r="S266" s="81">
        <f>SUM(AM266:AQ266)</f>
        <v/>
      </c>
      <c r="T266" s="81">
        <f>SUM(AS266:AW266)</f>
        <v/>
      </c>
      <c r="Y266" s="81" t="n">
        <v>965</v>
      </c>
    </row>
    <row r="267">
      <c r="A267" s="72">
        <f>$D$27</f>
        <v/>
      </c>
      <c r="B267" s="72">
        <f>B266+1</f>
        <v/>
      </c>
      <c r="C267" s="72">
        <f>IF(K267="Vacant","Vac",IF(K267="Model","Model",IF(K267="Admin","Admin",IF(K267="Down","Down",IF(K267="Super","Super","Occ")))))</f>
        <v/>
      </c>
      <c r="D267" s="72">
        <f>INDEX($C$5:$C$14,MATCH(I267,$D$5:$D$14,0))</f>
        <v/>
      </c>
      <c r="E267" s="72">
        <f>INDEX($E$5:$E$14,MATCH(D267,$C$5:$C$14,0))</f>
        <v/>
      </c>
      <c r="F267" s="72">
        <f>INDEX($F$5:$F$14,MATCH(D267,$C$5:$C$14,0))</f>
        <v/>
      </c>
      <c r="G267" s="72">
        <f>INDEX($G$5:$G$14,MATCH(D267,$C$5:$C$14,0))</f>
        <v/>
      </c>
      <c r="H267" s="72" t="inlineStr">
        <is>
          <t>H08</t>
        </is>
      </c>
      <c r="I267" s="72" t="inlineStr">
        <is>
          <t>stjt2B1</t>
        </is>
      </c>
      <c r="J267" s="80" t="n">
        <v>950</v>
      </c>
      <c r="K267" s="72" t="inlineStr">
        <is>
          <t>Jose Cecena Castro</t>
        </is>
      </c>
      <c r="L267" s="81" t="n">
        <v>1035</v>
      </c>
      <c r="M267" s="81">
        <f>Y267</f>
        <v/>
      </c>
      <c r="N267" s="82" t="n">
        <v>44352</v>
      </c>
      <c r="O267" s="82" t="n">
        <v>44352</v>
      </c>
      <c r="P267" s="82" t="n">
        <v>46207</v>
      </c>
      <c r="R267" s="81">
        <f>SUM(AB267:AK267)</f>
        <v/>
      </c>
      <c r="S267" s="81">
        <f>SUM(AM267:AQ267)</f>
        <v/>
      </c>
      <c r="T267" s="81">
        <f>SUM(AS267:AW267)</f>
        <v/>
      </c>
      <c r="Y267" s="81" t="n">
        <v>1013</v>
      </c>
    </row>
    <row r="268">
      <c r="A268" s="72">
        <f>$D$27</f>
        <v/>
      </c>
      <c r="B268" s="72">
        <f>B267+1</f>
        <v/>
      </c>
      <c r="C268" s="72">
        <f>IF(K268="Vacant","Vac",IF(K268="Model","Model",IF(K268="Admin","Admin",IF(K268="Down","Down",IF(K268="Super","Super","Occ")))))</f>
        <v/>
      </c>
      <c r="D268" s="72">
        <f>INDEX($C$5:$C$14,MATCH(I268,$D$5:$D$14,0))</f>
        <v/>
      </c>
      <c r="E268" s="72">
        <f>INDEX($E$5:$E$14,MATCH(D268,$C$5:$C$14,0))</f>
        <v/>
      </c>
      <c r="F268" s="72">
        <f>INDEX($F$5:$F$14,MATCH(D268,$C$5:$C$14,0))</f>
        <v/>
      </c>
      <c r="G268" s="72">
        <f>INDEX($G$5:$G$14,MATCH(D268,$C$5:$C$14,0))</f>
        <v/>
      </c>
      <c r="H268" s="72" t="inlineStr">
        <is>
          <t>H09</t>
        </is>
      </c>
      <c r="I268" s="72" t="inlineStr">
        <is>
          <t>stjt2B1</t>
        </is>
      </c>
      <c r="J268" s="80" t="n">
        <v>950</v>
      </c>
      <c r="K268" s="72" t="inlineStr">
        <is>
          <t>Claire Huffman</t>
        </is>
      </c>
      <c r="L268" s="81" t="n">
        <v>1035</v>
      </c>
      <c r="M268" s="81">
        <f>Y268</f>
        <v/>
      </c>
      <c r="N268" s="82" t="n">
        <v>45800</v>
      </c>
      <c r="O268" s="82" t="n">
        <v>45800</v>
      </c>
      <c r="P268" s="82" t="n">
        <v>46164</v>
      </c>
      <c r="R268" s="81">
        <f>SUM(AB268:AK268)</f>
        <v/>
      </c>
      <c r="S268" s="81">
        <f>SUM(AM268:AQ268)</f>
        <v/>
      </c>
      <c r="T268" s="81">
        <f>SUM(AS268:AW268)</f>
        <v/>
      </c>
      <c r="Y268" s="81" t="n">
        <v>1014</v>
      </c>
    </row>
    <row r="269">
      <c r="A269" s="72">
        <f>$D$27</f>
        <v/>
      </c>
      <c r="B269" s="72">
        <f>B268+1</f>
        <v/>
      </c>
      <c r="C269" s="72">
        <f>IF(K269="Vacant","Vac",IF(K269="Model","Model",IF(K269="Admin","Admin",IF(K269="Down","Down",IF(K269="Super","Super","Occ")))))</f>
        <v/>
      </c>
      <c r="D269" s="72">
        <f>INDEX($C$5:$C$14,MATCH(I269,$D$5:$D$14,0))</f>
        <v/>
      </c>
      <c r="E269" s="72">
        <f>INDEX($E$5:$E$14,MATCH(D269,$C$5:$C$14,0))</f>
        <v/>
      </c>
      <c r="F269" s="72">
        <f>INDEX($F$5:$F$14,MATCH(D269,$C$5:$C$14,0))</f>
        <v/>
      </c>
      <c r="G269" s="72">
        <f>INDEX($G$5:$G$14,MATCH(D269,$C$5:$C$14,0))</f>
        <v/>
      </c>
      <c r="H269" s="72" t="inlineStr">
        <is>
          <t>H10</t>
        </is>
      </c>
      <c r="I269" s="72" t="inlineStr">
        <is>
          <t>stjt2B1</t>
        </is>
      </c>
      <c r="J269" s="80" t="n">
        <v>950</v>
      </c>
      <c r="K269" s="72" t="inlineStr">
        <is>
          <t>John Bell</t>
        </is>
      </c>
      <c r="L269" s="81" t="n">
        <v>1085</v>
      </c>
      <c r="M269" s="81">
        <f>Y269</f>
        <v/>
      </c>
      <c r="N269" s="82" t="n">
        <v>45869</v>
      </c>
      <c r="O269" s="82" t="n">
        <v>45869</v>
      </c>
      <c r="P269" s="82" t="n">
        <v>46264</v>
      </c>
      <c r="R269" s="81">
        <f>SUM(AB269:AK269)</f>
        <v/>
      </c>
      <c r="S269" s="81">
        <f>SUM(AM269:AQ269)</f>
        <v/>
      </c>
      <c r="T269" s="81">
        <f>SUM(AS269:AW269)</f>
        <v/>
      </c>
      <c r="Y269" s="81" t="n">
        <v>1075</v>
      </c>
    </row>
    <row r="270">
      <c r="A270" s="72">
        <f>$D$27</f>
        <v/>
      </c>
      <c r="B270" s="72">
        <f>B269+1</f>
        <v/>
      </c>
      <c r="C270" s="72">
        <f>IF(K270="Vacant","Vac",IF(K270="Model","Model",IF(K270="Admin","Admin",IF(K270="Down","Down",IF(K270="Super","Super","Occ")))))</f>
        <v/>
      </c>
      <c r="D270" s="72">
        <f>INDEX($C$5:$C$14,MATCH(I270,$D$5:$D$14,0))</f>
        <v/>
      </c>
      <c r="E270" s="72">
        <f>INDEX($E$5:$E$14,MATCH(D270,$C$5:$C$14,0))</f>
        <v/>
      </c>
      <c r="F270" s="72">
        <f>INDEX($F$5:$F$14,MATCH(D270,$C$5:$C$14,0))</f>
        <v/>
      </c>
      <c r="G270" s="72">
        <f>INDEX($G$5:$G$14,MATCH(D270,$C$5:$C$14,0))</f>
        <v/>
      </c>
      <c r="H270" s="72" t="inlineStr">
        <is>
          <t>H11</t>
        </is>
      </c>
      <c r="I270" s="72" t="inlineStr">
        <is>
          <t>stjt2B1R</t>
        </is>
      </c>
      <c r="J270" s="80" t="n">
        <v>950</v>
      </c>
      <c r="K270" s="72" t="inlineStr">
        <is>
          <t>Timothy Embry</t>
        </is>
      </c>
      <c r="L270" s="81" t="n">
        <v>1135</v>
      </c>
      <c r="M270" s="81">
        <f>Y270</f>
        <v/>
      </c>
      <c r="N270" s="82" t="n">
        <v>44975</v>
      </c>
      <c r="O270" s="82" t="n">
        <v>44975</v>
      </c>
      <c r="P270" s="82" t="n">
        <v>46890</v>
      </c>
      <c r="R270" s="81">
        <f>SUM(AB270:AK270)</f>
        <v/>
      </c>
      <c r="S270" s="81">
        <f>SUM(AM270:AQ270)</f>
        <v/>
      </c>
      <c r="T270" s="81">
        <f>SUM(AS270:AW270)</f>
        <v/>
      </c>
      <c r="Y270" s="81" t="n">
        <v>1130</v>
      </c>
    </row>
    <row r="271">
      <c r="A271" s="72">
        <f>$D$27</f>
        <v/>
      </c>
      <c r="B271" s="72">
        <f>B270+1</f>
        <v/>
      </c>
      <c r="C271" s="72">
        <f>IF(K271="Vacant","Vac",IF(K271="Model","Model",IF(K271="Admin","Admin",IF(K271="Down","Down",IF(K271="Super","Super","Occ")))))</f>
        <v/>
      </c>
      <c r="D271" s="72">
        <f>INDEX($C$5:$C$14,MATCH(I271,$D$5:$D$14,0))</f>
        <v/>
      </c>
      <c r="E271" s="72">
        <f>INDEX($E$5:$E$14,MATCH(D271,$C$5:$C$14,0))</f>
        <v/>
      </c>
      <c r="F271" s="72">
        <f>INDEX($F$5:$F$14,MATCH(D271,$C$5:$C$14,0))</f>
        <v/>
      </c>
      <c r="G271" s="72">
        <f>INDEX($G$5:$G$14,MATCH(D271,$C$5:$C$14,0))</f>
        <v/>
      </c>
      <c r="H271" s="72" t="inlineStr">
        <is>
          <t>H12</t>
        </is>
      </c>
      <c r="I271" s="72" t="inlineStr">
        <is>
          <t>stjt2B1</t>
        </is>
      </c>
      <c r="J271" s="80" t="n">
        <v>950</v>
      </c>
      <c r="K271" s="72" t="inlineStr">
        <is>
          <t>Olivia Joiner</t>
        </is>
      </c>
      <c r="L271" s="81" t="n">
        <v>1035</v>
      </c>
      <c r="M271" s="81">
        <f>Y271</f>
        <v/>
      </c>
      <c r="N271" s="82" t="n">
        <v>45908</v>
      </c>
      <c r="O271" s="82" t="n">
        <v>45908</v>
      </c>
      <c r="P271" s="82" t="n">
        <v>46272</v>
      </c>
      <c r="R271" s="81">
        <f>SUM(AB271:AK271)</f>
        <v/>
      </c>
      <c r="S271" s="81">
        <f>SUM(AM271:AQ271)</f>
        <v/>
      </c>
      <c r="T271" s="81">
        <f>SUM(AS271:AW271)</f>
        <v/>
      </c>
      <c r="Y271" s="81" t="n">
        <v>1025</v>
      </c>
    </row>
    <row r="272">
      <c r="A272" s="72">
        <f>$D$27</f>
        <v/>
      </c>
      <c r="B272" s="72">
        <f>B271+1</f>
        <v/>
      </c>
      <c r="C272" s="72">
        <f>IF(K272="Vacant","Vac",IF(K272="Model","Model",IF(K272="Admin","Admin",IF(K272="Down","Down",IF(K272="Super","Super","Occ")))))</f>
        <v/>
      </c>
      <c r="D272" s="72">
        <f>INDEX($C$5:$C$14,MATCH(I272,$D$5:$D$14,0))</f>
        <v/>
      </c>
      <c r="E272" s="72">
        <f>INDEX($E$5:$E$14,MATCH(D272,$C$5:$C$14,0))</f>
        <v/>
      </c>
      <c r="F272" s="72">
        <f>INDEX($F$5:$F$14,MATCH(D272,$C$5:$C$14,0))</f>
        <v/>
      </c>
      <c r="G272" s="72">
        <f>INDEX($G$5:$G$14,MATCH(D272,$C$5:$C$14,0))</f>
        <v/>
      </c>
      <c r="H272" s="72" t="inlineStr">
        <is>
          <t>H13</t>
        </is>
      </c>
      <c r="I272" s="72" t="inlineStr">
        <is>
          <t>stjt2B1</t>
        </is>
      </c>
      <c r="J272" s="80" t="n">
        <v>950</v>
      </c>
      <c r="K272" s="72" t="inlineStr">
        <is>
          <t>Rodney Broughton</t>
        </is>
      </c>
      <c r="L272" s="81" t="n">
        <v>1020</v>
      </c>
      <c r="M272" s="81">
        <f>Y272</f>
        <v/>
      </c>
      <c r="N272" s="82" t="n">
        <v>46010</v>
      </c>
      <c r="O272" s="82" t="n">
        <v>46010</v>
      </c>
      <c r="P272" s="82" t="n">
        <v>46374</v>
      </c>
      <c r="R272" s="81">
        <f>SUM(AB272:AK272)</f>
        <v/>
      </c>
      <c r="S272" s="81">
        <f>SUM(AM272:AQ272)</f>
        <v/>
      </c>
      <c r="T272" s="81">
        <f>SUM(AS272:AW272)</f>
        <v/>
      </c>
      <c r="Y272" s="81" t="n">
        <v>925</v>
      </c>
    </row>
    <row r="273">
      <c r="A273" s="72">
        <f>$D$27</f>
        <v/>
      </c>
      <c r="B273" s="72">
        <f>B272+1</f>
        <v/>
      </c>
      <c r="C273" s="72">
        <f>IF(K273="Vacant","Vac",IF(K273="Model","Model",IF(K273="Admin","Admin",IF(K273="Down","Down",IF(K273="Super","Super","Occ")))))</f>
        <v/>
      </c>
      <c r="D273" s="72">
        <f>INDEX($C$5:$C$14,MATCH(I273,$D$5:$D$14,0))</f>
        <v/>
      </c>
      <c r="E273" s="72">
        <f>INDEX($E$5:$E$14,MATCH(D273,$C$5:$C$14,0))</f>
        <v/>
      </c>
      <c r="F273" s="72">
        <f>INDEX($F$5:$F$14,MATCH(D273,$C$5:$C$14,0))</f>
        <v/>
      </c>
      <c r="G273" s="72">
        <f>INDEX($G$5:$G$14,MATCH(D273,$C$5:$C$14,0))</f>
        <v/>
      </c>
      <c r="H273" s="72" t="inlineStr">
        <is>
          <t>H14</t>
        </is>
      </c>
      <c r="I273" s="72" t="inlineStr">
        <is>
          <t>stjt2B1</t>
        </is>
      </c>
      <c r="J273" s="80" t="n">
        <v>950</v>
      </c>
      <c r="K273" s="72" t="inlineStr">
        <is>
          <t>Joseph Bechard</t>
        </is>
      </c>
      <c r="L273" s="81" t="n">
        <v>1020</v>
      </c>
      <c r="M273" s="81">
        <f>Y273</f>
        <v/>
      </c>
      <c r="N273" s="82" t="n">
        <v>45869</v>
      </c>
      <c r="O273" s="82" t="n">
        <v>45869</v>
      </c>
      <c r="P273" s="82" t="n">
        <v>46417</v>
      </c>
      <c r="R273" s="81">
        <f>SUM(AB273:AK273)</f>
        <v/>
      </c>
      <c r="S273" s="81">
        <f>SUM(AM273:AQ273)</f>
        <v/>
      </c>
      <c r="T273" s="81">
        <f>SUM(AS273:AW273)</f>
        <v/>
      </c>
      <c r="Y273" s="81" t="n">
        <v>1010</v>
      </c>
    </row>
    <row r="274">
      <c r="A274" s="72">
        <f>$D$27</f>
        <v/>
      </c>
      <c r="B274" s="72">
        <f>B273+1</f>
        <v/>
      </c>
      <c r="C274" s="72">
        <f>IF(K274="Vacant","Vac",IF(K274="Model","Model",IF(K274="Admin","Admin",IF(K274="Down","Down",IF(K274="Super","Super","Occ")))))</f>
        <v/>
      </c>
      <c r="D274" s="72">
        <f>INDEX($C$5:$C$14,MATCH(I274,$D$5:$D$14,0))</f>
        <v/>
      </c>
      <c r="E274" s="72">
        <f>INDEX($E$5:$E$14,MATCH(D274,$C$5:$C$14,0))</f>
        <v/>
      </c>
      <c r="F274" s="72">
        <f>INDEX($F$5:$F$14,MATCH(D274,$C$5:$C$14,0))</f>
        <v/>
      </c>
      <c r="G274" s="72">
        <f>INDEX($G$5:$G$14,MATCH(D274,$C$5:$C$14,0))</f>
        <v/>
      </c>
      <c r="H274" s="72" t="inlineStr">
        <is>
          <t>H15</t>
        </is>
      </c>
      <c r="I274" s="72" t="inlineStr">
        <is>
          <t>stjt2B1R</t>
        </is>
      </c>
      <c r="J274" s="80" t="n">
        <v>950</v>
      </c>
      <c r="K274" s="72" t="inlineStr">
        <is>
          <t>Joseph Schmidt</t>
        </is>
      </c>
      <c r="L274" s="81" t="n">
        <v>1120</v>
      </c>
      <c r="M274" s="81">
        <f>Y274</f>
        <v/>
      </c>
      <c r="N274" s="82" t="n">
        <v>46111</v>
      </c>
      <c r="O274" s="82" t="n">
        <v>46111</v>
      </c>
      <c r="P274" s="82" t="n">
        <v>46475</v>
      </c>
      <c r="R274" s="81">
        <f>SUM(AB274:AK274)</f>
        <v/>
      </c>
      <c r="S274" s="81">
        <f>SUM(AM274:AQ274)</f>
        <v/>
      </c>
      <c r="T274" s="81">
        <f>SUM(AS274:AW274)</f>
        <v/>
      </c>
      <c r="Y274" s="81" t="n">
        <v>1140</v>
      </c>
    </row>
    <row r="275">
      <c r="A275" s="72">
        <f>$D$27</f>
        <v/>
      </c>
      <c r="B275" s="72">
        <f>B274+1</f>
        <v/>
      </c>
      <c r="C275" s="72">
        <f>IF(K275="Vacant","Vac",IF(K275="Model","Model",IF(K275="Admin","Admin",IF(K275="Down","Down",IF(K275="Super","Super","Occ")))))</f>
        <v/>
      </c>
      <c r="D275" s="72">
        <f>INDEX($C$5:$C$14,MATCH(I275,$D$5:$D$14,0))</f>
        <v/>
      </c>
      <c r="E275" s="72">
        <f>INDEX($E$5:$E$14,MATCH(D275,$C$5:$C$14,0))</f>
        <v/>
      </c>
      <c r="F275" s="72">
        <f>INDEX($F$5:$F$14,MATCH(D275,$C$5:$C$14,0))</f>
        <v/>
      </c>
      <c r="G275" s="72">
        <f>INDEX($G$5:$G$14,MATCH(D275,$C$5:$C$14,0))</f>
        <v/>
      </c>
      <c r="H275" s="72" t="inlineStr">
        <is>
          <t>H16</t>
        </is>
      </c>
      <c r="I275" s="72" t="inlineStr">
        <is>
          <t>stjt2B1R</t>
        </is>
      </c>
      <c r="J275" s="80" t="n">
        <v>950</v>
      </c>
      <c r="K275" s="72" t="inlineStr">
        <is>
          <t>Sabin White</t>
        </is>
      </c>
      <c r="L275" s="81" t="n">
        <v>1120</v>
      </c>
      <c r="M275" s="81">
        <f>Y275</f>
        <v/>
      </c>
      <c r="N275" s="82" t="n">
        <v>46158</v>
      </c>
      <c r="O275" s="82" t="n">
        <v>46158</v>
      </c>
      <c r="P275" s="82" t="n">
        <v>46583</v>
      </c>
      <c r="R275" s="81">
        <f>SUM(AB275:AK275)</f>
        <v/>
      </c>
      <c r="S275" s="81">
        <f>SUM(AM275:AQ275)</f>
        <v/>
      </c>
      <c r="T275" s="81">
        <f>SUM(AS275:AW275)</f>
        <v/>
      </c>
      <c r="Y275" s="81" t="n">
        <v>1120</v>
      </c>
    </row>
    <row r="276">
      <c r="A276" s="72">
        <f>$D$27</f>
        <v/>
      </c>
      <c r="B276" s="72">
        <f>B275+1</f>
        <v/>
      </c>
      <c r="C276" s="72">
        <f>IF(K276="Vacant","Vac",IF(K276="Model","Model",IF(K276="Admin","Admin",IF(K276="Down","Down",IF(K276="Super","Super","Occ")))))</f>
        <v/>
      </c>
      <c r="D276" s="72">
        <f>INDEX($C$5:$C$14,MATCH(I276,$D$5:$D$14,0))</f>
        <v/>
      </c>
      <c r="E276" s="72">
        <f>INDEX($E$5:$E$14,MATCH(D276,$C$5:$C$14,0))</f>
        <v/>
      </c>
      <c r="F276" s="72">
        <f>INDEX($F$5:$F$14,MATCH(D276,$C$5:$C$14,0))</f>
        <v/>
      </c>
      <c r="G276" s="72">
        <f>INDEX($G$5:$G$14,MATCH(D276,$C$5:$C$14,0))</f>
        <v/>
      </c>
      <c r="H276" s="72" t="inlineStr">
        <is>
          <t>H17</t>
        </is>
      </c>
      <c r="I276" s="72" t="inlineStr">
        <is>
          <t>stjt2B1R</t>
        </is>
      </c>
      <c r="J276" s="80" t="n">
        <v>950</v>
      </c>
      <c r="K276" s="72" t="inlineStr">
        <is>
          <t>Antonio Alfaro</t>
        </is>
      </c>
      <c r="L276" s="81" t="n">
        <v>1135</v>
      </c>
      <c r="M276" s="81">
        <f>Y276</f>
        <v/>
      </c>
      <c r="N276" s="82" t="n">
        <v>45929</v>
      </c>
      <c r="O276" s="82" t="n">
        <v>45929</v>
      </c>
      <c r="P276" s="82" t="n">
        <v>46658</v>
      </c>
      <c r="R276" s="81">
        <f>SUM(AB276:AK276)</f>
        <v/>
      </c>
      <c r="S276" s="81">
        <f>SUM(AM276:AQ276)</f>
        <v/>
      </c>
      <c r="T276" s="81">
        <f>SUM(AS276:AW276)</f>
        <v/>
      </c>
      <c r="Y276" s="81" t="n">
        <v>1095</v>
      </c>
    </row>
    <row r="277">
      <c r="A277" s="72">
        <f>$D$27</f>
        <v/>
      </c>
      <c r="B277" s="72">
        <f>B276+1</f>
        <v/>
      </c>
      <c r="C277" s="72">
        <f>IF(K277="Vacant","Vac",IF(K277="Model","Model",IF(K277="Admin","Admin",IF(K277="Down","Down",IF(K277="Super","Super","Occ")))))</f>
        <v/>
      </c>
      <c r="D277" s="72">
        <f>INDEX($C$5:$C$14,MATCH(I277,$D$5:$D$14,0))</f>
        <v/>
      </c>
      <c r="E277" s="72">
        <f>INDEX($E$5:$E$14,MATCH(D277,$C$5:$C$14,0))</f>
        <v/>
      </c>
      <c r="F277" s="72">
        <f>INDEX($F$5:$F$14,MATCH(D277,$C$5:$C$14,0))</f>
        <v/>
      </c>
      <c r="G277" s="72">
        <f>INDEX($G$5:$G$14,MATCH(D277,$C$5:$C$14,0))</f>
        <v/>
      </c>
      <c r="H277" s="72" t="inlineStr">
        <is>
          <t>H18</t>
        </is>
      </c>
      <c r="I277" s="72" t="inlineStr">
        <is>
          <t>stjt2B1</t>
        </is>
      </c>
      <c r="J277" s="80" t="n">
        <v>950</v>
      </c>
      <c r="K277" s="72" t="inlineStr">
        <is>
          <t>Vanecelandia Futi</t>
        </is>
      </c>
      <c r="L277" s="81" t="n">
        <v>1055</v>
      </c>
      <c r="M277" s="81">
        <f>Y277</f>
        <v/>
      </c>
      <c r="N277" s="82" t="n">
        <v>45735</v>
      </c>
      <c r="O277" s="82" t="n">
        <v>45735</v>
      </c>
      <c r="P277" s="82" t="n">
        <v>46099</v>
      </c>
      <c r="R277" s="81">
        <f>SUM(AB277:AK277)</f>
        <v/>
      </c>
      <c r="S277" s="81">
        <f>SUM(AM277:AQ277)</f>
        <v/>
      </c>
      <c r="T277" s="81">
        <f>SUM(AS277:AW277)</f>
        <v/>
      </c>
      <c r="Y277" s="81" t="n">
        <v>1045</v>
      </c>
    </row>
    <row r="278">
      <c r="A278" s="72">
        <f>$D$27</f>
        <v/>
      </c>
      <c r="B278" s="72">
        <f>B277+1</f>
        <v/>
      </c>
      <c r="C278" s="72">
        <f>IF(K278="Vacant","Vac",IF(K278="Model","Model",IF(K278="Admin","Admin",IF(K278="Down","Down",IF(K278="Super","Super","Occ")))))</f>
        <v/>
      </c>
      <c r="D278" s="72">
        <f>INDEX($C$5:$C$14,MATCH(I278,$D$5:$D$14,0))</f>
        <v/>
      </c>
      <c r="E278" s="72">
        <f>INDEX($E$5:$E$14,MATCH(D278,$C$5:$C$14,0))</f>
        <v/>
      </c>
      <c r="F278" s="72">
        <f>INDEX($F$5:$F$14,MATCH(D278,$C$5:$C$14,0))</f>
        <v/>
      </c>
      <c r="G278" s="72">
        <f>INDEX($G$5:$G$14,MATCH(D278,$C$5:$C$14,0))</f>
        <v/>
      </c>
      <c r="H278" s="72" t="inlineStr">
        <is>
          <t>H19</t>
        </is>
      </c>
      <c r="I278" s="72" t="inlineStr">
        <is>
          <t>stjt2B1</t>
        </is>
      </c>
      <c r="J278" s="80" t="n">
        <v>950</v>
      </c>
      <c r="K278" s="72" t="inlineStr">
        <is>
          <t>Kennedy Metcalf</t>
        </is>
      </c>
      <c r="L278" s="81" t="n">
        <v>1035</v>
      </c>
      <c r="M278" s="81">
        <f>Y278</f>
        <v/>
      </c>
      <c r="N278" s="82" t="n">
        <v>45696</v>
      </c>
      <c r="O278" s="82" t="n">
        <v>45696</v>
      </c>
      <c r="P278" s="82" t="n">
        <v>46241</v>
      </c>
      <c r="R278" s="81">
        <f>SUM(AB278:AK278)</f>
        <v/>
      </c>
      <c r="S278" s="81">
        <f>SUM(AM278:AQ278)</f>
        <v/>
      </c>
      <c r="T278" s="81">
        <f>SUM(AS278:AW278)</f>
        <v/>
      </c>
      <c r="Y278" s="81" t="n">
        <v>950</v>
      </c>
    </row>
    <row r="279">
      <c r="A279" s="72">
        <f>$D$27</f>
        <v/>
      </c>
      <c r="B279" s="72">
        <f>B278+1</f>
        <v/>
      </c>
      <c r="C279" s="72">
        <f>IF(K279="Vacant","Vac",IF(K279="Model","Model",IF(K279="Admin","Admin",IF(K279="Down","Down",IF(K279="Super","Super","Occ")))))</f>
        <v/>
      </c>
      <c r="D279" s="72">
        <f>INDEX($C$5:$C$14,MATCH(I279,$D$5:$D$14,0))</f>
        <v/>
      </c>
      <c r="E279" s="72">
        <f>INDEX($E$5:$E$14,MATCH(D279,$C$5:$C$14,0))</f>
        <v/>
      </c>
      <c r="F279" s="72">
        <f>INDEX($F$5:$F$14,MATCH(D279,$C$5:$C$14,0))</f>
        <v/>
      </c>
      <c r="G279" s="72">
        <f>INDEX($G$5:$G$14,MATCH(D279,$C$5:$C$14,0))</f>
        <v/>
      </c>
      <c r="H279" s="72" t="inlineStr">
        <is>
          <t>H20</t>
        </is>
      </c>
      <c r="I279" s="72" t="inlineStr">
        <is>
          <t>stjt2B1R</t>
        </is>
      </c>
      <c r="J279" s="80" t="n">
        <v>950</v>
      </c>
      <c r="K279" s="72" t="inlineStr">
        <is>
          <t>Wilnairy Bravo~</t>
        </is>
      </c>
      <c r="L279" s="81" t="n">
        <v>1135</v>
      </c>
      <c r="M279" s="81">
        <f>Y279</f>
        <v/>
      </c>
      <c r="N279" s="82" t="n">
        <v>45240</v>
      </c>
      <c r="O279" s="82" t="n">
        <v>45240</v>
      </c>
      <c r="P279" s="82" t="n">
        <v>46212</v>
      </c>
      <c r="R279" s="81">
        <f>SUM(AB279:AK279)</f>
        <v/>
      </c>
      <c r="S279" s="81">
        <f>SUM(AM279:AQ279)</f>
        <v/>
      </c>
      <c r="T279" s="81">
        <f>SUM(AS279:AW279)</f>
        <v/>
      </c>
      <c r="Y279" s="81" t="n">
        <v>1120</v>
      </c>
    </row>
    <row r="280">
      <c r="A280" s="72">
        <f>$D$27</f>
        <v/>
      </c>
      <c r="B280" s="72">
        <f>B279+1</f>
        <v/>
      </c>
      <c r="C280" s="72">
        <f>IF(K280="Vacant","Vac",IF(K280="Model","Model",IF(K280="Admin","Admin",IF(K280="Down","Down",IF(K280="Super","Super","Occ")))))</f>
        <v/>
      </c>
      <c r="D280" s="72">
        <f>INDEX($C$5:$C$14,MATCH(I280,$D$5:$D$14,0))</f>
        <v/>
      </c>
      <c r="E280" s="72">
        <f>INDEX($E$5:$E$14,MATCH(D280,$C$5:$C$14,0))</f>
        <v/>
      </c>
      <c r="F280" s="72">
        <f>INDEX($F$5:$F$14,MATCH(D280,$C$5:$C$14,0))</f>
        <v/>
      </c>
      <c r="G280" s="72">
        <f>INDEX($G$5:$G$14,MATCH(D280,$C$5:$C$14,0))</f>
        <v/>
      </c>
      <c r="H280" s="72" t="inlineStr">
        <is>
          <t>H21</t>
        </is>
      </c>
      <c r="I280" s="72" t="inlineStr">
        <is>
          <t>stjt2B1</t>
        </is>
      </c>
      <c r="J280" s="80" t="n">
        <v>950</v>
      </c>
      <c r="K280" s="72" t="inlineStr">
        <is>
          <t>VACANT</t>
        </is>
      </c>
      <c r="L280" s="81" t="n">
        <v>965</v>
      </c>
      <c r="M280" s="81">
        <f>Y280</f>
        <v/>
      </c>
      <c r="R280" s="81">
        <f>SUM(AB280:AK280)</f>
        <v/>
      </c>
      <c r="S280" s="81">
        <f>SUM(AM280:AQ280)</f>
        <v/>
      </c>
      <c r="T280" s="81">
        <f>SUM(AS280:AW280)</f>
        <v/>
      </c>
      <c r="Y280" s="81" t="n">
        <v>0</v>
      </c>
    </row>
    <row r="281">
      <c r="A281" s="72">
        <f>$D$27</f>
        <v/>
      </c>
      <c r="B281" s="72">
        <f>B280+1</f>
        <v/>
      </c>
      <c r="C281" s="72">
        <f>IF(K281="Vacant","Vac",IF(K281="Model","Model",IF(K281="Admin","Admin",IF(K281="Down","Down",IF(K281="Super","Super","Occ")))))</f>
        <v/>
      </c>
      <c r="D281" s="72">
        <f>INDEX($C$5:$C$14,MATCH(I281,$D$5:$D$14,0))</f>
        <v/>
      </c>
      <c r="E281" s="72">
        <f>INDEX($E$5:$E$14,MATCH(D281,$C$5:$C$14,0))</f>
        <v/>
      </c>
      <c r="F281" s="72">
        <f>INDEX($F$5:$F$14,MATCH(D281,$C$5:$C$14,0))</f>
        <v/>
      </c>
      <c r="G281" s="72">
        <f>INDEX($G$5:$G$14,MATCH(D281,$C$5:$C$14,0))</f>
        <v/>
      </c>
      <c r="H281" s="72" t="inlineStr">
        <is>
          <t>H22</t>
        </is>
      </c>
      <c r="I281" s="72" t="inlineStr">
        <is>
          <t>stjt2B1</t>
        </is>
      </c>
      <c r="J281" s="80" t="n">
        <v>950</v>
      </c>
      <c r="K281" s="72" t="inlineStr">
        <is>
          <t>Lynn Harris</t>
        </is>
      </c>
      <c r="L281" s="81" t="n">
        <v>1035</v>
      </c>
      <c r="M281" s="81">
        <f>Y281</f>
        <v/>
      </c>
      <c r="N281" s="82" t="n">
        <v>45884</v>
      </c>
      <c r="O281" s="82" t="n">
        <v>45884</v>
      </c>
      <c r="P281" s="82" t="n">
        <v>46248</v>
      </c>
      <c r="R281" s="81">
        <f>SUM(AB281:AK281)</f>
        <v/>
      </c>
      <c r="S281" s="81">
        <f>SUM(AM281:AQ281)</f>
        <v/>
      </c>
      <c r="T281" s="81">
        <f>SUM(AS281:AW281)</f>
        <v/>
      </c>
      <c r="Y281" s="81" t="n">
        <v>1025</v>
      </c>
    </row>
    <row r="282">
      <c r="A282" s="72">
        <f>$D$27</f>
        <v/>
      </c>
      <c r="B282" s="72">
        <f>B281+1</f>
        <v/>
      </c>
      <c r="C282" s="72">
        <f>IF(K282="Vacant","Vac",IF(K282="Model","Model",IF(K282="Admin","Admin",IF(K282="Down","Down",IF(K282="Super","Super","Occ")))))</f>
        <v/>
      </c>
      <c r="D282" s="72">
        <f>INDEX($C$5:$C$14,MATCH(I282,$D$5:$D$14,0))</f>
        <v/>
      </c>
      <c r="E282" s="72">
        <f>INDEX($E$5:$E$14,MATCH(D282,$C$5:$C$14,0))</f>
        <v/>
      </c>
      <c r="F282" s="72">
        <f>INDEX($F$5:$F$14,MATCH(D282,$C$5:$C$14,0))</f>
        <v/>
      </c>
      <c r="G282" s="72">
        <f>INDEX($G$5:$G$14,MATCH(D282,$C$5:$C$14,0))</f>
        <v/>
      </c>
      <c r="H282" s="72" t="inlineStr">
        <is>
          <t>H23</t>
        </is>
      </c>
      <c r="I282" s="72" t="inlineStr">
        <is>
          <t>stjt2B1</t>
        </is>
      </c>
      <c r="J282" s="80" t="n">
        <v>950</v>
      </c>
      <c r="K282" s="72" t="inlineStr">
        <is>
          <t>Dashawna Boyd-Johns</t>
        </is>
      </c>
      <c r="L282" s="81" t="n">
        <v>1035</v>
      </c>
      <c r="M282" s="81">
        <f>Y282</f>
        <v/>
      </c>
      <c r="N282" s="82" t="n">
        <v>45352</v>
      </c>
      <c r="O282" s="82" t="n">
        <v>45352</v>
      </c>
      <c r="P282" s="82" t="n">
        <v>46178</v>
      </c>
      <c r="R282" s="81">
        <f>SUM(AB282:AK282)</f>
        <v/>
      </c>
      <c r="S282" s="81">
        <f>SUM(AM282:AQ282)</f>
        <v/>
      </c>
      <c r="T282" s="81">
        <f>SUM(AS282:AW282)</f>
        <v/>
      </c>
      <c r="Y282" s="81" t="n">
        <v>965</v>
      </c>
    </row>
    <row r="283">
      <c r="A283" s="72">
        <f>$D$27</f>
        <v/>
      </c>
      <c r="B283" s="72">
        <f>B282+1</f>
        <v/>
      </c>
      <c r="C283" s="72">
        <f>IF(K283="Vacant","Vac",IF(K283="Model","Model",IF(K283="Admin","Admin",IF(K283="Down","Down",IF(K283="Super","Super","Occ")))))</f>
        <v/>
      </c>
      <c r="D283" s="72">
        <f>INDEX($C$5:$C$14,MATCH(I283,$D$5:$D$14,0))</f>
        <v/>
      </c>
      <c r="E283" s="72">
        <f>INDEX($E$5:$E$14,MATCH(D283,$C$5:$C$14,0))</f>
        <v/>
      </c>
      <c r="F283" s="72">
        <f>INDEX($F$5:$F$14,MATCH(D283,$C$5:$C$14,0))</f>
        <v/>
      </c>
      <c r="G283" s="72">
        <f>INDEX($G$5:$G$14,MATCH(D283,$C$5:$C$14,0))</f>
        <v/>
      </c>
      <c r="H283" s="72" t="inlineStr">
        <is>
          <t>H24</t>
        </is>
      </c>
      <c r="I283" s="72" t="inlineStr">
        <is>
          <t>stjt2B1</t>
        </is>
      </c>
      <c r="J283" s="80" t="n">
        <v>950</v>
      </c>
      <c r="K283" s="72" t="inlineStr">
        <is>
          <t>Gabriella Davis</t>
        </is>
      </c>
      <c r="L283" s="81" t="n">
        <v>1035</v>
      </c>
      <c r="M283" s="81">
        <f>Y283</f>
        <v/>
      </c>
      <c r="N283" s="82" t="n">
        <v>45807</v>
      </c>
      <c r="O283" s="82" t="n">
        <v>45807</v>
      </c>
      <c r="P283" s="82" t="n">
        <v>46171</v>
      </c>
      <c r="R283" s="81">
        <f>SUM(AB283:AK283)</f>
        <v/>
      </c>
      <c r="S283" s="81">
        <f>SUM(AM283:AQ283)</f>
        <v/>
      </c>
      <c r="T283" s="81">
        <f>SUM(AS283:AW283)</f>
        <v/>
      </c>
      <c r="Y283" s="81" t="n">
        <v>1014</v>
      </c>
    </row>
    <row r="284">
      <c r="A284" s="72">
        <f>$D$27</f>
        <v/>
      </c>
      <c r="B284" s="72">
        <f>B283+1</f>
        <v/>
      </c>
      <c r="C284" s="72">
        <f>IF(K284="Vacant","Vac",IF(K284="Model","Model",IF(K284="Admin","Admin",IF(K284="Down","Down",IF(K284="Super","Super","Occ")))))</f>
        <v/>
      </c>
      <c r="D284" s="72">
        <f>INDEX($C$5:$C$14,MATCH(I284,$D$5:$D$14,0))</f>
        <v/>
      </c>
      <c r="E284" s="72">
        <f>INDEX($E$5:$E$14,MATCH(D284,$C$5:$C$14,0))</f>
        <v/>
      </c>
      <c r="F284" s="72">
        <f>INDEX($F$5:$F$14,MATCH(D284,$C$5:$C$14,0))</f>
        <v/>
      </c>
      <c r="G284" s="72">
        <f>INDEX($G$5:$G$14,MATCH(D284,$C$5:$C$14,0))</f>
        <v/>
      </c>
      <c r="H284" s="72" t="inlineStr">
        <is>
          <t>I01</t>
        </is>
      </c>
      <c r="I284" s="72" t="inlineStr">
        <is>
          <t>stjt2B1</t>
        </is>
      </c>
      <c r="J284" s="80" t="n">
        <v>950</v>
      </c>
      <c r="K284" s="72" t="inlineStr">
        <is>
          <t>Lawrence Omeara</t>
        </is>
      </c>
      <c r="L284" s="81" t="n">
        <v>1020</v>
      </c>
      <c r="M284" s="81">
        <f>Y284</f>
        <v/>
      </c>
      <c r="N284" s="82" t="n">
        <v>46097</v>
      </c>
      <c r="O284" s="82" t="n">
        <v>46097</v>
      </c>
      <c r="P284" s="82" t="n">
        <v>46465</v>
      </c>
      <c r="R284" s="81">
        <f>SUM(AB284:AK284)</f>
        <v/>
      </c>
      <c r="S284" s="81">
        <f>SUM(AM284:AQ284)</f>
        <v/>
      </c>
      <c r="T284" s="81">
        <f>SUM(AS284:AW284)</f>
        <v/>
      </c>
      <c r="Y284" s="81" t="n">
        <v>1000</v>
      </c>
    </row>
    <row r="285">
      <c r="A285" s="72">
        <f>$D$27</f>
        <v/>
      </c>
      <c r="B285" s="72">
        <f>B284+1</f>
        <v/>
      </c>
      <c r="C285" s="72">
        <f>IF(K285="Vacant","Vac",IF(K285="Model","Model",IF(K285="Admin","Admin",IF(K285="Down","Down",IF(K285="Super","Super","Occ")))))</f>
        <v/>
      </c>
      <c r="D285" s="72">
        <f>INDEX($C$5:$C$14,MATCH(I285,$D$5:$D$14,0))</f>
        <v/>
      </c>
      <c r="E285" s="72">
        <f>INDEX($E$5:$E$14,MATCH(D285,$C$5:$C$14,0))</f>
        <v/>
      </c>
      <c r="F285" s="72">
        <f>INDEX($F$5:$F$14,MATCH(D285,$C$5:$C$14,0))</f>
        <v/>
      </c>
      <c r="G285" s="72">
        <f>INDEX($G$5:$G$14,MATCH(D285,$C$5:$C$14,0))</f>
        <v/>
      </c>
      <c r="H285" s="72" t="inlineStr">
        <is>
          <t>I02</t>
        </is>
      </c>
      <c r="I285" s="72" t="inlineStr">
        <is>
          <t>stjt2B1R</t>
        </is>
      </c>
      <c r="J285" s="80" t="n">
        <v>950</v>
      </c>
      <c r="K285" s="72" t="inlineStr">
        <is>
          <t>VACANT</t>
        </is>
      </c>
      <c r="L285" s="81" t="n">
        <v>1120</v>
      </c>
      <c r="M285" s="81">
        <f>Y285</f>
        <v/>
      </c>
      <c r="R285" s="81">
        <f>SUM(AB285:AK285)</f>
        <v/>
      </c>
      <c r="S285" s="81">
        <f>SUM(AM285:AQ285)</f>
        <v/>
      </c>
      <c r="T285" s="81">
        <f>SUM(AS285:AW285)</f>
        <v/>
      </c>
      <c r="Y285" s="81" t="n">
        <v>0</v>
      </c>
    </row>
    <row r="286">
      <c r="A286" s="72">
        <f>$D$27</f>
        <v/>
      </c>
      <c r="B286" s="72">
        <f>B285+1</f>
        <v/>
      </c>
      <c r="C286" s="72">
        <f>IF(K286="Vacant","Vac",IF(K286="Model","Model",IF(K286="Admin","Admin",IF(K286="Down","Down",IF(K286="Super","Super","Occ")))))</f>
        <v/>
      </c>
      <c r="D286" s="72">
        <f>INDEX($C$5:$C$14,MATCH(I286,$D$5:$D$14,0))</f>
        <v/>
      </c>
      <c r="E286" s="72">
        <f>INDEX($E$5:$E$14,MATCH(D286,$C$5:$C$14,0))</f>
        <v/>
      </c>
      <c r="F286" s="72">
        <f>INDEX($F$5:$F$14,MATCH(D286,$C$5:$C$14,0))</f>
        <v/>
      </c>
      <c r="G286" s="72">
        <f>INDEX($G$5:$G$14,MATCH(D286,$C$5:$C$14,0))</f>
        <v/>
      </c>
      <c r="H286" s="72" t="inlineStr">
        <is>
          <t>I03</t>
        </is>
      </c>
      <c r="I286" s="72" t="inlineStr">
        <is>
          <t>stjt2B1R</t>
        </is>
      </c>
      <c r="J286" s="80" t="n">
        <v>950</v>
      </c>
      <c r="K286" s="72" t="inlineStr">
        <is>
          <t>Stephen Board</t>
        </is>
      </c>
      <c r="L286" s="81" t="n">
        <v>1120</v>
      </c>
      <c r="M286" s="81">
        <f>Y286</f>
        <v/>
      </c>
      <c r="N286" s="82" t="n">
        <v>45890</v>
      </c>
      <c r="O286" s="82" t="n">
        <v>45890</v>
      </c>
      <c r="P286" s="82" t="n">
        <v>46438</v>
      </c>
      <c r="R286" s="81">
        <f>SUM(AB286:AK286)</f>
        <v/>
      </c>
      <c r="S286" s="81">
        <f>SUM(AM286:AQ286)</f>
        <v/>
      </c>
      <c r="T286" s="81">
        <f>SUM(AS286:AW286)</f>
        <v/>
      </c>
      <c r="Y286" s="81" t="n">
        <v>1110</v>
      </c>
    </row>
    <row r="287">
      <c r="A287" s="72">
        <f>$D$27</f>
        <v/>
      </c>
      <c r="B287" s="72">
        <f>B286+1</f>
        <v/>
      </c>
      <c r="C287" s="72">
        <f>IF(K287="Vacant","Vac",IF(K287="Model","Model",IF(K287="Admin","Admin",IF(K287="Down","Down",IF(K287="Super","Super","Occ")))))</f>
        <v/>
      </c>
      <c r="D287" s="72">
        <f>INDEX($C$5:$C$14,MATCH(I287,$D$5:$D$14,0))</f>
        <v/>
      </c>
      <c r="E287" s="72">
        <f>INDEX($E$5:$E$14,MATCH(D287,$C$5:$C$14,0))</f>
        <v/>
      </c>
      <c r="F287" s="72">
        <f>INDEX($F$5:$F$14,MATCH(D287,$C$5:$C$14,0))</f>
        <v/>
      </c>
      <c r="G287" s="72">
        <f>INDEX($G$5:$G$14,MATCH(D287,$C$5:$C$14,0))</f>
        <v/>
      </c>
      <c r="H287" s="72" t="inlineStr">
        <is>
          <t>I04</t>
        </is>
      </c>
      <c r="I287" s="72" t="inlineStr">
        <is>
          <t>stjt2B1R</t>
        </is>
      </c>
      <c r="J287" s="80" t="n">
        <v>950</v>
      </c>
      <c r="K287" s="72" t="inlineStr">
        <is>
          <t>Alberta Williams</t>
        </is>
      </c>
      <c r="L287" s="81" t="n">
        <v>1120</v>
      </c>
      <c r="M287" s="81">
        <f>Y287</f>
        <v/>
      </c>
      <c r="N287" s="82" t="n">
        <v>46052</v>
      </c>
      <c r="O287" s="82" t="n">
        <v>46052</v>
      </c>
      <c r="P287" s="82" t="n">
        <v>46416</v>
      </c>
      <c r="R287" s="81">
        <f>SUM(AB287:AK287)</f>
        <v/>
      </c>
      <c r="S287" s="81">
        <f>SUM(AM287:AQ287)</f>
        <v/>
      </c>
      <c r="T287" s="81">
        <f>SUM(AS287:AW287)</f>
        <v/>
      </c>
      <c r="Y287" s="81" t="n">
        <v>1110</v>
      </c>
    </row>
    <row r="288">
      <c r="A288" s="72">
        <f>$D$27</f>
        <v/>
      </c>
      <c r="B288" s="72">
        <f>B287+1</f>
        <v/>
      </c>
      <c r="C288" s="72">
        <f>IF(K288="Vacant","Vac",IF(K288="Model","Model",IF(K288="Admin","Admin",IF(K288="Down","Down",IF(K288="Super","Super","Occ")))))</f>
        <v/>
      </c>
      <c r="D288" s="72">
        <f>INDEX($C$5:$C$14,MATCH(I288,$D$5:$D$14,0))</f>
        <v/>
      </c>
      <c r="E288" s="72">
        <f>INDEX($E$5:$E$14,MATCH(D288,$C$5:$C$14,0))</f>
        <v/>
      </c>
      <c r="F288" s="72">
        <f>INDEX($F$5:$F$14,MATCH(D288,$C$5:$C$14,0))</f>
        <v/>
      </c>
      <c r="G288" s="72">
        <f>INDEX($G$5:$G$14,MATCH(D288,$C$5:$C$14,0))</f>
        <v/>
      </c>
      <c r="H288" s="72" t="inlineStr">
        <is>
          <t>I05</t>
        </is>
      </c>
      <c r="I288" s="72" t="inlineStr">
        <is>
          <t>stjt2B1R</t>
        </is>
      </c>
      <c r="J288" s="80" t="n">
        <v>950</v>
      </c>
      <c r="K288" s="72" t="inlineStr">
        <is>
          <t>Maikel Leandro Machin Alvarez</t>
        </is>
      </c>
      <c r="L288" s="81" t="n">
        <v>1135</v>
      </c>
      <c r="M288" s="81">
        <f>Y288</f>
        <v/>
      </c>
      <c r="N288" s="82" t="n">
        <v>45687</v>
      </c>
      <c r="O288" s="82" t="n">
        <v>45687</v>
      </c>
      <c r="P288" s="82" t="n">
        <v>46232</v>
      </c>
      <c r="R288" s="81">
        <f>SUM(AB288:AK288)</f>
        <v/>
      </c>
      <c r="S288" s="81">
        <f>SUM(AM288:AQ288)</f>
        <v/>
      </c>
      <c r="T288" s="81">
        <f>SUM(AS288:AW288)</f>
        <v/>
      </c>
      <c r="Y288" s="81" t="n">
        <v>1060</v>
      </c>
    </row>
    <row r="289">
      <c r="A289" s="72">
        <f>$D$27</f>
        <v/>
      </c>
      <c r="B289" s="72">
        <f>B288+1</f>
        <v/>
      </c>
      <c r="C289" s="72">
        <f>IF(K289="Vacant","Vac",IF(K289="Model","Model",IF(K289="Admin","Admin",IF(K289="Down","Down",IF(K289="Super","Super","Occ")))))</f>
        <v/>
      </c>
      <c r="D289" s="72">
        <f>INDEX($C$5:$C$14,MATCH(I289,$D$5:$D$14,0))</f>
        <v/>
      </c>
      <c r="E289" s="72">
        <f>INDEX($E$5:$E$14,MATCH(D289,$C$5:$C$14,0))</f>
        <v/>
      </c>
      <c r="F289" s="72">
        <f>INDEX($F$5:$F$14,MATCH(D289,$C$5:$C$14,0))</f>
        <v/>
      </c>
      <c r="G289" s="72">
        <f>INDEX($G$5:$G$14,MATCH(D289,$C$5:$C$14,0))</f>
        <v/>
      </c>
      <c r="H289" s="72" t="inlineStr">
        <is>
          <t>I06</t>
        </is>
      </c>
      <c r="I289" s="72" t="inlineStr">
        <is>
          <t>stjt2B1R</t>
        </is>
      </c>
      <c r="J289" s="80" t="n">
        <v>950</v>
      </c>
      <c r="K289" s="72" t="inlineStr">
        <is>
          <t>Danielle Sprowles</t>
        </is>
      </c>
      <c r="L289" s="81" t="n">
        <v>1135</v>
      </c>
      <c r="M289" s="81">
        <f>Y289</f>
        <v/>
      </c>
      <c r="N289" s="82" t="n">
        <v>45931</v>
      </c>
      <c r="O289" s="82" t="n">
        <v>45931</v>
      </c>
      <c r="P289" s="82" t="n">
        <v>46155</v>
      </c>
      <c r="R289" s="81">
        <f>SUM(AB289:AK289)</f>
        <v/>
      </c>
      <c r="S289" s="81">
        <f>SUM(AM289:AQ289)</f>
        <v/>
      </c>
      <c r="T289" s="81">
        <f>SUM(AS289:AW289)</f>
        <v/>
      </c>
      <c r="Y289" s="81" t="n">
        <v>1095</v>
      </c>
    </row>
    <row r="290">
      <c r="A290" s="72">
        <f>$D$27</f>
        <v/>
      </c>
      <c r="B290" s="72">
        <f>B289+1</f>
        <v/>
      </c>
      <c r="C290" s="72">
        <f>IF(K290="Vacant","Vac",IF(K290="Model","Model",IF(K290="Admin","Admin",IF(K290="Down","Down",IF(K290="Super","Super","Occ")))))</f>
        <v/>
      </c>
      <c r="D290" s="72">
        <f>INDEX($C$5:$C$14,MATCH(I290,$D$5:$D$14,0))</f>
        <v/>
      </c>
      <c r="E290" s="72">
        <f>INDEX($E$5:$E$14,MATCH(D290,$C$5:$C$14,0))</f>
        <v/>
      </c>
      <c r="F290" s="72">
        <f>INDEX($F$5:$F$14,MATCH(D290,$C$5:$C$14,0))</f>
        <v/>
      </c>
      <c r="G290" s="72">
        <f>INDEX($G$5:$G$14,MATCH(D290,$C$5:$C$14,0))</f>
        <v/>
      </c>
      <c r="H290" s="72" t="inlineStr">
        <is>
          <t>I07</t>
        </is>
      </c>
      <c r="I290" s="72" t="inlineStr">
        <is>
          <t>stjt2B1</t>
        </is>
      </c>
      <c r="J290" s="80" t="n">
        <v>950</v>
      </c>
      <c r="K290" s="72" t="inlineStr">
        <is>
          <t>Lucero Chavez</t>
        </is>
      </c>
      <c r="L290" s="81" t="n">
        <v>1035</v>
      </c>
      <c r="M290" s="81">
        <f>Y290</f>
        <v/>
      </c>
      <c r="N290" s="82" t="n">
        <v>43090</v>
      </c>
      <c r="O290" s="82" t="n">
        <v>43090</v>
      </c>
      <c r="P290" s="82" t="n">
        <v>46223</v>
      </c>
      <c r="R290" s="81">
        <f>SUM(AB290:AK290)</f>
        <v/>
      </c>
      <c r="S290" s="81">
        <f>SUM(AM290:AQ290)</f>
        <v/>
      </c>
      <c r="T290" s="81">
        <f>SUM(AS290:AW290)</f>
        <v/>
      </c>
      <c r="Y290" s="81" t="n">
        <v>916</v>
      </c>
    </row>
    <row r="291">
      <c r="A291" s="72">
        <f>$D$27</f>
        <v/>
      </c>
      <c r="B291" s="72">
        <f>B290+1</f>
        <v/>
      </c>
      <c r="C291" s="72">
        <f>IF(K291="Vacant","Vac",IF(K291="Model","Model",IF(K291="Admin","Admin",IF(K291="Down","Down",IF(K291="Super","Super","Occ")))))</f>
        <v/>
      </c>
      <c r="D291" s="72">
        <f>INDEX($C$5:$C$14,MATCH(I291,$D$5:$D$14,0))</f>
        <v/>
      </c>
      <c r="E291" s="72">
        <f>INDEX($E$5:$E$14,MATCH(D291,$C$5:$C$14,0))</f>
        <v/>
      </c>
      <c r="F291" s="72">
        <f>INDEX($F$5:$F$14,MATCH(D291,$C$5:$C$14,0))</f>
        <v/>
      </c>
      <c r="G291" s="72">
        <f>INDEX($G$5:$G$14,MATCH(D291,$C$5:$C$14,0))</f>
        <v/>
      </c>
      <c r="H291" s="72" t="inlineStr">
        <is>
          <t>I08</t>
        </is>
      </c>
      <c r="I291" s="72" t="inlineStr">
        <is>
          <t>stjt2B1</t>
        </is>
      </c>
      <c r="J291" s="80" t="n">
        <v>950</v>
      </c>
      <c r="K291" s="72" t="inlineStr">
        <is>
          <t>Bernadette Fox</t>
        </is>
      </c>
      <c r="L291" s="81" t="n">
        <v>1035</v>
      </c>
      <c r="M291" s="81">
        <f>Y291</f>
        <v/>
      </c>
      <c r="N291" s="82" t="n">
        <v>45324</v>
      </c>
      <c r="O291" s="82" t="n">
        <v>45324</v>
      </c>
      <c r="P291" s="82" t="n">
        <v>46508</v>
      </c>
      <c r="R291" s="81">
        <f>SUM(AB291:AK291)</f>
        <v/>
      </c>
      <c r="S291" s="81">
        <f>SUM(AM291:AQ291)</f>
        <v/>
      </c>
      <c r="T291" s="81">
        <f>SUM(AS291:AW291)</f>
        <v/>
      </c>
      <c r="Y291" s="81" t="n">
        <v>965</v>
      </c>
    </row>
    <row r="292">
      <c r="A292" s="72">
        <f>$D$27</f>
        <v/>
      </c>
      <c r="B292" s="72">
        <f>B291+1</f>
        <v/>
      </c>
      <c r="C292" s="72">
        <f>IF(K292="Vacant","Vac",IF(K292="Model","Model",IF(K292="Admin","Admin",IF(K292="Down","Down",IF(K292="Super","Super","Occ")))))</f>
        <v/>
      </c>
      <c r="D292" s="72">
        <f>INDEX($C$5:$C$14,MATCH(I292,$D$5:$D$14,0))</f>
        <v/>
      </c>
      <c r="E292" s="72">
        <f>INDEX($E$5:$E$14,MATCH(D292,$C$5:$C$14,0))</f>
        <v/>
      </c>
      <c r="F292" s="72">
        <f>INDEX($F$5:$F$14,MATCH(D292,$C$5:$C$14,0))</f>
        <v/>
      </c>
      <c r="G292" s="72">
        <f>INDEX($G$5:$G$14,MATCH(D292,$C$5:$C$14,0))</f>
        <v/>
      </c>
      <c r="H292" s="72" t="inlineStr">
        <is>
          <t>I09</t>
        </is>
      </c>
      <c r="I292" s="72" t="inlineStr">
        <is>
          <t>stjt2B1</t>
        </is>
      </c>
      <c r="J292" s="80" t="n">
        <v>950</v>
      </c>
      <c r="K292" s="72" t="inlineStr">
        <is>
          <t>Alissa Ulery</t>
        </is>
      </c>
      <c r="L292" s="81" t="n">
        <v>1035</v>
      </c>
      <c r="M292" s="81">
        <f>Y292</f>
        <v/>
      </c>
      <c r="N292" s="82" t="n">
        <v>43567</v>
      </c>
      <c r="O292" s="82" t="n">
        <v>43567</v>
      </c>
      <c r="P292" s="82" t="n">
        <v>46242</v>
      </c>
      <c r="R292" s="81">
        <f>SUM(AB292:AK292)</f>
        <v/>
      </c>
      <c r="S292" s="81">
        <f>SUM(AM292:AQ292)</f>
        <v/>
      </c>
      <c r="T292" s="81">
        <f>SUM(AS292:AW292)</f>
        <v/>
      </c>
      <c r="Y292" s="81" t="n">
        <v>1020</v>
      </c>
    </row>
    <row r="293">
      <c r="A293" s="72">
        <f>$D$27</f>
        <v/>
      </c>
      <c r="B293" s="72">
        <f>B292+1</f>
        <v/>
      </c>
      <c r="C293" s="72">
        <f>IF(K293="Vacant","Vac",IF(K293="Model","Model",IF(K293="Admin","Admin",IF(K293="Down","Down",IF(K293="Super","Super","Occ")))))</f>
        <v/>
      </c>
      <c r="D293" s="72">
        <f>INDEX($C$5:$C$14,MATCH(I293,$D$5:$D$14,0))</f>
        <v/>
      </c>
      <c r="E293" s="72">
        <f>INDEX($E$5:$E$14,MATCH(D293,$C$5:$C$14,0))</f>
        <v/>
      </c>
      <c r="F293" s="72">
        <f>INDEX($F$5:$F$14,MATCH(D293,$C$5:$C$14,0))</f>
        <v/>
      </c>
      <c r="G293" s="72">
        <f>INDEX($G$5:$G$14,MATCH(D293,$C$5:$C$14,0))</f>
        <v/>
      </c>
      <c r="H293" s="72" t="inlineStr">
        <is>
          <t>I10</t>
        </is>
      </c>
      <c r="I293" s="72" t="inlineStr">
        <is>
          <t>stjt2B1</t>
        </is>
      </c>
      <c r="J293" s="80" t="n">
        <v>950</v>
      </c>
      <c r="K293" s="72" t="inlineStr">
        <is>
          <t>VACANT</t>
        </is>
      </c>
      <c r="L293" s="81" t="n">
        <v>965</v>
      </c>
      <c r="M293" s="81">
        <f>Y293</f>
        <v/>
      </c>
      <c r="R293" s="81">
        <f>SUM(AB293:AK293)</f>
        <v/>
      </c>
      <c r="S293" s="81">
        <f>SUM(AM293:AQ293)</f>
        <v/>
      </c>
      <c r="T293" s="81">
        <f>SUM(AS293:AW293)</f>
        <v/>
      </c>
      <c r="Y293" s="81" t="n">
        <v>0</v>
      </c>
    </row>
    <row r="294">
      <c r="A294" s="72">
        <f>$D$27</f>
        <v/>
      </c>
      <c r="B294" s="72">
        <f>B293+1</f>
        <v/>
      </c>
      <c r="C294" s="72">
        <f>IF(K294="Vacant","Vac",IF(K294="Model","Model",IF(K294="Admin","Admin",IF(K294="Down","Down",IF(K294="Super","Super","Occ")))))</f>
        <v/>
      </c>
      <c r="D294" s="72">
        <f>INDEX($C$5:$C$14,MATCH(I294,$D$5:$D$14,0))</f>
        <v/>
      </c>
      <c r="E294" s="72">
        <f>INDEX($E$5:$E$14,MATCH(D294,$C$5:$C$14,0))</f>
        <v/>
      </c>
      <c r="F294" s="72">
        <f>INDEX($F$5:$F$14,MATCH(D294,$C$5:$C$14,0))</f>
        <v/>
      </c>
      <c r="G294" s="72">
        <f>INDEX($G$5:$G$14,MATCH(D294,$C$5:$C$14,0))</f>
        <v/>
      </c>
      <c r="H294" s="72" t="inlineStr">
        <is>
          <t>I11</t>
        </is>
      </c>
      <c r="I294" s="72" t="inlineStr">
        <is>
          <t>stjt2B1R</t>
        </is>
      </c>
      <c r="J294" s="80" t="n">
        <v>950</v>
      </c>
      <c r="K294" s="72" t="inlineStr">
        <is>
          <t>Forrest Leonard</t>
        </is>
      </c>
      <c r="L294" s="81" t="n">
        <v>1135</v>
      </c>
      <c r="M294" s="81">
        <f>Y294</f>
        <v/>
      </c>
      <c r="N294" s="82" t="n">
        <v>45447</v>
      </c>
      <c r="O294" s="82" t="n">
        <v>45447</v>
      </c>
      <c r="P294" s="82" t="n">
        <v>46176</v>
      </c>
      <c r="R294" s="81">
        <f>SUM(AB294:AK294)</f>
        <v/>
      </c>
      <c r="S294" s="81">
        <f>SUM(AM294:AQ294)</f>
        <v/>
      </c>
      <c r="T294" s="81">
        <f>SUM(AS294:AW294)</f>
        <v/>
      </c>
      <c r="Y294" s="81" t="n">
        <v>1050</v>
      </c>
    </row>
    <row r="295">
      <c r="A295" s="72">
        <f>$D$27</f>
        <v/>
      </c>
      <c r="B295" s="72">
        <f>B294+1</f>
        <v/>
      </c>
      <c r="C295" s="72">
        <f>IF(K295="Vacant","Vac",IF(K295="Model","Model",IF(K295="Admin","Admin",IF(K295="Down","Down",IF(K295="Super","Super","Occ")))))</f>
        <v/>
      </c>
      <c r="D295" s="72">
        <f>INDEX($C$5:$C$14,MATCH(I295,$D$5:$D$14,0))</f>
        <v/>
      </c>
      <c r="E295" s="72">
        <f>INDEX($E$5:$E$14,MATCH(D295,$C$5:$C$14,0))</f>
        <v/>
      </c>
      <c r="F295" s="72">
        <f>INDEX($F$5:$F$14,MATCH(D295,$C$5:$C$14,0))</f>
        <v/>
      </c>
      <c r="G295" s="72">
        <f>INDEX($G$5:$G$14,MATCH(D295,$C$5:$C$14,0))</f>
        <v/>
      </c>
      <c r="H295" s="72" t="inlineStr">
        <is>
          <t>I12</t>
        </is>
      </c>
      <c r="I295" s="72" t="inlineStr">
        <is>
          <t>stjt2B1R</t>
        </is>
      </c>
      <c r="J295" s="80" t="n">
        <v>950</v>
      </c>
      <c r="K295" s="72" t="inlineStr">
        <is>
          <t>Sam Borders</t>
        </is>
      </c>
      <c r="L295" s="81" t="n">
        <v>1135</v>
      </c>
      <c r="M295" s="81">
        <f>Y295</f>
        <v/>
      </c>
      <c r="N295" s="82" t="n">
        <v>45975</v>
      </c>
      <c r="O295" s="82" t="n">
        <v>45975</v>
      </c>
      <c r="P295" s="82" t="n">
        <v>46339</v>
      </c>
      <c r="R295" s="81">
        <f>SUM(AB295:AK295)</f>
        <v/>
      </c>
      <c r="S295" s="81">
        <f>SUM(AM295:AQ295)</f>
        <v/>
      </c>
      <c r="T295" s="81">
        <f>SUM(AS295:AW295)</f>
        <v/>
      </c>
      <c r="Y295" s="81" t="n">
        <v>1080</v>
      </c>
    </row>
    <row r="296">
      <c r="A296" s="72">
        <f>$D$27</f>
        <v/>
      </c>
      <c r="B296" s="72">
        <f>B295+1</f>
        <v/>
      </c>
      <c r="C296" s="72">
        <f>IF(K296="Vacant","Vac",IF(K296="Model","Model",IF(K296="Admin","Admin",IF(K296="Down","Down",IF(K296="Super","Super","Occ")))))</f>
        <v/>
      </c>
      <c r="D296" s="72">
        <f>INDEX($C$5:$C$14,MATCH(I296,$D$5:$D$14,0))</f>
        <v/>
      </c>
      <c r="E296" s="72">
        <f>INDEX($E$5:$E$14,MATCH(D296,$C$5:$C$14,0))</f>
        <v/>
      </c>
      <c r="F296" s="72">
        <f>INDEX($F$5:$F$14,MATCH(D296,$C$5:$C$14,0))</f>
        <v/>
      </c>
      <c r="G296" s="72">
        <f>INDEX($G$5:$G$14,MATCH(D296,$C$5:$C$14,0))</f>
        <v/>
      </c>
      <c r="H296" s="72" t="inlineStr">
        <is>
          <t>I13</t>
        </is>
      </c>
      <c r="I296" s="72" t="inlineStr">
        <is>
          <t>stjt2B1R</t>
        </is>
      </c>
      <c r="J296" s="80" t="n">
        <v>950</v>
      </c>
      <c r="K296" s="72" t="inlineStr">
        <is>
          <t>Lynnette Woods</t>
        </is>
      </c>
      <c r="L296" s="81" t="n">
        <v>1120</v>
      </c>
      <c r="M296" s="81">
        <f>Y296</f>
        <v/>
      </c>
      <c r="N296" s="82" t="n">
        <v>45009</v>
      </c>
      <c r="O296" s="82" t="n">
        <v>45009</v>
      </c>
      <c r="P296" s="82" t="n">
        <v>46866</v>
      </c>
      <c r="R296" s="81">
        <f>SUM(AB296:AK296)</f>
        <v/>
      </c>
      <c r="S296" s="81">
        <f>SUM(AM296:AQ296)</f>
        <v/>
      </c>
      <c r="T296" s="81">
        <f>SUM(AS296:AW296)</f>
        <v/>
      </c>
      <c r="Y296" s="81" t="n">
        <v>1050</v>
      </c>
    </row>
    <row r="297">
      <c r="A297" s="72">
        <f>$D$27</f>
        <v/>
      </c>
      <c r="B297" s="72">
        <f>B296+1</f>
        <v/>
      </c>
      <c r="C297" s="72">
        <f>IF(K297="Vacant","Vac",IF(K297="Model","Model",IF(K297="Admin","Admin",IF(K297="Down","Down",IF(K297="Super","Super","Occ")))))</f>
        <v/>
      </c>
      <c r="D297" s="72">
        <f>INDEX($C$5:$C$14,MATCH(I297,$D$5:$D$14,0))</f>
        <v/>
      </c>
      <c r="E297" s="72">
        <f>INDEX($E$5:$E$14,MATCH(D297,$C$5:$C$14,0))</f>
        <v/>
      </c>
      <c r="F297" s="72">
        <f>INDEX($F$5:$F$14,MATCH(D297,$C$5:$C$14,0))</f>
        <v/>
      </c>
      <c r="G297" s="72">
        <f>INDEX($G$5:$G$14,MATCH(D297,$C$5:$C$14,0))</f>
        <v/>
      </c>
      <c r="H297" s="72" t="inlineStr">
        <is>
          <t>I14</t>
        </is>
      </c>
      <c r="I297" s="72" t="inlineStr">
        <is>
          <t>stjt2B1R</t>
        </is>
      </c>
      <c r="J297" s="80" t="n">
        <v>950</v>
      </c>
      <c r="K297" s="72" t="inlineStr">
        <is>
          <t>Evan Hunt</t>
        </is>
      </c>
      <c r="L297" s="81" t="n">
        <v>1120</v>
      </c>
      <c r="M297" s="81">
        <f>Y297</f>
        <v/>
      </c>
      <c r="N297" s="82" t="n">
        <v>45807</v>
      </c>
      <c r="O297" s="82" t="n">
        <v>45807</v>
      </c>
      <c r="P297" s="82" t="n">
        <v>46171</v>
      </c>
      <c r="R297" s="81">
        <f>SUM(AB297:AK297)</f>
        <v/>
      </c>
      <c r="S297" s="81">
        <f>SUM(AM297:AQ297)</f>
        <v/>
      </c>
      <c r="T297" s="81">
        <f>SUM(AS297:AW297)</f>
        <v/>
      </c>
      <c r="Y297" s="81" t="n">
        <v>1045</v>
      </c>
    </row>
    <row r="298">
      <c r="A298" s="72">
        <f>$D$27</f>
        <v/>
      </c>
      <c r="B298" s="72">
        <f>B297+1</f>
        <v/>
      </c>
      <c r="C298" s="72">
        <f>IF(K298="Vacant","Vac",IF(K298="Model","Model",IF(K298="Admin","Admin",IF(K298="Down","Down",IF(K298="Super","Super","Occ")))))</f>
        <v/>
      </c>
      <c r="D298" s="72">
        <f>INDEX($C$5:$C$14,MATCH(I298,$D$5:$D$14,0))</f>
        <v/>
      </c>
      <c r="E298" s="72">
        <f>INDEX($E$5:$E$14,MATCH(D298,$C$5:$C$14,0))</f>
        <v/>
      </c>
      <c r="F298" s="72">
        <f>INDEX($F$5:$F$14,MATCH(D298,$C$5:$C$14,0))</f>
        <v/>
      </c>
      <c r="G298" s="72">
        <f>INDEX($G$5:$G$14,MATCH(D298,$C$5:$C$14,0))</f>
        <v/>
      </c>
      <c r="H298" s="72" t="inlineStr">
        <is>
          <t>I15</t>
        </is>
      </c>
      <c r="I298" s="72" t="inlineStr">
        <is>
          <t>stjt2B1R</t>
        </is>
      </c>
      <c r="J298" s="80" t="n">
        <v>950</v>
      </c>
      <c r="K298" s="72" t="inlineStr">
        <is>
          <t>Nicole Scheer</t>
        </is>
      </c>
      <c r="L298" s="81" t="n">
        <v>1120</v>
      </c>
      <c r="M298" s="81">
        <f>Y298</f>
        <v/>
      </c>
      <c r="N298" s="82" t="n">
        <v>45954</v>
      </c>
      <c r="O298" s="82" t="n">
        <v>45954</v>
      </c>
      <c r="P298" s="82" t="n">
        <v>46318</v>
      </c>
      <c r="R298" s="81">
        <f>SUM(AB298:AK298)</f>
        <v/>
      </c>
      <c r="S298" s="81">
        <f>SUM(AM298:AQ298)</f>
        <v/>
      </c>
      <c r="T298" s="81">
        <f>SUM(AS298:AW298)</f>
        <v/>
      </c>
      <c r="Y298" s="81" t="n">
        <v>995</v>
      </c>
    </row>
    <row r="299">
      <c r="A299" s="72">
        <f>$D$27</f>
        <v/>
      </c>
      <c r="B299" s="72">
        <f>B298+1</f>
        <v/>
      </c>
      <c r="C299" s="72">
        <f>IF(K299="Vacant","Vac",IF(K299="Model","Model",IF(K299="Admin","Admin",IF(K299="Down","Down",IF(K299="Super","Super","Occ")))))</f>
        <v/>
      </c>
      <c r="D299" s="72">
        <f>INDEX($C$5:$C$14,MATCH(I299,$D$5:$D$14,0))</f>
        <v/>
      </c>
      <c r="E299" s="72">
        <f>INDEX($E$5:$E$14,MATCH(D299,$C$5:$C$14,0))</f>
        <v/>
      </c>
      <c r="F299" s="72">
        <f>INDEX($F$5:$F$14,MATCH(D299,$C$5:$C$14,0))</f>
        <v/>
      </c>
      <c r="G299" s="72">
        <f>INDEX($G$5:$G$14,MATCH(D299,$C$5:$C$14,0))</f>
        <v/>
      </c>
      <c r="H299" s="72" t="inlineStr">
        <is>
          <t>I16</t>
        </is>
      </c>
      <c r="I299" s="72" t="inlineStr">
        <is>
          <t>stjt2B1R</t>
        </is>
      </c>
      <c r="J299" s="80" t="n">
        <v>950</v>
      </c>
      <c r="K299" s="72" t="inlineStr">
        <is>
          <t>Jasmine Sowell</t>
        </is>
      </c>
      <c r="L299" s="81" t="n">
        <v>1120</v>
      </c>
      <c r="M299" s="81">
        <f>Y299</f>
        <v/>
      </c>
      <c r="N299" s="82" t="n">
        <v>45406</v>
      </c>
      <c r="O299" s="82" t="n">
        <v>45406</v>
      </c>
      <c r="P299" s="82" t="n">
        <v>46500</v>
      </c>
      <c r="R299" s="81">
        <f>SUM(AB299:AK299)</f>
        <v/>
      </c>
      <c r="S299" s="81">
        <f>SUM(AM299:AQ299)</f>
        <v/>
      </c>
      <c r="T299" s="81">
        <f>SUM(AS299:AW299)</f>
        <v/>
      </c>
      <c r="Y299" s="81" t="n">
        <v>1035</v>
      </c>
    </row>
    <row r="300">
      <c r="A300" s="72">
        <f>$D$27</f>
        <v/>
      </c>
      <c r="B300" s="72">
        <f>B299+1</f>
        <v/>
      </c>
      <c r="C300" s="72">
        <f>IF(K300="Vacant","Vac",IF(K300="Model","Model",IF(K300="Admin","Admin",IF(K300="Down","Down",IF(K300="Super","Super","Occ")))))</f>
        <v/>
      </c>
      <c r="D300" s="72">
        <f>INDEX($C$5:$C$14,MATCH(I300,$D$5:$D$14,0))</f>
        <v/>
      </c>
      <c r="E300" s="72">
        <f>INDEX($E$5:$E$14,MATCH(D300,$C$5:$C$14,0))</f>
        <v/>
      </c>
      <c r="F300" s="72">
        <f>INDEX($F$5:$F$14,MATCH(D300,$C$5:$C$14,0))</f>
        <v/>
      </c>
      <c r="G300" s="72">
        <f>INDEX($G$5:$G$14,MATCH(D300,$C$5:$C$14,0))</f>
        <v/>
      </c>
      <c r="H300" s="72" t="inlineStr">
        <is>
          <t>I17</t>
        </is>
      </c>
      <c r="I300" s="72" t="inlineStr">
        <is>
          <t>stjt2B1R</t>
        </is>
      </c>
      <c r="J300" s="80" t="n">
        <v>950</v>
      </c>
      <c r="K300" s="72" t="inlineStr">
        <is>
          <t>Sophia Vincent</t>
        </is>
      </c>
      <c r="L300" s="81" t="n">
        <v>1135</v>
      </c>
      <c r="M300" s="81">
        <f>Y300</f>
        <v/>
      </c>
      <c r="N300" s="82" t="n">
        <v>45514</v>
      </c>
      <c r="O300" s="82" t="n">
        <v>45514</v>
      </c>
      <c r="P300" s="82" t="n">
        <v>46243</v>
      </c>
      <c r="R300" s="81">
        <f>SUM(AB300:AK300)</f>
        <v/>
      </c>
      <c r="S300" s="81">
        <f>SUM(AM300:AQ300)</f>
        <v/>
      </c>
      <c r="T300" s="81">
        <f>SUM(AS300:AW300)</f>
        <v/>
      </c>
      <c r="Y300" s="81" t="n">
        <v>1060</v>
      </c>
    </row>
    <row r="301">
      <c r="A301" s="72">
        <f>$D$27</f>
        <v/>
      </c>
      <c r="B301" s="72">
        <f>B300+1</f>
        <v/>
      </c>
      <c r="C301" s="72">
        <f>IF(K301="Vacant","Vac",IF(K301="Model","Model",IF(K301="Admin","Admin",IF(K301="Down","Down",IF(K301="Super","Super","Occ")))))</f>
        <v/>
      </c>
      <c r="D301" s="72">
        <f>INDEX($C$5:$C$14,MATCH(I301,$D$5:$D$14,0))</f>
        <v/>
      </c>
      <c r="E301" s="72">
        <f>INDEX($E$5:$E$14,MATCH(D301,$C$5:$C$14,0))</f>
        <v/>
      </c>
      <c r="F301" s="72">
        <f>INDEX($F$5:$F$14,MATCH(D301,$C$5:$C$14,0))</f>
        <v/>
      </c>
      <c r="G301" s="72">
        <f>INDEX($G$5:$G$14,MATCH(D301,$C$5:$C$14,0))</f>
        <v/>
      </c>
      <c r="H301" s="72" t="inlineStr">
        <is>
          <t>I18</t>
        </is>
      </c>
      <c r="I301" s="72" t="inlineStr">
        <is>
          <t>stjt2B1R</t>
        </is>
      </c>
      <c r="J301" s="80" t="n">
        <v>950</v>
      </c>
      <c r="K301" s="72" t="inlineStr">
        <is>
          <t>Alexander Slade</t>
        </is>
      </c>
      <c r="L301" s="81" t="n">
        <v>1135</v>
      </c>
      <c r="M301" s="81">
        <f>Y301</f>
        <v/>
      </c>
      <c r="N301" s="82" t="n">
        <v>45009</v>
      </c>
      <c r="O301" s="82" t="n">
        <v>45009</v>
      </c>
      <c r="P301" s="82" t="n">
        <v>46866</v>
      </c>
      <c r="R301" s="81">
        <f>SUM(AB301:AK301)</f>
        <v/>
      </c>
      <c r="S301" s="81">
        <f>SUM(AM301:AQ301)</f>
        <v/>
      </c>
      <c r="T301" s="81">
        <f>SUM(AS301:AW301)</f>
        <v/>
      </c>
      <c r="Y301" s="81" t="n">
        <v>1065</v>
      </c>
    </row>
    <row r="302">
      <c r="A302" s="72">
        <f>$D$27</f>
        <v/>
      </c>
      <c r="B302" s="72">
        <f>B301+1</f>
        <v/>
      </c>
      <c r="C302" s="72">
        <f>IF(K302="Vacant","Vac",IF(K302="Model","Model",IF(K302="Admin","Admin",IF(K302="Down","Down",IF(K302="Super","Super","Occ")))))</f>
        <v/>
      </c>
      <c r="D302" s="72">
        <f>INDEX($C$5:$C$14,MATCH(I302,$D$5:$D$14,0))</f>
        <v/>
      </c>
      <c r="E302" s="72">
        <f>INDEX($E$5:$E$14,MATCH(D302,$C$5:$C$14,0))</f>
        <v/>
      </c>
      <c r="F302" s="72">
        <f>INDEX($F$5:$F$14,MATCH(D302,$C$5:$C$14,0))</f>
        <v/>
      </c>
      <c r="G302" s="72">
        <f>INDEX($G$5:$G$14,MATCH(D302,$C$5:$C$14,0))</f>
        <v/>
      </c>
      <c r="H302" s="72" t="inlineStr">
        <is>
          <t>I19</t>
        </is>
      </c>
      <c r="I302" s="72" t="inlineStr">
        <is>
          <t>stjt2B1R</t>
        </is>
      </c>
      <c r="J302" s="80" t="n">
        <v>950</v>
      </c>
      <c r="K302" s="72" t="inlineStr">
        <is>
          <t>Marki Barks</t>
        </is>
      </c>
      <c r="L302" s="81" t="n">
        <v>1135</v>
      </c>
      <c r="M302" s="81">
        <f>Y302</f>
        <v/>
      </c>
      <c r="N302" s="82" t="n">
        <v>45639</v>
      </c>
      <c r="O302" s="82" t="n">
        <v>45639</v>
      </c>
      <c r="P302" s="82" t="n">
        <v>46185</v>
      </c>
      <c r="R302" s="81">
        <f>SUM(AB302:AK302)</f>
        <v/>
      </c>
      <c r="S302" s="81">
        <f>SUM(AM302:AQ302)</f>
        <v/>
      </c>
      <c r="T302" s="81">
        <f>SUM(AS302:AW302)</f>
        <v/>
      </c>
      <c r="Y302" s="81" t="n">
        <v>1060</v>
      </c>
    </row>
    <row r="303">
      <c r="A303" s="72">
        <f>$D$27</f>
        <v/>
      </c>
      <c r="B303" s="72">
        <f>B302+1</f>
        <v/>
      </c>
      <c r="C303" s="72">
        <f>IF(K303="Vacant","Vac",IF(K303="Model","Model",IF(K303="Admin","Admin",IF(K303="Down","Down",IF(K303="Super","Super","Occ")))))</f>
        <v/>
      </c>
      <c r="D303" s="72">
        <f>INDEX($C$5:$C$14,MATCH(I303,$D$5:$D$14,0))</f>
        <v/>
      </c>
      <c r="E303" s="72">
        <f>INDEX($E$5:$E$14,MATCH(D303,$C$5:$C$14,0))</f>
        <v/>
      </c>
      <c r="F303" s="72">
        <f>INDEX($F$5:$F$14,MATCH(D303,$C$5:$C$14,0))</f>
        <v/>
      </c>
      <c r="G303" s="72">
        <f>INDEX($G$5:$G$14,MATCH(D303,$C$5:$C$14,0))</f>
        <v/>
      </c>
      <c r="H303" s="72" t="inlineStr">
        <is>
          <t>I20</t>
        </is>
      </c>
      <c r="I303" s="72" t="inlineStr">
        <is>
          <t>stjt2B1</t>
        </is>
      </c>
      <c r="J303" s="80" t="n">
        <v>950</v>
      </c>
      <c r="K303" s="72" t="inlineStr">
        <is>
          <t>Claribel Henriquez Pena</t>
        </is>
      </c>
      <c r="L303" s="81" t="n">
        <v>1035</v>
      </c>
      <c r="M303" s="81">
        <f>Y303</f>
        <v/>
      </c>
      <c r="N303" s="82" t="n">
        <v>45968</v>
      </c>
      <c r="O303" s="82" t="n">
        <v>45968</v>
      </c>
      <c r="P303" s="82" t="n">
        <v>46513</v>
      </c>
      <c r="R303" s="81">
        <f>SUM(AB303:AK303)</f>
        <v/>
      </c>
      <c r="S303" s="81">
        <f>SUM(AM303:AQ303)</f>
        <v/>
      </c>
      <c r="T303" s="81">
        <f>SUM(AS303:AW303)</f>
        <v/>
      </c>
      <c r="Y303" s="81" t="n">
        <v>925</v>
      </c>
    </row>
    <row r="304">
      <c r="A304" s="72">
        <f>$D$27</f>
        <v/>
      </c>
      <c r="B304" s="72">
        <f>B303+1</f>
        <v/>
      </c>
      <c r="C304" s="72">
        <f>IF(K304="Vacant","Vac",IF(K304="Model","Model",IF(K304="Admin","Admin",IF(K304="Down","Down",IF(K304="Super","Super","Occ")))))</f>
        <v/>
      </c>
      <c r="D304" s="72">
        <f>INDEX($C$5:$C$14,MATCH(I304,$D$5:$D$14,0))</f>
        <v/>
      </c>
      <c r="E304" s="72">
        <f>INDEX($E$5:$E$14,MATCH(D304,$C$5:$C$14,0))</f>
        <v/>
      </c>
      <c r="F304" s="72">
        <f>INDEX($F$5:$F$14,MATCH(D304,$C$5:$C$14,0))</f>
        <v/>
      </c>
      <c r="G304" s="72">
        <f>INDEX($G$5:$G$14,MATCH(D304,$C$5:$C$14,0))</f>
        <v/>
      </c>
      <c r="H304" s="72" t="inlineStr">
        <is>
          <t>I21</t>
        </is>
      </c>
      <c r="I304" s="72" t="inlineStr">
        <is>
          <t>stjt2B1R</t>
        </is>
      </c>
      <c r="J304" s="80" t="n">
        <v>950</v>
      </c>
      <c r="K304" s="72" t="inlineStr">
        <is>
          <t>Bryce Dillard</t>
        </is>
      </c>
      <c r="L304" s="81" t="n">
        <v>1135</v>
      </c>
      <c r="M304" s="81">
        <f>Y304</f>
        <v/>
      </c>
      <c r="N304" s="82" t="n">
        <v>44732</v>
      </c>
      <c r="O304" s="82" t="n">
        <v>44732</v>
      </c>
      <c r="P304" s="82" t="n">
        <v>46205</v>
      </c>
      <c r="R304" s="81">
        <f>SUM(AB304:AK304)</f>
        <v/>
      </c>
      <c r="S304" s="81">
        <f>SUM(AM304:AQ304)</f>
        <v/>
      </c>
      <c r="T304" s="81">
        <f>SUM(AS304:AW304)</f>
        <v/>
      </c>
      <c r="Y304" s="81" t="n">
        <v>1050</v>
      </c>
    </row>
    <row r="305">
      <c r="A305" s="72">
        <f>$D$27</f>
        <v/>
      </c>
      <c r="B305" s="72">
        <f>B304+1</f>
        <v/>
      </c>
      <c r="C305" s="72">
        <f>IF(K305="Vacant","Vac",IF(K305="Model","Model",IF(K305="Admin","Admin",IF(K305="Down","Down",IF(K305="Super","Super","Occ")))))</f>
        <v/>
      </c>
      <c r="D305" s="72">
        <f>INDEX($C$5:$C$14,MATCH(I305,$D$5:$D$14,0))</f>
        <v/>
      </c>
      <c r="E305" s="72">
        <f>INDEX($E$5:$E$14,MATCH(D305,$C$5:$C$14,0))</f>
        <v/>
      </c>
      <c r="F305" s="72">
        <f>INDEX($F$5:$F$14,MATCH(D305,$C$5:$C$14,0))</f>
        <v/>
      </c>
      <c r="G305" s="72">
        <f>INDEX($G$5:$G$14,MATCH(D305,$C$5:$C$14,0))</f>
        <v/>
      </c>
      <c r="H305" s="72" t="inlineStr">
        <is>
          <t>I22</t>
        </is>
      </c>
      <c r="I305" s="72" t="inlineStr">
        <is>
          <t>stjt2B1</t>
        </is>
      </c>
      <c r="J305" s="80" t="n">
        <v>950</v>
      </c>
      <c r="K305" s="72" t="inlineStr">
        <is>
          <t>yariah armstrong</t>
        </is>
      </c>
      <c r="L305" s="81" t="n">
        <v>1035</v>
      </c>
      <c r="M305" s="81">
        <f>Y305</f>
        <v/>
      </c>
      <c r="N305" s="82" t="n">
        <v>45440</v>
      </c>
      <c r="O305" s="82" t="n">
        <v>45440</v>
      </c>
      <c r="P305" s="82" t="n">
        <v>46169</v>
      </c>
      <c r="R305" s="81">
        <f>SUM(AB305:AK305)</f>
        <v/>
      </c>
      <c r="S305" s="81">
        <f>SUM(AM305:AQ305)</f>
        <v/>
      </c>
      <c r="T305" s="81">
        <f>SUM(AS305:AW305)</f>
        <v/>
      </c>
      <c r="Y305" s="81" t="n">
        <v>1000</v>
      </c>
    </row>
    <row r="306">
      <c r="A306" s="72">
        <f>$D$27</f>
        <v/>
      </c>
      <c r="B306" s="72">
        <f>B305+1</f>
        <v/>
      </c>
      <c r="C306" s="72">
        <f>IF(K306="Vacant","Vac",IF(K306="Model","Model",IF(K306="Admin","Admin",IF(K306="Down","Down",IF(K306="Super","Super","Occ")))))</f>
        <v/>
      </c>
      <c r="D306" s="72">
        <f>INDEX($C$5:$C$14,MATCH(I306,$D$5:$D$14,0))</f>
        <v/>
      </c>
      <c r="E306" s="72">
        <f>INDEX($E$5:$E$14,MATCH(D306,$C$5:$C$14,0))</f>
        <v/>
      </c>
      <c r="F306" s="72">
        <f>INDEX($F$5:$F$14,MATCH(D306,$C$5:$C$14,0))</f>
        <v/>
      </c>
      <c r="G306" s="72">
        <f>INDEX($G$5:$G$14,MATCH(D306,$C$5:$C$14,0))</f>
        <v/>
      </c>
      <c r="H306" s="72" t="inlineStr">
        <is>
          <t>I23</t>
        </is>
      </c>
      <c r="I306" s="72" t="inlineStr">
        <is>
          <t>stjt2B1R</t>
        </is>
      </c>
      <c r="J306" s="80" t="n">
        <v>950</v>
      </c>
      <c r="K306" s="72" t="inlineStr">
        <is>
          <t>Andrew Cooper</t>
        </is>
      </c>
      <c r="L306" s="81" t="n">
        <v>1135</v>
      </c>
      <c r="M306" s="81">
        <f>Y306</f>
        <v/>
      </c>
      <c r="N306" s="82" t="n">
        <v>46064</v>
      </c>
      <c r="O306" s="82" t="n">
        <v>46064</v>
      </c>
      <c r="P306" s="82" t="n">
        <v>46428</v>
      </c>
      <c r="R306" s="81">
        <f>SUM(AB306:AK306)</f>
        <v/>
      </c>
      <c r="S306" s="81">
        <f>SUM(AM306:AQ306)</f>
        <v/>
      </c>
      <c r="T306" s="81">
        <f>SUM(AS306:AW306)</f>
        <v/>
      </c>
      <c r="Y306" s="81" t="n">
        <v>1008</v>
      </c>
    </row>
    <row r="307">
      <c r="A307" s="72">
        <f>$D$27</f>
        <v/>
      </c>
      <c r="B307" s="72">
        <f>B306+1</f>
        <v/>
      </c>
      <c r="C307" s="72">
        <f>IF(K307="Vacant","Vac",IF(K307="Model","Model",IF(K307="Admin","Admin",IF(K307="Down","Down",IF(K307="Super","Super","Occ")))))</f>
        <v/>
      </c>
      <c r="D307" s="72">
        <f>INDEX($C$5:$C$14,MATCH(I307,$D$5:$D$14,0))</f>
        <v/>
      </c>
      <c r="E307" s="72">
        <f>INDEX($E$5:$E$14,MATCH(D307,$C$5:$C$14,0))</f>
        <v/>
      </c>
      <c r="F307" s="72">
        <f>INDEX($F$5:$F$14,MATCH(D307,$C$5:$C$14,0))</f>
        <v/>
      </c>
      <c r="G307" s="72">
        <f>INDEX($G$5:$G$14,MATCH(D307,$C$5:$C$14,0))</f>
        <v/>
      </c>
      <c r="H307" s="72" t="inlineStr">
        <is>
          <t>I24</t>
        </is>
      </c>
      <c r="I307" s="72" t="inlineStr">
        <is>
          <t>stjt2B1R</t>
        </is>
      </c>
      <c r="J307" s="80" t="n">
        <v>950</v>
      </c>
      <c r="K307" s="72" t="inlineStr">
        <is>
          <t>Gricelda Santiago Galindo</t>
        </is>
      </c>
      <c r="L307" s="81" t="n">
        <v>1135</v>
      </c>
      <c r="M307" s="81">
        <f>Y307</f>
        <v/>
      </c>
      <c r="N307" s="82" t="n">
        <v>46139</v>
      </c>
      <c r="O307" s="82" t="n">
        <v>46139</v>
      </c>
      <c r="P307" s="82" t="n">
        <v>46564</v>
      </c>
      <c r="R307" s="81">
        <f>SUM(AB307:AK307)</f>
        <v/>
      </c>
      <c r="S307" s="81">
        <f>SUM(AM307:AQ307)</f>
        <v/>
      </c>
      <c r="T307" s="81">
        <f>SUM(AS307:AW307)</f>
        <v/>
      </c>
      <c r="Y307" s="81" t="n">
        <v>1135</v>
      </c>
    </row>
    <row r="308">
      <c r="A308" s="72">
        <f>$D$27</f>
        <v/>
      </c>
      <c r="B308" s="72">
        <f>B307+1</f>
        <v/>
      </c>
      <c r="C308" s="72">
        <f>IF(K308="Vacant","Vac",IF(K308="Model","Model",IF(K308="Admin","Admin",IF(K308="Down","Down",IF(K308="Super","Super","Occ")))))</f>
        <v/>
      </c>
      <c r="D308" s="72">
        <f>INDEX($C$5:$C$14,MATCH(I308,$D$5:$D$14,0))</f>
        <v/>
      </c>
      <c r="E308" s="72">
        <f>INDEX($E$5:$E$14,MATCH(D308,$C$5:$C$14,0))</f>
        <v/>
      </c>
      <c r="F308" s="72">
        <f>INDEX($F$5:$F$14,MATCH(D308,$C$5:$C$14,0))</f>
        <v/>
      </c>
      <c r="G308" s="72">
        <f>INDEX($G$5:$G$14,MATCH(D308,$C$5:$C$14,0))</f>
        <v/>
      </c>
      <c r="H308" s="72" t="inlineStr">
        <is>
          <t>J01</t>
        </is>
      </c>
      <c r="I308" s="72" t="inlineStr">
        <is>
          <t>stjt2B1</t>
        </is>
      </c>
      <c r="J308" s="80" t="n">
        <v>950</v>
      </c>
      <c r="K308" s="72" t="inlineStr">
        <is>
          <t>VACANT</t>
        </is>
      </c>
      <c r="L308" s="81" t="n">
        <v>965</v>
      </c>
      <c r="M308" s="81">
        <f>Y308</f>
        <v/>
      </c>
      <c r="R308" s="81">
        <f>SUM(AB308:AK308)</f>
        <v/>
      </c>
      <c r="S308" s="81">
        <f>SUM(AM308:AQ308)</f>
        <v/>
      </c>
      <c r="T308" s="81">
        <f>SUM(AS308:AW308)</f>
        <v/>
      </c>
      <c r="Y308" s="81" t="n">
        <v>0</v>
      </c>
    </row>
    <row r="309">
      <c r="A309" s="72">
        <f>$D$27</f>
        <v/>
      </c>
      <c r="B309" s="72">
        <f>B308+1</f>
        <v/>
      </c>
      <c r="C309" s="72">
        <f>IF(K309="Vacant","Vac",IF(K309="Model","Model",IF(K309="Admin","Admin",IF(K309="Down","Down",IF(K309="Super","Super","Occ")))))</f>
        <v/>
      </c>
      <c r="D309" s="72">
        <f>INDEX($C$5:$C$14,MATCH(I309,$D$5:$D$14,0))</f>
        <v/>
      </c>
      <c r="E309" s="72">
        <f>INDEX($E$5:$E$14,MATCH(D309,$C$5:$C$14,0))</f>
        <v/>
      </c>
      <c r="F309" s="72">
        <f>INDEX($F$5:$F$14,MATCH(D309,$C$5:$C$14,0))</f>
        <v/>
      </c>
      <c r="G309" s="72">
        <f>INDEX($G$5:$G$14,MATCH(D309,$C$5:$C$14,0))</f>
        <v/>
      </c>
      <c r="H309" s="72" t="inlineStr">
        <is>
          <t>J02</t>
        </is>
      </c>
      <c r="I309" s="72" t="inlineStr">
        <is>
          <t>stjt2A1</t>
        </is>
      </c>
      <c r="J309" s="80" t="n">
        <v>850</v>
      </c>
      <c r="K309" s="72" t="inlineStr">
        <is>
          <t>Crystal Titchenell</t>
        </is>
      </c>
      <c r="L309" s="81" t="n">
        <v>975</v>
      </c>
      <c r="M309" s="81">
        <f>Y309</f>
        <v/>
      </c>
      <c r="N309" s="82" t="n">
        <v>45539</v>
      </c>
      <c r="O309" s="82" t="n">
        <v>45539</v>
      </c>
      <c r="P309" s="82" t="n">
        <v>46268</v>
      </c>
      <c r="R309" s="81">
        <f>SUM(AB309:AK309)</f>
        <v/>
      </c>
      <c r="S309" s="81">
        <f>SUM(AM309:AQ309)</f>
        <v/>
      </c>
      <c r="T309" s="81">
        <f>SUM(AS309:AW309)</f>
        <v/>
      </c>
      <c r="Y309" s="81" t="n">
        <v>950</v>
      </c>
    </row>
    <row r="310">
      <c r="A310" s="72">
        <f>$D$27</f>
        <v/>
      </c>
      <c r="B310" s="72">
        <f>B309+1</f>
        <v/>
      </c>
      <c r="C310" s="72">
        <f>IF(K310="Vacant","Vac",IF(K310="Model","Model",IF(K310="Admin","Admin",IF(K310="Down","Down",IF(K310="Super","Super","Occ")))))</f>
        <v/>
      </c>
      <c r="D310" s="72">
        <f>INDEX($C$5:$C$14,MATCH(I310,$D$5:$D$14,0))</f>
        <v/>
      </c>
      <c r="E310" s="72">
        <f>INDEX($E$5:$E$14,MATCH(D310,$C$5:$C$14,0))</f>
        <v/>
      </c>
      <c r="F310" s="72">
        <f>INDEX($F$5:$F$14,MATCH(D310,$C$5:$C$14,0))</f>
        <v/>
      </c>
      <c r="G310" s="72">
        <f>INDEX($G$5:$G$14,MATCH(D310,$C$5:$C$14,0))</f>
        <v/>
      </c>
      <c r="H310" s="72" t="inlineStr">
        <is>
          <t>J03</t>
        </is>
      </c>
      <c r="I310" s="72" t="inlineStr">
        <is>
          <t>stjt2B1</t>
        </is>
      </c>
      <c r="J310" s="80" t="n">
        <v>950</v>
      </c>
      <c r="K310" s="72" t="inlineStr">
        <is>
          <t>Ella Long</t>
        </is>
      </c>
      <c r="L310" s="81" t="n">
        <v>1085</v>
      </c>
      <c r="M310" s="81">
        <f>Y310</f>
        <v/>
      </c>
      <c r="N310" s="82" t="n">
        <v>46052</v>
      </c>
      <c r="O310" s="82" t="n">
        <v>46052</v>
      </c>
      <c r="P310" s="82" t="n">
        <v>46416</v>
      </c>
      <c r="R310" s="81">
        <f>SUM(AB310:AK310)</f>
        <v/>
      </c>
      <c r="S310" s="81">
        <f>SUM(AM310:AQ310)</f>
        <v/>
      </c>
      <c r="T310" s="81">
        <f>SUM(AS310:AW310)</f>
        <v/>
      </c>
      <c r="Y310" s="81" t="n">
        <v>1015</v>
      </c>
    </row>
    <row r="311">
      <c r="A311" s="72">
        <f>$D$27</f>
        <v/>
      </c>
      <c r="B311" s="72">
        <f>B310+1</f>
        <v/>
      </c>
      <c r="C311" s="72">
        <f>IF(K311="Vacant","Vac",IF(K311="Model","Model",IF(K311="Admin","Admin",IF(K311="Down","Down",IF(K311="Super","Super","Occ")))))</f>
        <v/>
      </c>
      <c r="D311" s="72">
        <f>INDEX($C$5:$C$14,MATCH(I311,$D$5:$D$14,0))</f>
        <v/>
      </c>
      <c r="E311" s="72">
        <f>INDEX($E$5:$E$14,MATCH(D311,$C$5:$C$14,0))</f>
        <v/>
      </c>
      <c r="F311" s="72">
        <f>INDEX($F$5:$F$14,MATCH(D311,$C$5:$C$14,0))</f>
        <v/>
      </c>
      <c r="G311" s="72">
        <f>INDEX($G$5:$G$14,MATCH(D311,$C$5:$C$14,0))</f>
        <v/>
      </c>
      <c r="H311" s="72" t="inlineStr">
        <is>
          <t>J04</t>
        </is>
      </c>
      <c r="I311" s="72" t="inlineStr">
        <is>
          <t>stjt2A1</t>
        </is>
      </c>
      <c r="J311" s="80" t="n">
        <v>850</v>
      </c>
      <c r="K311" s="72" t="inlineStr">
        <is>
          <t>Fredrick Howard</t>
        </is>
      </c>
      <c r="L311" s="81" t="n">
        <v>975</v>
      </c>
      <c r="M311" s="81">
        <f>Y311</f>
        <v/>
      </c>
      <c r="N311" s="82" t="n">
        <v>44652</v>
      </c>
      <c r="O311" s="82" t="n">
        <v>44652</v>
      </c>
      <c r="P311" s="82" t="n">
        <v>46142</v>
      </c>
      <c r="R311" s="81">
        <f>SUM(AB311:AK311)</f>
        <v/>
      </c>
      <c r="S311" s="81">
        <f>SUM(AM311:AQ311)</f>
        <v/>
      </c>
      <c r="T311" s="81">
        <f>SUM(AS311:AW311)</f>
        <v/>
      </c>
      <c r="Y311" s="81" t="n">
        <v>830</v>
      </c>
    </row>
    <row r="312">
      <c r="A312" s="72">
        <f>$D$27</f>
        <v/>
      </c>
      <c r="B312" s="72">
        <f>B311+1</f>
        <v/>
      </c>
      <c r="C312" s="72">
        <f>IF(K312="Vacant","Vac",IF(K312="Model","Model",IF(K312="Admin","Admin",IF(K312="Down","Down",IF(K312="Super","Super","Occ")))))</f>
        <v/>
      </c>
      <c r="D312" s="72">
        <f>INDEX($C$5:$C$14,MATCH(I312,$D$5:$D$14,0))</f>
        <v/>
      </c>
      <c r="E312" s="72">
        <f>INDEX($E$5:$E$14,MATCH(D312,$C$5:$C$14,0))</f>
        <v/>
      </c>
      <c r="F312" s="72">
        <f>INDEX($F$5:$F$14,MATCH(D312,$C$5:$C$14,0))</f>
        <v/>
      </c>
      <c r="G312" s="72">
        <f>INDEX($G$5:$G$14,MATCH(D312,$C$5:$C$14,0))</f>
        <v/>
      </c>
      <c r="H312" s="72" t="inlineStr">
        <is>
          <t>J05</t>
        </is>
      </c>
      <c r="I312" s="72" t="inlineStr">
        <is>
          <t>stjt2B1R</t>
        </is>
      </c>
      <c r="J312" s="80" t="n">
        <v>950</v>
      </c>
      <c r="K312" s="72" t="inlineStr">
        <is>
          <t>Darius Little</t>
        </is>
      </c>
      <c r="L312" s="81" t="n">
        <v>1135</v>
      </c>
      <c r="M312" s="81">
        <f>Y312</f>
        <v/>
      </c>
      <c r="N312" s="82" t="n">
        <v>46104</v>
      </c>
      <c r="O312" s="82" t="n">
        <v>46104</v>
      </c>
      <c r="P312" s="82" t="n">
        <v>46468</v>
      </c>
      <c r="R312" s="81">
        <f>SUM(AB312:AK312)</f>
        <v/>
      </c>
      <c r="S312" s="81">
        <f>SUM(AM312:AQ312)</f>
        <v/>
      </c>
      <c r="T312" s="81">
        <f>SUM(AS312:AW312)</f>
        <v/>
      </c>
      <c r="Y312" s="81" t="n">
        <v>1125</v>
      </c>
    </row>
    <row r="313">
      <c r="A313" s="72">
        <f>$D$27</f>
        <v/>
      </c>
      <c r="B313" s="72">
        <f>B312+1</f>
        <v/>
      </c>
      <c r="C313" s="72">
        <f>IF(K313="Vacant","Vac",IF(K313="Model","Model",IF(K313="Admin","Admin",IF(K313="Down","Down",IF(K313="Super","Super","Occ")))))</f>
        <v/>
      </c>
      <c r="D313" s="72">
        <f>INDEX($C$5:$C$14,MATCH(I313,$D$5:$D$14,0))</f>
        <v/>
      </c>
      <c r="E313" s="72">
        <f>INDEX($E$5:$E$14,MATCH(D313,$C$5:$C$14,0))</f>
        <v/>
      </c>
      <c r="F313" s="72">
        <f>INDEX($F$5:$F$14,MATCH(D313,$C$5:$C$14,0))</f>
        <v/>
      </c>
      <c r="G313" s="72">
        <f>INDEX($G$5:$G$14,MATCH(D313,$C$5:$C$14,0))</f>
        <v/>
      </c>
      <c r="H313" s="72" t="inlineStr">
        <is>
          <t>J06</t>
        </is>
      </c>
      <c r="I313" s="72" t="inlineStr">
        <is>
          <t>stjt2A1</t>
        </is>
      </c>
      <c r="J313" s="80" t="n">
        <v>850</v>
      </c>
      <c r="K313" s="72" t="inlineStr">
        <is>
          <t>Jordan Smith</t>
        </is>
      </c>
      <c r="L313" s="81" t="n">
        <v>1010</v>
      </c>
      <c r="M313" s="81">
        <f>Y313</f>
        <v/>
      </c>
      <c r="N313" s="82" t="n">
        <v>45463</v>
      </c>
      <c r="O313" s="82" t="n">
        <v>45463</v>
      </c>
      <c r="P313" s="82" t="n">
        <v>46192</v>
      </c>
      <c r="R313" s="81">
        <f>SUM(AB313:AK313)</f>
        <v/>
      </c>
      <c r="S313" s="81">
        <f>SUM(AM313:AQ313)</f>
        <v/>
      </c>
      <c r="T313" s="81">
        <f>SUM(AS313:AW313)</f>
        <v/>
      </c>
      <c r="Y313" s="81" t="n">
        <v>910</v>
      </c>
    </row>
    <row r="314">
      <c r="A314" s="72">
        <f>$D$27</f>
        <v/>
      </c>
      <c r="B314" s="72">
        <f>B313+1</f>
        <v/>
      </c>
      <c r="C314" s="72">
        <f>IF(K314="Vacant","Vac",IF(K314="Model","Model",IF(K314="Admin","Admin",IF(K314="Down","Down",IF(K314="Super","Super","Occ")))))</f>
        <v/>
      </c>
      <c r="D314" s="72">
        <f>INDEX($C$5:$C$14,MATCH(I314,$D$5:$D$14,0))</f>
        <v/>
      </c>
      <c r="E314" s="72">
        <f>INDEX($E$5:$E$14,MATCH(D314,$C$5:$C$14,0))</f>
        <v/>
      </c>
      <c r="F314" s="72">
        <f>INDEX($F$5:$F$14,MATCH(D314,$C$5:$C$14,0))</f>
        <v/>
      </c>
      <c r="G314" s="72">
        <f>INDEX($G$5:$G$14,MATCH(D314,$C$5:$C$14,0))</f>
        <v/>
      </c>
      <c r="H314" s="72" t="inlineStr">
        <is>
          <t>J07</t>
        </is>
      </c>
      <c r="I314" s="72" t="inlineStr">
        <is>
          <t>stjt2B1R</t>
        </is>
      </c>
      <c r="J314" s="80" t="n">
        <v>950</v>
      </c>
      <c r="K314" s="72" t="inlineStr">
        <is>
          <t>Rafael Gurrola</t>
        </is>
      </c>
      <c r="L314" s="81" t="n">
        <v>1135</v>
      </c>
      <c r="M314" s="81">
        <f>Y314</f>
        <v/>
      </c>
      <c r="N314" s="82" t="n">
        <v>45686</v>
      </c>
      <c r="O314" s="82" t="n">
        <v>45686</v>
      </c>
      <c r="P314" s="82" t="n">
        <v>46165</v>
      </c>
      <c r="R314" s="81">
        <f>SUM(AB314:AK314)</f>
        <v/>
      </c>
      <c r="S314" s="81">
        <f>SUM(AM314:AQ314)</f>
        <v/>
      </c>
      <c r="T314" s="81">
        <f>SUM(AS314:AW314)</f>
        <v/>
      </c>
      <c r="Y314" s="81" t="n">
        <v>1110</v>
      </c>
    </row>
    <row r="315">
      <c r="A315" s="72">
        <f>$D$27</f>
        <v/>
      </c>
      <c r="B315" s="72">
        <f>B314+1</f>
        <v/>
      </c>
      <c r="C315" s="72">
        <f>IF(K315="Vacant","Vac",IF(K315="Model","Model",IF(K315="Admin","Admin",IF(K315="Down","Down",IF(K315="Super","Super","Occ")))))</f>
        <v/>
      </c>
      <c r="D315" s="72">
        <f>INDEX($C$5:$C$14,MATCH(I315,$D$5:$D$14,0))</f>
        <v/>
      </c>
      <c r="E315" s="72">
        <f>INDEX($E$5:$E$14,MATCH(D315,$C$5:$C$14,0))</f>
        <v/>
      </c>
      <c r="F315" s="72">
        <f>INDEX($F$5:$F$14,MATCH(D315,$C$5:$C$14,0))</f>
        <v/>
      </c>
      <c r="G315" s="72">
        <f>INDEX($G$5:$G$14,MATCH(D315,$C$5:$C$14,0))</f>
        <v/>
      </c>
      <c r="H315" s="72" t="inlineStr">
        <is>
          <t>J08</t>
        </is>
      </c>
      <c r="I315" s="72" t="inlineStr">
        <is>
          <t>stjt2A1</t>
        </is>
      </c>
      <c r="J315" s="80" t="n">
        <v>850</v>
      </c>
      <c r="K315" s="72" t="inlineStr">
        <is>
          <t>VACANT</t>
        </is>
      </c>
      <c r="L315" s="81" t="n">
        <v>990</v>
      </c>
      <c r="M315" s="81">
        <f>Y315</f>
        <v/>
      </c>
      <c r="R315" s="81">
        <f>SUM(AB315:AK315)</f>
        <v/>
      </c>
      <c r="S315" s="81">
        <f>SUM(AM315:AQ315)</f>
        <v/>
      </c>
      <c r="T315" s="81">
        <f>SUM(AS315:AW315)</f>
        <v/>
      </c>
      <c r="Y315" s="81" t="n">
        <v>0</v>
      </c>
    </row>
    <row r="316">
      <c r="A316" s="72">
        <f>$D$27</f>
        <v/>
      </c>
      <c r="B316" s="72">
        <f>B315+1</f>
        <v/>
      </c>
      <c r="C316" s="72">
        <f>IF(K316="Vacant","Vac",IF(K316="Model","Model",IF(K316="Admin","Admin",IF(K316="Down","Down",IF(K316="Super","Super","Occ")))))</f>
        <v/>
      </c>
      <c r="D316" s="72">
        <f>INDEX($C$5:$C$14,MATCH(I316,$D$5:$D$14,0))</f>
        <v/>
      </c>
      <c r="E316" s="72">
        <f>INDEX($E$5:$E$14,MATCH(D316,$C$5:$C$14,0))</f>
        <v/>
      </c>
      <c r="F316" s="72">
        <f>INDEX($F$5:$F$14,MATCH(D316,$C$5:$C$14,0))</f>
        <v/>
      </c>
      <c r="G316" s="72">
        <f>INDEX($G$5:$G$14,MATCH(D316,$C$5:$C$14,0))</f>
        <v/>
      </c>
      <c r="H316" s="72" t="inlineStr">
        <is>
          <t>J09</t>
        </is>
      </c>
      <c r="I316" s="72" t="inlineStr">
        <is>
          <t>stjt2B1</t>
        </is>
      </c>
      <c r="J316" s="80" t="n">
        <v>950</v>
      </c>
      <c r="K316" s="72" t="inlineStr">
        <is>
          <t>Armando Torres Torres</t>
        </is>
      </c>
      <c r="L316" s="81" t="n">
        <v>1035</v>
      </c>
      <c r="M316" s="81">
        <f>Y316</f>
        <v/>
      </c>
      <c r="N316" s="82" t="n">
        <v>45590</v>
      </c>
      <c r="O316" s="82" t="n">
        <v>45590</v>
      </c>
      <c r="P316" s="82" t="n">
        <v>46319</v>
      </c>
      <c r="R316" s="81">
        <f>SUM(AB316:AK316)</f>
        <v/>
      </c>
      <c r="S316" s="81">
        <f>SUM(AM316:AQ316)</f>
        <v/>
      </c>
      <c r="T316" s="81">
        <f>SUM(AS316:AW316)</f>
        <v/>
      </c>
      <c r="Y316" s="81" t="n">
        <v>1044</v>
      </c>
    </row>
    <row r="317">
      <c r="A317" s="72">
        <f>$D$27</f>
        <v/>
      </c>
      <c r="B317" s="72">
        <f>B316+1</f>
        <v/>
      </c>
      <c r="C317" s="72">
        <f>IF(K317="Vacant","Vac",IF(K317="Model","Model",IF(K317="Admin","Admin",IF(K317="Down","Down",IF(K317="Super","Super","Occ")))))</f>
        <v/>
      </c>
      <c r="D317" s="72">
        <f>INDEX($C$5:$C$14,MATCH(I317,$D$5:$D$14,0))</f>
        <v/>
      </c>
      <c r="E317" s="72">
        <f>INDEX($E$5:$E$14,MATCH(D317,$C$5:$C$14,0))</f>
        <v/>
      </c>
      <c r="F317" s="72">
        <f>INDEX($F$5:$F$14,MATCH(D317,$C$5:$C$14,0))</f>
        <v/>
      </c>
      <c r="G317" s="72">
        <f>INDEX($G$5:$G$14,MATCH(D317,$C$5:$C$14,0))</f>
        <v/>
      </c>
      <c r="H317" s="72" t="inlineStr">
        <is>
          <t>J10</t>
        </is>
      </c>
      <c r="I317" s="72" t="inlineStr">
        <is>
          <t>stjt2A1R</t>
        </is>
      </c>
      <c r="J317" s="80" t="n">
        <v>850</v>
      </c>
      <c r="K317" s="72" t="inlineStr">
        <is>
          <t>Joel Swiatkowski</t>
        </is>
      </c>
      <c r="L317" s="81" t="n">
        <v>1055</v>
      </c>
      <c r="M317" s="81">
        <f>Y317</f>
        <v/>
      </c>
      <c r="N317" s="82" t="n">
        <v>45688</v>
      </c>
      <c r="O317" s="82" t="n">
        <v>45688</v>
      </c>
      <c r="P317" s="82" t="n">
        <v>46233</v>
      </c>
      <c r="R317" s="81">
        <f>SUM(AB317:AK317)</f>
        <v/>
      </c>
      <c r="S317" s="81">
        <f>SUM(AM317:AQ317)</f>
        <v/>
      </c>
      <c r="T317" s="81">
        <f>SUM(AS317:AW317)</f>
        <v/>
      </c>
      <c r="Y317" s="81" t="n">
        <v>1015</v>
      </c>
    </row>
    <row r="318">
      <c r="A318" s="72">
        <f>$D$27</f>
        <v/>
      </c>
      <c r="B318" s="72">
        <f>B317+1</f>
        <v/>
      </c>
      <c r="C318" s="72">
        <f>IF(K318="Vacant","Vac",IF(K318="Model","Model",IF(K318="Admin","Admin",IF(K318="Down","Down",IF(K318="Super","Super","Occ")))))</f>
        <v/>
      </c>
      <c r="D318" s="72">
        <f>INDEX($C$5:$C$14,MATCH(I318,$D$5:$D$14,0))</f>
        <v/>
      </c>
      <c r="E318" s="72">
        <f>INDEX($E$5:$E$14,MATCH(D318,$C$5:$C$14,0))</f>
        <v/>
      </c>
      <c r="F318" s="72">
        <f>INDEX($F$5:$F$14,MATCH(D318,$C$5:$C$14,0))</f>
        <v/>
      </c>
      <c r="G318" s="72">
        <f>INDEX($G$5:$G$14,MATCH(D318,$C$5:$C$14,0))</f>
        <v/>
      </c>
      <c r="H318" s="72" t="inlineStr">
        <is>
          <t>J11</t>
        </is>
      </c>
      <c r="I318" s="72" t="inlineStr">
        <is>
          <t>stjt2B1R</t>
        </is>
      </c>
      <c r="J318" s="80" t="n">
        <v>950</v>
      </c>
      <c r="K318" s="72" t="inlineStr">
        <is>
          <t>Kyla Smith</t>
        </is>
      </c>
      <c r="L318" s="81" t="n">
        <v>1135</v>
      </c>
      <c r="M318" s="81">
        <f>Y318</f>
        <v/>
      </c>
      <c r="N318" s="82" t="n">
        <v>45920</v>
      </c>
      <c r="O318" s="82" t="n">
        <v>45920</v>
      </c>
      <c r="P318" s="82" t="n">
        <v>46465</v>
      </c>
      <c r="R318" s="81">
        <f>SUM(AB318:AK318)</f>
        <v/>
      </c>
      <c r="S318" s="81">
        <f>SUM(AM318:AQ318)</f>
        <v/>
      </c>
      <c r="T318" s="81">
        <f>SUM(AS318:AW318)</f>
        <v/>
      </c>
      <c r="Y318" s="81" t="n">
        <v>1075</v>
      </c>
    </row>
    <row r="319">
      <c r="A319" s="72">
        <f>$D$27</f>
        <v/>
      </c>
      <c r="B319" s="72">
        <f>B318+1</f>
        <v/>
      </c>
      <c r="C319" s="72">
        <f>IF(K319="Vacant","Vac",IF(K319="Model","Model",IF(K319="Admin","Admin",IF(K319="Down","Down",IF(K319="Super","Super","Occ")))))</f>
        <v/>
      </c>
      <c r="D319" s="72">
        <f>INDEX($C$5:$C$14,MATCH(I319,$D$5:$D$14,0))</f>
        <v/>
      </c>
      <c r="E319" s="72">
        <f>INDEX($E$5:$E$14,MATCH(D319,$C$5:$C$14,0))</f>
        <v/>
      </c>
      <c r="F319" s="72">
        <f>INDEX($F$5:$F$14,MATCH(D319,$C$5:$C$14,0))</f>
        <v/>
      </c>
      <c r="G319" s="72">
        <f>INDEX($G$5:$G$14,MATCH(D319,$C$5:$C$14,0))</f>
        <v/>
      </c>
      <c r="H319" s="72" t="inlineStr">
        <is>
          <t>J12</t>
        </is>
      </c>
      <c r="I319" s="72" t="inlineStr">
        <is>
          <t>stjt2A1R</t>
        </is>
      </c>
      <c r="J319" s="80" t="n">
        <v>850</v>
      </c>
      <c r="K319" s="72" t="inlineStr">
        <is>
          <t>Jermeisha Gardner</t>
        </is>
      </c>
      <c r="L319" s="81" t="n">
        <v>1055</v>
      </c>
      <c r="M319" s="81">
        <f>Y319</f>
        <v/>
      </c>
      <c r="N319" s="82" t="n">
        <v>45833</v>
      </c>
      <c r="O319" s="82" t="n">
        <v>45833</v>
      </c>
      <c r="P319" s="82" t="n">
        <v>46380</v>
      </c>
      <c r="R319" s="81">
        <f>SUM(AB319:AK319)</f>
        <v/>
      </c>
      <c r="S319" s="81">
        <f>SUM(AM319:AQ319)</f>
        <v/>
      </c>
      <c r="T319" s="81">
        <f>SUM(AS319:AW319)</f>
        <v/>
      </c>
      <c r="Y319" s="81" t="n">
        <v>1040</v>
      </c>
    </row>
    <row r="320">
      <c r="A320" s="72">
        <f>$D$27</f>
        <v/>
      </c>
      <c r="B320" s="72">
        <f>B319+1</f>
        <v/>
      </c>
      <c r="C320" s="72">
        <f>IF(K320="Vacant","Vac",IF(K320="Model","Model",IF(K320="Admin","Admin",IF(K320="Down","Down",IF(K320="Super","Super","Occ")))))</f>
        <v/>
      </c>
      <c r="D320" s="72">
        <f>INDEX($C$5:$C$14,MATCH(I320,$D$5:$D$14,0))</f>
        <v/>
      </c>
      <c r="E320" s="72">
        <f>INDEX($E$5:$E$14,MATCH(D320,$C$5:$C$14,0))</f>
        <v/>
      </c>
      <c r="F320" s="72">
        <f>INDEX($F$5:$F$14,MATCH(D320,$C$5:$C$14,0))</f>
        <v/>
      </c>
      <c r="G320" s="72">
        <f>INDEX($G$5:$G$14,MATCH(D320,$C$5:$C$14,0))</f>
        <v/>
      </c>
      <c r="H320" s="72" t="inlineStr">
        <is>
          <t>J13</t>
        </is>
      </c>
      <c r="I320" s="72" t="inlineStr">
        <is>
          <t>stjt2B1R</t>
        </is>
      </c>
      <c r="J320" s="80" t="n">
        <v>950</v>
      </c>
      <c r="K320" s="72" t="inlineStr">
        <is>
          <t>Vincent Brown</t>
        </is>
      </c>
      <c r="L320" s="81" t="n">
        <v>1120</v>
      </c>
      <c r="M320" s="81">
        <f>Y320</f>
        <v/>
      </c>
      <c r="N320" s="82" t="n">
        <v>45120</v>
      </c>
      <c r="O320" s="82" t="n">
        <v>45120</v>
      </c>
      <c r="P320" s="82" t="n">
        <v>46215</v>
      </c>
      <c r="R320" s="81">
        <f>SUM(AB320:AK320)</f>
        <v/>
      </c>
      <c r="S320" s="81">
        <f>SUM(AM320:AQ320)</f>
        <v/>
      </c>
      <c r="T320" s="81">
        <f>SUM(AS320:AW320)</f>
        <v/>
      </c>
      <c r="Y320" s="81" t="n">
        <v>1070</v>
      </c>
    </row>
    <row r="321">
      <c r="A321" s="72">
        <f>$D$27</f>
        <v/>
      </c>
      <c r="B321" s="72">
        <f>B320+1</f>
        <v/>
      </c>
      <c r="C321" s="72">
        <f>IF(K321="Vacant","Vac",IF(K321="Model","Model",IF(K321="Admin","Admin",IF(K321="Down","Down",IF(K321="Super","Super","Occ")))))</f>
        <v/>
      </c>
      <c r="D321" s="72">
        <f>INDEX($C$5:$C$14,MATCH(I321,$D$5:$D$14,0))</f>
        <v/>
      </c>
      <c r="E321" s="72">
        <f>INDEX($E$5:$E$14,MATCH(D321,$C$5:$C$14,0))</f>
        <v/>
      </c>
      <c r="F321" s="72">
        <f>INDEX($F$5:$F$14,MATCH(D321,$C$5:$C$14,0))</f>
        <v/>
      </c>
      <c r="G321" s="72">
        <f>INDEX($G$5:$G$14,MATCH(D321,$C$5:$C$14,0))</f>
        <v/>
      </c>
      <c r="H321" s="72" t="inlineStr">
        <is>
          <t>J14</t>
        </is>
      </c>
      <c r="I321" s="72" t="inlineStr">
        <is>
          <t>stjt2B1R</t>
        </is>
      </c>
      <c r="J321" s="80" t="n">
        <v>950</v>
      </c>
      <c r="K321" s="72" t="inlineStr">
        <is>
          <t>Micah Williams-Witt</t>
        </is>
      </c>
      <c r="L321" s="81" t="n">
        <v>1120</v>
      </c>
      <c r="M321" s="81">
        <f>Y321</f>
        <v/>
      </c>
      <c r="N321" s="82" t="n">
        <v>45575</v>
      </c>
      <c r="O321" s="82" t="n">
        <v>45575</v>
      </c>
      <c r="P321" s="82" t="n">
        <v>46304</v>
      </c>
      <c r="R321" s="81">
        <f>SUM(AB321:AK321)</f>
        <v/>
      </c>
      <c r="S321" s="81">
        <f>SUM(AM321:AQ321)</f>
        <v/>
      </c>
      <c r="T321" s="81">
        <f>SUM(AS321:AW321)</f>
        <v/>
      </c>
      <c r="Y321" s="81" t="n">
        <v>1080</v>
      </c>
    </row>
    <row r="322">
      <c r="A322" s="72">
        <f>$D$27</f>
        <v/>
      </c>
      <c r="B322" s="72">
        <f>B321+1</f>
        <v/>
      </c>
      <c r="C322" s="72">
        <f>IF(K322="Vacant","Vac",IF(K322="Model","Model",IF(K322="Admin","Admin",IF(K322="Down","Down",IF(K322="Super","Super","Occ")))))</f>
        <v/>
      </c>
      <c r="D322" s="72">
        <f>INDEX($C$5:$C$14,MATCH(I322,$D$5:$D$14,0))</f>
        <v/>
      </c>
      <c r="E322" s="72">
        <f>INDEX($E$5:$E$14,MATCH(D322,$C$5:$C$14,0))</f>
        <v/>
      </c>
      <c r="F322" s="72">
        <f>INDEX($F$5:$F$14,MATCH(D322,$C$5:$C$14,0))</f>
        <v/>
      </c>
      <c r="G322" s="72">
        <f>INDEX($G$5:$G$14,MATCH(D322,$C$5:$C$14,0))</f>
        <v/>
      </c>
      <c r="H322" s="72" t="inlineStr">
        <is>
          <t>J15</t>
        </is>
      </c>
      <c r="I322" s="72" t="inlineStr">
        <is>
          <t>stjt2B1R</t>
        </is>
      </c>
      <c r="J322" s="80" t="n">
        <v>950</v>
      </c>
      <c r="K322" s="72" t="inlineStr">
        <is>
          <t>Jose Aguilar</t>
        </is>
      </c>
      <c r="L322" s="81" t="n">
        <v>1185</v>
      </c>
      <c r="M322" s="81">
        <f>Y322</f>
        <v/>
      </c>
      <c r="N322" s="82" t="n">
        <v>46112</v>
      </c>
      <c r="O322" s="82" t="n">
        <v>46112</v>
      </c>
      <c r="P322" s="82" t="n">
        <v>46476</v>
      </c>
      <c r="R322" s="81">
        <f>SUM(AB322:AK322)</f>
        <v/>
      </c>
      <c r="S322" s="81">
        <f>SUM(AM322:AQ322)</f>
        <v/>
      </c>
      <c r="T322" s="81">
        <f>SUM(AS322:AW322)</f>
        <v/>
      </c>
      <c r="Y322" s="81" t="n">
        <v>1185</v>
      </c>
    </row>
    <row r="323">
      <c r="A323" s="72">
        <f>$D$27</f>
        <v/>
      </c>
      <c r="B323" s="72">
        <f>B322+1</f>
        <v/>
      </c>
      <c r="C323" s="72">
        <f>IF(K323="Vacant","Vac",IF(K323="Model","Model",IF(K323="Admin","Admin",IF(K323="Down","Down",IF(K323="Super","Super","Occ")))))</f>
        <v/>
      </c>
      <c r="D323" s="72">
        <f>INDEX($C$5:$C$14,MATCH(I323,$D$5:$D$14,0))</f>
        <v/>
      </c>
      <c r="E323" s="72">
        <f>INDEX($E$5:$E$14,MATCH(D323,$C$5:$C$14,0))</f>
        <v/>
      </c>
      <c r="F323" s="72">
        <f>INDEX($F$5:$F$14,MATCH(D323,$C$5:$C$14,0))</f>
        <v/>
      </c>
      <c r="G323" s="72">
        <f>INDEX($G$5:$G$14,MATCH(D323,$C$5:$C$14,0))</f>
        <v/>
      </c>
      <c r="H323" s="72" t="inlineStr">
        <is>
          <t>J16</t>
        </is>
      </c>
      <c r="I323" s="72" t="inlineStr">
        <is>
          <t>stjt2B1</t>
        </is>
      </c>
      <c r="J323" s="80" t="n">
        <v>950</v>
      </c>
      <c r="K323" s="72" t="inlineStr">
        <is>
          <t>Adam Flach</t>
        </is>
      </c>
      <c r="L323" s="81" t="n">
        <v>1085</v>
      </c>
      <c r="M323" s="81">
        <f>Y323</f>
        <v/>
      </c>
      <c r="N323" s="82" t="n">
        <v>46053</v>
      </c>
      <c r="O323" s="82" t="n">
        <v>46053</v>
      </c>
      <c r="P323" s="82" t="n">
        <v>46417</v>
      </c>
      <c r="R323" s="81">
        <f>SUM(AB323:AK323)</f>
        <v/>
      </c>
      <c r="S323" s="81">
        <f>SUM(AM323:AQ323)</f>
        <v/>
      </c>
      <c r="T323" s="81">
        <f>SUM(AS323:AW323)</f>
        <v/>
      </c>
      <c r="Y323" s="81" t="n">
        <v>944</v>
      </c>
    </row>
    <row r="324">
      <c r="A324" s="72">
        <f>$D$27</f>
        <v/>
      </c>
      <c r="B324" s="72">
        <f>B323+1</f>
        <v/>
      </c>
      <c r="C324" s="72">
        <f>IF(K324="Vacant","Vac",IF(K324="Model","Model",IF(K324="Admin","Admin",IF(K324="Down","Down",IF(K324="Super","Super","Occ")))))</f>
        <v/>
      </c>
      <c r="D324" s="72">
        <f>INDEX($C$5:$C$14,MATCH(I324,$D$5:$D$14,0))</f>
        <v/>
      </c>
      <c r="E324" s="72">
        <f>INDEX($E$5:$E$14,MATCH(D324,$C$5:$C$14,0))</f>
        <v/>
      </c>
      <c r="F324" s="72">
        <f>INDEX($F$5:$F$14,MATCH(D324,$C$5:$C$14,0))</f>
        <v/>
      </c>
      <c r="G324" s="72">
        <f>INDEX($G$5:$G$14,MATCH(D324,$C$5:$C$14,0))</f>
        <v/>
      </c>
      <c r="H324" s="72" t="inlineStr">
        <is>
          <t>J17</t>
        </is>
      </c>
      <c r="I324" s="72" t="inlineStr">
        <is>
          <t>stjt2B1R</t>
        </is>
      </c>
      <c r="J324" s="80" t="n">
        <v>950</v>
      </c>
      <c r="K324" s="72" t="inlineStr">
        <is>
          <t>Matthew Warrener</t>
        </is>
      </c>
      <c r="L324" s="81" t="n">
        <v>1135</v>
      </c>
      <c r="M324" s="81">
        <f>Y324</f>
        <v/>
      </c>
      <c r="N324" s="82" t="n">
        <v>45786</v>
      </c>
      <c r="O324" s="82" t="n">
        <v>45786</v>
      </c>
      <c r="P324" s="82" t="n">
        <v>46515</v>
      </c>
      <c r="R324" s="81">
        <f>SUM(AB324:AK324)</f>
        <v/>
      </c>
      <c r="S324" s="81">
        <f>SUM(AM324:AQ324)</f>
        <v/>
      </c>
      <c r="T324" s="81">
        <f>SUM(AS324:AW324)</f>
        <v/>
      </c>
      <c r="Y324" s="81" t="n">
        <v>1080</v>
      </c>
    </row>
    <row r="325">
      <c r="A325" s="72">
        <f>$D$27</f>
        <v/>
      </c>
      <c r="B325" s="72">
        <f>B324+1</f>
        <v/>
      </c>
      <c r="C325" s="72">
        <f>IF(K325="Vacant","Vac",IF(K325="Model","Model",IF(K325="Admin","Admin",IF(K325="Down","Down",IF(K325="Super","Super","Occ")))))</f>
        <v/>
      </c>
      <c r="D325" s="72">
        <f>INDEX($C$5:$C$14,MATCH(I325,$D$5:$D$14,0))</f>
        <v/>
      </c>
      <c r="E325" s="72">
        <f>INDEX($E$5:$E$14,MATCH(D325,$C$5:$C$14,0))</f>
        <v/>
      </c>
      <c r="F325" s="72">
        <f>INDEX($F$5:$F$14,MATCH(D325,$C$5:$C$14,0))</f>
        <v/>
      </c>
      <c r="G325" s="72">
        <f>INDEX($G$5:$G$14,MATCH(D325,$C$5:$C$14,0))</f>
        <v/>
      </c>
      <c r="H325" s="72" t="inlineStr">
        <is>
          <t>J18</t>
        </is>
      </c>
      <c r="I325" s="72" t="inlineStr">
        <is>
          <t>stjt2B1R</t>
        </is>
      </c>
      <c r="J325" s="80" t="n">
        <v>950</v>
      </c>
      <c r="K325" s="72" t="inlineStr">
        <is>
          <t>Jacqueline Hudson</t>
        </is>
      </c>
      <c r="L325" s="81" t="n">
        <v>1135</v>
      </c>
      <c r="M325" s="81">
        <f>Y325</f>
        <v/>
      </c>
      <c r="N325" s="82" t="n">
        <v>45469</v>
      </c>
      <c r="O325" s="82" t="n">
        <v>45469</v>
      </c>
      <c r="P325" s="82" t="n">
        <v>46198</v>
      </c>
      <c r="R325" s="81">
        <f>SUM(AB325:AK325)</f>
        <v/>
      </c>
      <c r="S325" s="81">
        <f>SUM(AM325:AQ325)</f>
        <v/>
      </c>
      <c r="T325" s="81">
        <f>SUM(AS325:AW325)</f>
        <v/>
      </c>
      <c r="Y325" s="81" t="n">
        <v>1060</v>
      </c>
    </row>
    <row r="326">
      <c r="A326" s="72">
        <f>$D$27</f>
        <v/>
      </c>
      <c r="B326" s="72">
        <f>B325+1</f>
        <v/>
      </c>
      <c r="C326" s="72">
        <f>IF(K326="Vacant","Vac",IF(K326="Model","Model",IF(K326="Admin","Admin",IF(K326="Down","Down",IF(K326="Super","Super","Occ")))))</f>
        <v/>
      </c>
      <c r="D326" s="72">
        <f>INDEX($C$5:$C$14,MATCH(I326,$D$5:$D$14,0))</f>
        <v/>
      </c>
      <c r="E326" s="72">
        <f>INDEX($E$5:$E$14,MATCH(D326,$C$5:$C$14,0))</f>
        <v/>
      </c>
      <c r="F326" s="72">
        <f>INDEX($F$5:$F$14,MATCH(D326,$C$5:$C$14,0))</f>
        <v/>
      </c>
      <c r="G326" s="72">
        <f>INDEX($G$5:$G$14,MATCH(D326,$C$5:$C$14,0))</f>
        <v/>
      </c>
      <c r="H326" s="72" t="inlineStr">
        <is>
          <t>J19</t>
        </is>
      </c>
      <c r="I326" s="72" t="inlineStr">
        <is>
          <t>stjt2B1R</t>
        </is>
      </c>
      <c r="J326" s="80" t="n">
        <v>950</v>
      </c>
      <c r="K326" s="72" t="inlineStr">
        <is>
          <t>Leron Brown</t>
        </is>
      </c>
      <c r="L326" s="81" t="n">
        <v>1135</v>
      </c>
      <c r="M326" s="81">
        <f>Y326</f>
        <v/>
      </c>
      <c r="N326" s="82" t="n">
        <v>46095</v>
      </c>
      <c r="O326" s="82" t="n">
        <v>46095</v>
      </c>
      <c r="P326" s="82" t="n">
        <v>46459</v>
      </c>
      <c r="R326" s="81">
        <f>SUM(AB326:AK326)</f>
        <v/>
      </c>
      <c r="S326" s="81">
        <f>SUM(AM326:AQ326)</f>
        <v/>
      </c>
      <c r="T326" s="81">
        <f>SUM(AS326:AW326)</f>
        <v/>
      </c>
      <c r="Y326" s="81" t="n">
        <v>1125</v>
      </c>
    </row>
    <row r="327">
      <c r="A327" s="72">
        <f>$D$27</f>
        <v/>
      </c>
      <c r="B327" s="72">
        <f>B326+1</f>
        <v/>
      </c>
      <c r="C327" s="72">
        <f>IF(K327="Vacant","Vac",IF(K327="Model","Model",IF(K327="Admin","Admin",IF(K327="Down","Down",IF(K327="Super","Super","Occ")))))</f>
        <v/>
      </c>
      <c r="D327" s="72">
        <f>INDEX($C$5:$C$14,MATCH(I327,$D$5:$D$14,0))</f>
        <v/>
      </c>
      <c r="E327" s="72">
        <f>INDEX($E$5:$E$14,MATCH(D327,$C$5:$C$14,0))</f>
        <v/>
      </c>
      <c r="F327" s="72">
        <f>INDEX($F$5:$F$14,MATCH(D327,$C$5:$C$14,0))</f>
        <v/>
      </c>
      <c r="G327" s="72">
        <f>INDEX($G$5:$G$14,MATCH(D327,$C$5:$C$14,0))</f>
        <v/>
      </c>
      <c r="H327" s="72" t="inlineStr">
        <is>
          <t>J20</t>
        </is>
      </c>
      <c r="I327" s="72" t="inlineStr">
        <is>
          <t>stjt2B1R</t>
        </is>
      </c>
      <c r="J327" s="80" t="n">
        <v>950</v>
      </c>
      <c r="K327" s="72" t="inlineStr">
        <is>
          <t>Katherine Sangalli</t>
        </is>
      </c>
      <c r="L327" s="81" t="n">
        <v>1135</v>
      </c>
      <c r="M327" s="81">
        <f>Y327</f>
        <v/>
      </c>
      <c r="N327" s="82" t="n">
        <v>45747</v>
      </c>
      <c r="O327" s="82" t="n">
        <v>45747</v>
      </c>
      <c r="P327" s="82" t="n">
        <v>46111</v>
      </c>
      <c r="R327" s="81">
        <f>SUM(AB327:AK327)</f>
        <v/>
      </c>
      <c r="S327" s="81">
        <f>SUM(AM327:AQ327)</f>
        <v/>
      </c>
      <c r="T327" s="81">
        <f>SUM(AS327:AW327)</f>
        <v/>
      </c>
      <c r="Y327" s="81" t="n">
        <v>1060</v>
      </c>
    </row>
    <row r="328">
      <c r="A328" s="72">
        <f>$D$27</f>
        <v/>
      </c>
      <c r="B328" s="72">
        <f>B327+1</f>
        <v/>
      </c>
      <c r="C328" s="72">
        <f>IF(K328="Vacant","Vac",IF(K328="Model","Model",IF(K328="Admin","Admin",IF(K328="Down","Down",IF(K328="Super","Super","Occ")))))</f>
        <v/>
      </c>
      <c r="D328" s="72">
        <f>INDEX($C$5:$C$14,MATCH(I328,$D$5:$D$14,0))</f>
        <v/>
      </c>
      <c r="E328" s="72">
        <f>INDEX($E$5:$E$14,MATCH(D328,$C$5:$C$14,0))</f>
        <v/>
      </c>
      <c r="F328" s="72">
        <f>INDEX($F$5:$F$14,MATCH(D328,$C$5:$C$14,0))</f>
        <v/>
      </c>
      <c r="G328" s="72">
        <f>INDEX($G$5:$G$14,MATCH(D328,$C$5:$C$14,0))</f>
        <v/>
      </c>
      <c r="H328" s="72" t="inlineStr">
        <is>
          <t>J21</t>
        </is>
      </c>
      <c r="I328" s="72" t="inlineStr">
        <is>
          <t>stjt2B1</t>
        </is>
      </c>
      <c r="J328" s="80" t="n">
        <v>950</v>
      </c>
      <c r="K328" s="72" t="inlineStr">
        <is>
          <t>Logan Desai</t>
        </is>
      </c>
      <c r="L328" s="81" t="n">
        <v>1035</v>
      </c>
      <c r="M328" s="81">
        <f>Y328</f>
        <v/>
      </c>
      <c r="N328" s="82" t="n">
        <v>46083</v>
      </c>
      <c r="O328" s="82" t="n">
        <v>46083</v>
      </c>
      <c r="P328" s="82" t="n">
        <v>46447</v>
      </c>
      <c r="R328" s="81">
        <f>SUM(AB328:AK328)</f>
        <v/>
      </c>
      <c r="S328" s="81">
        <f>SUM(AM328:AQ328)</f>
        <v/>
      </c>
      <c r="T328" s="81">
        <f>SUM(AS328:AW328)</f>
        <v/>
      </c>
      <c r="Y328" s="81" t="n">
        <v>1025</v>
      </c>
    </row>
    <row r="329">
      <c r="A329" s="72">
        <f>$D$27</f>
        <v/>
      </c>
      <c r="B329" s="72">
        <f>B328+1</f>
        <v/>
      </c>
      <c r="C329" s="72">
        <f>IF(K329="Vacant","Vac",IF(K329="Model","Model",IF(K329="Admin","Admin",IF(K329="Down","Down",IF(K329="Super","Super","Occ")))))</f>
        <v/>
      </c>
      <c r="D329" s="72">
        <f>INDEX($C$5:$C$14,MATCH(I329,$D$5:$D$14,0))</f>
        <v/>
      </c>
      <c r="E329" s="72">
        <f>INDEX($E$5:$E$14,MATCH(D329,$C$5:$C$14,0))</f>
        <v/>
      </c>
      <c r="F329" s="72">
        <f>INDEX($F$5:$F$14,MATCH(D329,$C$5:$C$14,0))</f>
        <v/>
      </c>
      <c r="G329" s="72">
        <f>INDEX($G$5:$G$14,MATCH(D329,$C$5:$C$14,0))</f>
        <v/>
      </c>
      <c r="H329" s="72" t="inlineStr">
        <is>
          <t>J22</t>
        </is>
      </c>
      <c r="I329" s="72" t="inlineStr">
        <is>
          <t>stjt2B1</t>
        </is>
      </c>
      <c r="J329" s="80" t="n">
        <v>950</v>
      </c>
      <c r="K329" s="72" t="inlineStr">
        <is>
          <t>Sadekh Bousso</t>
        </is>
      </c>
      <c r="L329" s="81" t="n">
        <v>1035</v>
      </c>
      <c r="M329" s="81">
        <f>Y329</f>
        <v/>
      </c>
      <c r="N329" s="82" t="n">
        <v>45891</v>
      </c>
      <c r="O329" s="82" t="n">
        <v>45891</v>
      </c>
      <c r="P329" s="82" t="n">
        <v>46255</v>
      </c>
      <c r="R329" s="81">
        <f>SUM(AB329:AK329)</f>
        <v/>
      </c>
      <c r="S329" s="81">
        <f>SUM(AM329:AQ329)</f>
        <v/>
      </c>
      <c r="T329" s="81">
        <f>SUM(AS329:AW329)</f>
        <v/>
      </c>
      <c r="Y329" s="81" t="n">
        <v>1025</v>
      </c>
    </row>
    <row r="330">
      <c r="A330" s="72">
        <f>$D$27</f>
        <v/>
      </c>
      <c r="B330" s="72">
        <f>B329+1</f>
        <v/>
      </c>
      <c r="C330" s="72">
        <f>IF(K330="Vacant","Vac",IF(K330="Model","Model",IF(K330="Admin","Admin",IF(K330="Down","Down",IF(K330="Super","Super","Occ")))))</f>
        <v/>
      </c>
      <c r="D330" s="72">
        <f>INDEX($C$5:$C$14,MATCH(I330,$D$5:$D$14,0))</f>
        <v/>
      </c>
      <c r="E330" s="72">
        <f>INDEX($E$5:$E$14,MATCH(D330,$C$5:$C$14,0))</f>
        <v/>
      </c>
      <c r="F330" s="72">
        <f>INDEX($F$5:$F$14,MATCH(D330,$C$5:$C$14,0))</f>
        <v/>
      </c>
      <c r="G330" s="72">
        <f>INDEX($G$5:$G$14,MATCH(D330,$C$5:$C$14,0))</f>
        <v/>
      </c>
      <c r="H330" s="72" t="inlineStr">
        <is>
          <t>J23</t>
        </is>
      </c>
      <c r="I330" s="72" t="inlineStr">
        <is>
          <t>stjt2B1</t>
        </is>
      </c>
      <c r="J330" s="80" t="n">
        <v>950</v>
      </c>
      <c r="K330" s="72" t="inlineStr">
        <is>
          <t>Sabrina Woodruff</t>
        </is>
      </c>
      <c r="L330" s="81" t="n">
        <v>1035</v>
      </c>
      <c r="M330" s="81">
        <f>Y330</f>
        <v/>
      </c>
      <c r="N330" s="82" t="n">
        <v>45626</v>
      </c>
      <c r="O330" s="82" t="n">
        <v>45626</v>
      </c>
      <c r="P330" s="82" t="n">
        <v>46171</v>
      </c>
      <c r="R330" s="81">
        <f>SUM(AB330:AK330)</f>
        <v/>
      </c>
      <c r="S330" s="81">
        <f>SUM(AM330:AQ330)</f>
        <v/>
      </c>
      <c r="T330" s="81">
        <f>SUM(AS330:AW330)</f>
        <v/>
      </c>
      <c r="Y330" s="81" t="n">
        <v>899</v>
      </c>
    </row>
    <row r="331">
      <c r="A331" s="72">
        <f>$D$27</f>
        <v/>
      </c>
      <c r="B331" s="72">
        <f>B330+1</f>
        <v/>
      </c>
      <c r="C331" s="72">
        <f>IF(K331="Vacant","Vac",IF(K331="Model","Model",IF(K331="Admin","Admin",IF(K331="Down","Down",IF(K331="Super","Super","Occ")))))</f>
        <v/>
      </c>
      <c r="D331" s="72">
        <f>INDEX($C$5:$C$14,MATCH(I331,$D$5:$D$14,0))</f>
        <v/>
      </c>
      <c r="E331" s="72">
        <f>INDEX($E$5:$E$14,MATCH(D331,$C$5:$C$14,0))</f>
        <v/>
      </c>
      <c r="F331" s="72">
        <f>INDEX($F$5:$F$14,MATCH(D331,$C$5:$C$14,0))</f>
        <v/>
      </c>
      <c r="G331" s="72">
        <f>INDEX($G$5:$G$14,MATCH(D331,$C$5:$C$14,0))</f>
        <v/>
      </c>
      <c r="H331" s="72" t="inlineStr">
        <is>
          <t>J24</t>
        </is>
      </c>
      <c r="I331" s="72" t="inlineStr">
        <is>
          <t>stjt2B1</t>
        </is>
      </c>
      <c r="J331" s="80" t="n">
        <v>950</v>
      </c>
      <c r="K331" s="72" t="inlineStr">
        <is>
          <t>Tyler Terrell</t>
        </is>
      </c>
      <c r="L331" s="81" t="n">
        <v>1035</v>
      </c>
      <c r="M331" s="81">
        <f>Y331</f>
        <v/>
      </c>
      <c r="N331" s="82" t="n">
        <v>44916</v>
      </c>
      <c r="O331" s="82" t="n">
        <v>44916</v>
      </c>
      <c r="P331" s="82" t="n">
        <v>46193</v>
      </c>
      <c r="R331" s="81">
        <f>SUM(AB331:AK331)</f>
        <v/>
      </c>
      <c r="S331" s="81">
        <f>SUM(AM331:AQ331)</f>
        <v/>
      </c>
      <c r="T331" s="81">
        <f>SUM(AS331:AW331)</f>
        <v/>
      </c>
      <c r="Y331" s="81" t="n">
        <v>1014</v>
      </c>
    </row>
    <row r="332">
      <c r="A332" s="72">
        <f>$D$27</f>
        <v/>
      </c>
      <c r="B332" s="72">
        <f>B331+1</f>
        <v/>
      </c>
      <c r="C332" s="72">
        <f>IF(K332="Vacant","Vac",IF(K332="Model","Model",IF(K332="Admin","Admin",IF(K332="Down","Down",IF(K332="Super","Super","Occ")))))</f>
        <v/>
      </c>
      <c r="D332" s="72">
        <f>INDEX($C$5:$C$14,MATCH(I332,$D$5:$D$14,0))</f>
        <v/>
      </c>
      <c r="E332" s="72">
        <f>INDEX($E$5:$E$14,MATCH(D332,$C$5:$C$14,0))</f>
        <v/>
      </c>
      <c r="F332" s="72">
        <f>INDEX($F$5:$F$14,MATCH(D332,$C$5:$C$14,0))</f>
        <v/>
      </c>
      <c r="G332" s="72">
        <f>INDEX($G$5:$G$14,MATCH(D332,$C$5:$C$14,0))</f>
        <v/>
      </c>
      <c r="H332" s="72" t="inlineStr">
        <is>
          <t>J25</t>
        </is>
      </c>
      <c r="I332" s="72" t="inlineStr">
        <is>
          <t>stjt2A1</t>
        </is>
      </c>
      <c r="J332" s="80" t="n">
        <v>850</v>
      </c>
      <c r="K332" s="72" t="inlineStr">
        <is>
          <t>VACANT</t>
        </is>
      </c>
      <c r="L332" s="81" t="n">
        <v>990</v>
      </c>
      <c r="M332" s="81">
        <f>Y332</f>
        <v/>
      </c>
      <c r="R332" s="81">
        <f>SUM(AB332:AK332)</f>
        <v/>
      </c>
      <c r="S332" s="81">
        <f>SUM(AM332:AQ332)</f>
        <v/>
      </c>
      <c r="T332" s="81">
        <f>SUM(AS332:AW332)</f>
        <v/>
      </c>
      <c r="Y332" s="81" t="n">
        <v>0</v>
      </c>
    </row>
    <row r="333">
      <c r="A333" s="72">
        <f>$D$27</f>
        <v/>
      </c>
      <c r="B333" s="72">
        <f>B332+1</f>
        <v/>
      </c>
      <c r="C333" s="72">
        <f>IF(K333="Vacant","Vac",IF(K333="Model","Model",IF(K333="Admin","Admin",IF(K333="Down","Down",IF(K333="Super","Super","Occ")))))</f>
        <v/>
      </c>
      <c r="D333" s="72">
        <f>INDEX($C$5:$C$14,MATCH(I333,$D$5:$D$14,0))</f>
        <v/>
      </c>
      <c r="E333" s="72">
        <f>INDEX($E$5:$E$14,MATCH(D333,$C$5:$C$14,0))</f>
        <v/>
      </c>
      <c r="F333" s="72">
        <f>INDEX($F$5:$F$14,MATCH(D333,$C$5:$C$14,0))</f>
        <v/>
      </c>
      <c r="G333" s="72">
        <f>INDEX($G$5:$G$14,MATCH(D333,$C$5:$C$14,0))</f>
        <v/>
      </c>
      <c r="H333" s="72" t="inlineStr">
        <is>
          <t>J26</t>
        </is>
      </c>
      <c r="I333" s="72" t="inlineStr">
        <is>
          <t>stjt2B1</t>
        </is>
      </c>
      <c r="J333" s="80" t="n">
        <v>950</v>
      </c>
      <c r="K333" s="72" t="inlineStr">
        <is>
          <t>Brittany Morrow</t>
        </is>
      </c>
      <c r="L333" s="81" t="n">
        <v>1020</v>
      </c>
      <c r="M333" s="81">
        <f>Y333</f>
        <v/>
      </c>
      <c r="N333" s="82" t="n">
        <v>45660</v>
      </c>
      <c r="O333" s="82" t="n">
        <v>45660</v>
      </c>
      <c r="P333" s="82" t="n">
        <v>46205</v>
      </c>
      <c r="R333" s="81">
        <f>SUM(AB333:AK333)</f>
        <v/>
      </c>
      <c r="S333" s="81">
        <f>SUM(AM333:AQ333)</f>
        <v/>
      </c>
      <c r="T333" s="81">
        <f>SUM(AS333:AW333)</f>
        <v/>
      </c>
      <c r="Y333" s="81" t="n">
        <v>950</v>
      </c>
    </row>
    <row r="334">
      <c r="A334" s="72">
        <f>$D$27</f>
        <v/>
      </c>
      <c r="B334" s="72">
        <f>B333+1</f>
        <v/>
      </c>
      <c r="C334" s="72">
        <f>IF(K334="Vacant","Vac",IF(K334="Model","Model",IF(K334="Admin","Admin",IF(K334="Down","Down",IF(K334="Super","Super","Occ")))))</f>
        <v/>
      </c>
      <c r="D334" s="72">
        <f>INDEX($C$5:$C$14,MATCH(I334,$D$5:$D$14,0))</f>
        <v/>
      </c>
      <c r="E334" s="72">
        <f>INDEX($E$5:$E$14,MATCH(D334,$C$5:$C$14,0))</f>
        <v/>
      </c>
      <c r="F334" s="72">
        <f>INDEX($F$5:$F$14,MATCH(D334,$C$5:$C$14,0))</f>
        <v/>
      </c>
      <c r="G334" s="72">
        <f>INDEX($G$5:$G$14,MATCH(D334,$C$5:$C$14,0))</f>
        <v/>
      </c>
      <c r="H334" s="72" t="inlineStr">
        <is>
          <t>J27</t>
        </is>
      </c>
      <c r="I334" s="72" t="inlineStr">
        <is>
          <t>stjt2A1R</t>
        </is>
      </c>
      <c r="J334" s="80" t="n">
        <v>850</v>
      </c>
      <c r="K334" s="72" t="inlineStr">
        <is>
          <t>Jadyn Walker</t>
        </is>
      </c>
      <c r="L334" s="81" t="n">
        <v>1040</v>
      </c>
      <c r="M334" s="81">
        <f>Y334</f>
        <v/>
      </c>
      <c r="N334" s="82" t="n">
        <v>45261</v>
      </c>
      <c r="O334" s="82" t="n">
        <v>45261</v>
      </c>
      <c r="P334" s="82" t="n">
        <v>46326</v>
      </c>
      <c r="R334" s="81">
        <f>SUM(AB334:AK334)</f>
        <v/>
      </c>
      <c r="S334" s="81">
        <f>SUM(AM334:AQ334)</f>
        <v/>
      </c>
      <c r="T334" s="81">
        <f>SUM(AS334:AW334)</f>
        <v/>
      </c>
      <c r="Y334" s="81" t="n">
        <v>1025</v>
      </c>
    </row>
    <row r="335">
      <c r="A335" s="72">
        <f>$D$27</f>
        <v/>
      </c>
      <c r="B335" s="72">
        <f>B334+1</f>
        <v/>
      </c>
      <c r="C335" s="72">
        <f>IF(K335="Vacant","Vac",IF(K335="Model","Model",IF(K335="Admin","Admin",IF(K335="Down","Down",IF(K335="Super","Super","Occ")))))</f>
        <v/>
      </c>
      <c r="D335" s="72">
        <f>INDEX($C$5:$C$14,MATCH(I335,$D$5:$D$14,0))</f>
        <v/>
      </c>
      <c r="E335" s="72">
        <f>INDEX($E$5:$E$14,MATCH(D335,$C$5:$C$14,0))</f>
        <v/>
      </c>
      <c r="F335" s="72">
        <f>INDEX($F$5:$F$14,MATCH(D335,$C$5:$C$14,0))</f>
        <v/>
      </c>
      <c r="G335" s="72">
        <f>INDEX($G$5:$G$14,MATCH(D335,$C$5:$C$14,0))</f>
        <v/>
      </c>
      <c r="H335" s="72" t="inlineStr">
        <is>
          <t>J28</t>
        </is>
      </c>
      <c r="I335" s="72" t="inlineStr">
        <is>
          <t>stjt2B1R</t>
        </is>
      </c>
      <c r="J335" s="80" t="n">
        <v>950</v>
      </c>
      <c r="K335" s="72" t="inlineStr">
        <is>
          <t>Mark Carrico</t>
        </is>
      </c>
      <c r="L335" s="81" t="n">
        <v>1120</v>
      </c>
      <c r="M335" s="81">
        <f>Y335</f>
        <v/>
      </c>
      <c r="N335" s="82" t="n">
        <v>45642</v>
      </c>
      <c r="O335" s="82" t="n">
        <v>45642</v>
      </c>
      <c r="P335" s="82" t="n">
        <v>46188</v>
      </c>
      <c r="R335" s="81">
        <f>SUM(AB335:AK335)</f>
        <v/>
      </c>
      <c r="S335" s="81">
        <f>SUM(AM335:AQ335)</f>
        <v/>
      </c>
      <c r="T335" s="81">
        <f>SUM(AS335:AW335)</f>
        <v/>
      </c>
      <c r="Y335" s="81" t="n">
        <v>1035</v>
      </c>
    </row>
    <row r="336">
      <c r="A336" s="72">
        <f>$D$27</f>
        <v/>
      </c>
      <c r="B336" s="72">
        <f>B335+1</f>
        <v/>
      </c>
      <c r="C336" s="72">
        <f>IF(K336="Vacant","Vac",IF(K336="Model","Model",IF(K336="Admin","Admin",IF(K336="Down","Down",IF(K336="Super","Super","Occ")))))</f>
        <v/>
      </c>
      <c r="D336" s="72">
        <f>INDEX($C$5:$C$14,MATCH(I336,$D$5:$D$14,0))</f>
        <v/>
      </c>
      <c r="E336" s="72">
        <f>INDEX($E$5:$E$14,MATCH(D336,$C$5:$C$14,0))</f>
        <v/>
      </c>
      <c r="F336" s="72">
        <f>INDEX($F$5:$F$14,MATCH(D336,$C$5:$C$14,0))</f>
        <v/>
      </c>
      <c r="G336" s="72">
        <f>INDEX($G$5:$G$14,MATCH(D336,$C$5:$C$14,0))</f>
        <v/>
      </c>
      <c r="H336" s="72" t="inlineStr">
        <is>
          <t>J29</t>
        </is>
      </c>
      <c r="I336" s="72" t="inlineStr">
        <is>
          <t>stjt2A1</t>
        </is>
      </c>
      <c r="J336" s="80" t="n">
        <v>850</v>
      </c>
      <c r="K336" s="72" t="inlineStr">
        <is>
          <t>Vickie Godfrey</t>
        </is>
      </c>
      <c r="L336" s="81" t="n">
        <v>990</v>
      </c>
      <c r="M336" s="81">
        <f>Y336</f>
        <v/>
      </c>
      <c r="N336" s="82" t="n">
        <v>45821</v>
      </c>
      <c r="O336" s="82" t="n">
        <v>45821</v>
      </c>
      <c r="P336" s="82" t="n">
        <v>46185</v>
      </c>
      <c r="R336" s="81">
        <f>SUM(AB336:AK336)</f>
        <v/>
      </c>
      <c r="S336" s="81">
        <f>SUM(AM336:AQ336)</f>
        <v/>
      </c>
      <c r="T336" s="81">
        <f>SUM(AS336:AW336)</f>
        <v/>
      </c>
      <c r="Y336" s="81" t="n">
        <v>925</v>
      </c>
    </row>
    <row r="337">
      <c r="A337" s="72">
        <f>$D$27</f>
        <v/>
      </c>
      <c r="B337" s="72">
        <f>B336+1</f>
        <v/>
      </c>
      <c r="C337" s="72">
        <f>IF(K337="Vacant","Vac",IF(K337="Model","Model",IF(K337="Admin","Admin",IF(K337="Down","Down",IF(K337="Super","Super","Occ")))))</f>
        <v/>
      </c>
      <c r="D337" s="72">
        <f>INDEX($C$5:$C$14,MATCH(I337,$D$5:$D$14,0))</f>
        <v/>
      </c>
      <c r="E337" s="72">
        <f>INDEX($E$5:$E$14,MATCH(D337,$C$5:$C$14,0))</f>
        <v/>
      </c>
      <c r="F337" s="72">
        <f>INDEX($F$5:$F$14,MATCH(D337,$C$5:$C$14,0))</f>
        <v/>
      </c>
      <c r="G337" s="72">
        <f>INDEX($G$5:$G$14,MATCH(D337,$C$5:$C$14,0))</f>
        <v/>
      </c>
      <c r="H337" s="72" t="inlineStr">
        <is>
          <t>J30</t>
        </is>
      </c>
      <c r="I337" s="72" t="inlineStr">
        <is>
          <t>stjt2B1</t>
        </is>
      </c>
      <c r="J337" s="80" t="n">
        <v>950</v>
      </c>
      <c r="K337" s="72" t="inlineStr">
        <is>
          <t>Marissa Edelman</t>
        </is>
      </c>
      <c r="L337" s="81" t="n">
        <v>1035</v>
      </c>
      <c r="M337" s="81">
        <f>Y337</f>
        <v/>
      </c>
      <c r="N337" s="82" t="n">
        <v>46158</v>
      </c>
      <c r="O337" s="82" t="n">
        <v>46158</v>
      </c>
      <c r="P337" s="82" t="n">
        <v>46583</v>
      </c>
      <c r="R337" s="81">
        <f>SUM(AB337:AK337)</f>
        <v/>
      </c>
      <c r="S337" s="81">
        <f>SUM(AM337:AQ337)</f>
        <v/>
      </c>
      <c r="T337" s="81">
        <f>SUM(AS337:AW337)</f>
        <v/>
      </c>
      <c r="Y337" s="81" t="n">
        <v>965</v>
      </c>
    </row>
    <row r="338">
      <c r="A338" s="72">
        <f>$D$27</f>
        <v/>
      </c>
      <c r="B338" s="72">
        <f>B337+1</f>
        <v/>
      </c>
      <c r="C338" s="72">
        <f>IF(K338="Vacant","Vac",IF(K338="Model","Model",IF(K338="Admin","Admin",IF(K338="Down","Down",IF(K338="Super","Super","Occ")))))</f>
        <v/>
      </c>
      <c r="D338" s="72">
        <f>INDEX($C$5:$C$14,MATCH(I338,$D$5:$D$14,0))</f>
        <v/>
      </c>
      <c r="E338" s="72">
        <f>INDEX($E$5:$E$14,MATCH(D338,$C$5:$C$14,0))</f>
        <v/>
      </c>
      <c r="F338" s="72">
        <f>INDEX($F$5:$F$14,MATCH(D338,$C$5:$C$14,0))</f>
        <v/>
      </c>
      <c r="G338" s="72">
        <f>INDEX($G$5:$G$14,MATCH(D338,$C$5:$C$14,0))</f>
        <v/>
      </c>
      <c r="H338" s="72" t="inlineStr">
        <is>
          <t>J31</t>
        </is>
      </c>
      <c r="I338" s="72" t="inlineStr">
        <is>
          <t>stjt2A1</t>
        </is>
      </c>
      <c r="J338" s="80" t="n">
        <v>850</v>
      </c>
      <c r="K338" s="72" t="inlineStr">
        <is>
          <t>Larice Malone</t>
        </is>
      </c>
      <c r="L338" s="81" t="n">
        <v>1010</v>
      </c>
      <c r="M338" s="81">
        <f>Y338</f>
        <v/>
      </c>
      <c r="N338" s="82" t="n">
        <v>46052</v>
      </c>
      <c r="O338" s="82" t="n">
        <v>46052</v>
      </c>
      <c r="P338" s="82" t="n">
        <v>46416</v>
      </c>
      <c r="R338" s="81">
        <f>SUM(AB338:AK338)</f>
        <v/>
      </c>
      <c r="S338" s="81">
        <f>SUM(AM338:AQ338)</f>
        <v/>
      </c>
      <c r="T338" s="81">
        <f>SUM(AS338:AW338)</f>
        <v/>
      </c>
      <c r="Y338" s="81" t="n">
        <v>995</v>
      </c>
    </row>
    <row r="339">
      <c r="A339" s="72">
        <f>$D$27</f>
        <v/>
      </c>
      <c r="B339" s="72">
        <f>B338+1</f>
        <v/>
      </c>
      <c r="C339" s="72">
        <f>IF(K339="Vacant","Vac",IF(K339="Model","Model",IF(K339="Admin","Admin",IF(K339="Down","Down",IF(K339="Super","Super","Occ")))))</f>
        <v/>
      </c>
      <c r="D339" s="72">
        <f>INDEX($C$5:$C$14,MATCH(I339,$D$5:$D$14,0))</f>
        <v/>
      </c>
      <c r="E339" s="72">
        <f>INDEX($E$5:$E$14,MATCH(D339,$C$5:$C$14,0))</f>
        <v/>
      </c>
      <c r="F339" s="72">
        <f>INDEX($F$5:$F$14,MATCH(D339,$C$5:$C$14,0))</f>
        <v/>
      </c>
      <c r="G339" s="72">
        <f>INDEX($G$5:$G$14,MATCH(D339,$C$5:$C$14,0))</f>
        <v/>
      </c>
      <c r="H339" s="72" t="inlineStr">
        <is>
          <t>J32</t>
        </is>
      </c>
      <c r="I339" s="72" t="inlineStr">
        <is>
          <t>stjt2B1</t>
        </is>
      </c>
      <c r="J339" s="80" t="n">
        <v>950</v>
      </c>
      <c r="K339" s="72" t="inlineStr">
        <is>
          <t>Andrew Fulks</t>
        </is>
      </c>
      <c r="L339" s="81" t="n">
        <v>1035</v>
      </c>
      <c r="M339" s="81">
        <f>Y339</f>
        <v/>
      </c>
      <c r="N339" s="82" t="n">
        <v>46094</v>
      </c>
      <c r="O339" s="82" t="n">
        <v>46094</v>
      </c>
      <c r="P339" s="82" t="n">
        <v>46458</v>
      </c>
      <c r="R339" s="81">
        <f>SUM(AB339:AK339)</f>
        <v/>
      </c>
      <c r="S339" s="81">
        <f>SUM(AM339:AQ339)</f>
        <v/>
      </c>
      <c r="T339" s="81">
        <f>SUM(AS339:AW339)</f>
        <v/>
      </c>
      <c r="Y339" s="81" t="n">
        <v>1025</v>
      </c>
    </row>
    <row r="340">
      <c r="A340" s="72">
        <f>$D$27</f>
        <v/>
      </c>
      <c r="B340" s="72">
        <f>B339+1</f>
        <v/>
      </c>
      <c r="C340" s="72">
        <f>IF(K340="Vacant","Vac",IF(K340="Model","Model",IF(K340="Admin","Admin",IF(K340="Down","Down",IF(K340="Super","Super","Occ")))))</f>
        <v/>
      </c>
      <c r="D340" s="72">
        <f>INDEX($C$5:$C$14,MATCH(I340,$D$5:$D$14,0))</f>
        <v/>
      </c>
      <c r="E340" s="72">
        <f>INDEX($E$5:$E$14,MATCH(D340,$C$5:$C$14,0))</f>
        <v/>
      </c>
      <c r="F340" s="72">
        <f>INDEX($F$5:$F$14,MATCH(D340,$C$5:$C$14,0))</f>
        <v/>
      </c>
      <c r="G340" s="72">
        <f>INDEX($G$5:$G$14,MATCH(D340,$C$5:$C$14,0))</f>
        <v/>
      </c>
      <c r="H340" s="72" t="inlineStr">
        <is>
          <t>J33</t>
        </is>
      </c>
      <c r="I340" s="72" t="inlineStr">
        <is>
          <t>stjt2A1R</t>
        </is>
      </c>
      <c r="J340" s="80" t="n">
        <v>850</v>
      </c>
      <c r="K340" s="72" t="inlineStr">
        <is>
          <t>Ashley Vincent</t>
        </is>
      </c>
      <c r="L340" s="81" t="n">
        <v>1055</v>
      </c>
      <c r="M340" s="81">
        <f>Y340</f>
        <v/>
      </c>
      <c r="N340" s="82" t="n">
        <v>45860</v>
      </c>
      <c r="O340" s="82" t="n">
        <v>45860</v>
      </c>
      <c r="P340" s="82" t="n">
        <v>46255</v>
      </c>
      <c r="R340" s="81">
        <f>SUM(AB340:AK340)</f>
        <v/>
      </c>
      <c r="S340" s="81">
        <f>SUM(AM340:AQ340)</f>
        <v/>
      </c>
      <c r="T340" s="81">
        <f>SUM(AS340:AW340)</f>
        <v/>
      </c>
      <c r="Y340" s="81" t="n">
        <v>1040</v>
      </c>
    </row>
    <row r="341">
      <c r="A341" s="72">
        <f>$D$27</f>
        <v/>
      </c>
      <c r="B341" s="72">
        <f>B340+1</f>
        <v/>
      </c>
      <c r="C341" s="72">
        <f>IF(K341="Vacant","Vac",IF(K341="Model","Model",IF(K341="Admin","Admin",IF(K341="Down","Down",IF(K341="Super","Super","Occ")))))</f>
        <v/>
      </c>
      <c r="D341" s="72">
        <f>INDEX($C$5:$C$14,MATCH(I341,$D$5:$D$14,0))</f>
        <v/>
      </c>
      <c r="E341" s="72">
        <f>INDEX($E$5:$E$14,MATCH(D341,$C$5:$C$14,0))</f>
        <v/>
      </c>
      <c r="F341" s="72">
        <f>INDEX($F$5:$F$14,MATCH(D341,$C$5:$C$14,0))</f>
        <v/>
      </c>
      <c r="G341" s="72">
        <f>INDEX($G$5:$G$14,MATCH(D341,$C$5:$C$14,0))</f>
        <v/>
      </c>
      <c r="H341" s="72" t="inlineStr">
        <is>
          <t>J34</t>
        </is>
      </c>
      <c r="I341" s="72" t="inlineStr">
        <is>
          <t>stjt2B1</t>
        </is>
      </c>
      <c r="J341" s="80" t="n">
        <v>950</v>
      </c>
      <c r="K341" s="72" t="inlineStr">
        <is>
          <t>Frederick Whitehouse Iv</t>
        </is>
      </c>
      <c r="L341" s="81" t="n">
        <v>1055</v>
      </c>
      <c r="M341" s="81">
        <f>Y341</f>
        <v/>
      </c>
      <c r="N341" s="82" t="n">
        <v>45835</v>
      </c>
      <c r="O341" s="82" t="n">
        <v>45835</v>
      </c>
      <c r="P341" s="82" t="n">
        <v>46199</v>
      </c>
      <c r="R341" s="81">
        <f>SUM(AB341:AK341)</f>
        <v/>
      </c>
      <c r="S341" s="81">
        <f>SUM(AM341:AQ341)</f>
        <v/>
      </c>
      <c r="T341" s="81">
        <f>SUM(AS341:AW341)</f>
        <v/>
      </c>
      <c r="Y341" s="81" t="n">
        <v>1045</v>
      </c>
    </row>
    <row r="342">
      <c r="A342" s="72">
        <f>$D$27</f>
        <v/>
      </c>
      <c r="B342" s="72">
        <f>B341+1</f>
        <v/>
      </c>
      <c r="C342" s="72">
        <f>IF(K342="Vacant","Vac",IF(K342="Model","Model",IF(K342="Admin","Admin",IF(K342="Down","Down",IF(K342="Super","Super","Occ")))))</f>
        <v/>
      </c>
      <c r="D342" s="72">
        <f>INDEX($C$5:$C$14,MATCH(I342,$D$5:$D$14,0))</f>
        <v/>
      </c>
      <c r="E342" s="72">
        <f>INDEX($E$5:$E$14,MATCH(D342,$C$5:$C$14,0))</f>
        <v/>
      </c>
      <c r="F342" s="72">
        <f>INDEX($F$5:$F$14,MATCH(D342,$C$5:$C$14,0))</f>
        <v/>
      </c>
      <c r="G342" s="72">
        <f>INDEX($G$5:$G$14,MATCH(D342,$C$5:$C$14,0))</f>
        <v/>
      </c>
      <c r="H342" s="72" t="inlineStr">
        <is>
          <t>J35</t>
        </is>
      </c>
      <c r="I342" s="72" t="inlineStr">
        <is>
          <t>stjt2A1</t>
        </is>
      </c>
      <c r="J342" s="80" t="n">
        <v>850</v>
      </c>
      <c r="K342" s="72" t="inlineStr">
        <is>
          <t>Kieffer Baxter</t>
        </is>
      </c>
      <c r="L342" s="81" t="n">
        <v>990</v>
      </c>
      <c r="M342" s="81">
        <f>Y342</f>
        <v/>
      </c>
      <c r="N342" s="82" t="n">
        <v>46150</v>
      </c>
      <c r="O342" s="82" t="n">
        <v>46150</v>
      </c>
      <c r="P342" s="82" t="n">
        <v>46575</v>
      </c>
      <c r="R342" s="81">
        <f>SUM(AB342:AK342)</f>
        <v/>
      </c>
      <c r="S342" s="81">
        <f>SUM(AM342:AQ342)</f>
        <v/>
      </c>
      <c r="T342" s="81">
        <f>SUM(AS342:AW342)</f>
        <v/>
      </c>
      <c r="Y342" s="81" t="n">
        <v>990</v>
      </c>
    </row>
    <row r="343">
      <c r="A343" s="72">
        <f>$D$27</f>
        <v/>
      </c>
      <c r="B343" s="72">
        <f>B342+1</f>
        <v/>
      </c>
      <c r="C343" s="72">
        <f>IF(K343="Vacant","Vac",IF(K343="Model","Model",IF(K343="Admin","Admin",IF(K343="Down","Down",IF(K343="Super","Super","Occ")))))</f>
        <v/>
      </c>
      <c r="D343" s="72">
        <f>INDEX($C$5:$C$14,MATCH(I343,$D$5:$D$14,0))</f>
        <v/>
      </c>
      <c r="E343" s="72">
        <f>INDEX($E$5:$E$14,MATCH(D343,$C$5:$C$14,0))</f>
        <v/>
      </c>
      <c r="F343" s="72">
        <f>INDEX($F$5:$F$14,MATCH(D343,$C$5:$C$14,0))</f>
        <v/>
      </c>
      <c r="G343" s="72">
        <f>INDEX($G$5:$G$14,MATCH(D343,$C$5:$C$14,0))</f>
        <v/>
      </c>
      <c r="H343" s="72" t="inlineStr">
        <is>
          <t>J36</t>
        </is>
      </c>
      <c r="I343" s="72" t="inlineStr">
        <is>
          <t>stjt2B1</t>
        </is>
      </c>
      <c r="J343" s="80" t="n">
        <v>950</v>
      </c>
      <c r="K343" s="72" t="inlineStr">
        <is>
          <t>Jasmine Colon</t>
        </is>
      </c>
      <c r="L343" s="81" t="n">
        <v>1035</v>
      </c>
      <c r="M343" s="81">
        <f>Y343</f>
        <v/>
      </c>
      <c r="N343" s="82" t="n">
        <v>45940</v>
      </c>
      <c r="O343" s="82" t="n">
        <v>45940</v>
      </c>
      <c r="P343" s="82" t="n">
        <v>46304</v>
      </c>
      <c r="R343" s="81">
        <f>SUM(AB343:AK343)</f>
        <v/>
      </c>
      <c r="S343" s="81">
        <f>SUM(AM343:AQ343)</f>
        <v/>
      </c>
      <c r="T343" s="81">
        <f>SUM(AS343:AW343)</f>
        <v/>
      </c>
      <c r="Y343" s="81" t="n">
        <v>1025</v>
      </c>
    </row>
    <row r="344">
      <c r="A344" s="72">
        <f>$D$27</f>
        <v/>
      </c>
      <c r="B344" s="72">
        <f>B343+1</f>
        <v/>
      </c>
      <c r="C344" s="72">
        <f>IF(K344="Vacant","Vac",IF(K344="Model","Model",IF(K344="Admin","Admin",IF(K344="Down","Down",IF(K344="Super","Super","Occ")))))</f>
        <v/>
      </c>
      <c r="D344" s="72">
        <f>INDEX($C$5:$C$14,MATCH(I344,$D$5:$D$14,0))</f>
        <v/>
      </c>
      <c r="E344" s="72">
        <f>INDEX($E$5:$E$14,MATCH(D344,$C$5:$C$14,0))</f>
        <v/>
      </c>
      <c r="F344" s="72">
        <f>INDEX($F$5:$F$14,MATCH(D344,$C$5:$C$14,0))</f>
        <v/>
      </c>
      <c r="G344" s="72">
        <f>INDEX($G$5:$G$14,MATCH(D344,$C$5:$C$14,0))</f>
        <v/>
      </c>
      <c r="H344" s="72" t="inlineStr">
        <is>
          <t>K37</t>
        </is>
      </c>
      <c r="I344" s="72" t="inlineStr">
        <is>
          <t>stjt2A1R</t>
        </is>
      </c>
      <c r="J344" s="80" t="n">
        <v>850</v>
      </c>
      <c r="K344" s="72" t="inlineStr">
        <is>
          <t>Lawrence Omeara</t>
        </is>
      </c>
      <c r="L344" s="81" t="n">
        <v>1040</v>
      </c>
      <c r="M344" s="81">
        <f>Y344</f>
        <v/>
      </c>
      <c r="N344" s="82" t="n">
        <v>46081</v>
      </c>
      <c r="O344" s="82" t="n">
        <v>46081</v>
      </c>
      <c r="P344" s="82" t="n">
        <v>46810</v>
      </c>
      <c r="R344" s="81">
        <f>SUM(AB344:AK344)</f>
        <v/>
      </c>
      <c r="S344" s="81">
        <f>SUM(AM344:AQ344)</f>
        <v/>
      </c>
      <c r="T344" s="81">
        <f>SUM(AS344:AW344)</f>
        <v/>
      </c>
      <c r="Y344" s="81" t="n">
        <v>1025</v>
      </c>
    </row>
    <row r="345">
      <c r="A345" s="72">
        <f>$D$27</f>
        <v/>
      </c>
      <c r="B345" s="72">
        <f>B344+1</f>
        <v/>
      </c>
      <c r="C345" s="72">
        <f>IF(K345="Vacant","Vac",IF(K345="Model","Model",IF(K345="Admin","Admin",IF(K345="Down","Down",IF(K345="Super","Super","Occ")))))</f>
        <v/>
      </c>
      <c r="D345" s="72">
        <f>INDEX($C$5:$C$14,MATCH(I345,$D$5:$D$14,0))</f>
        <v/>
      </c>
      <c r="E345" s="72">
        <f>INDEX($E$5:$E$14,MATCH(D345,$C$5:$C$14,0))</f>
        <v/>
      </c>
      <c r="F345" s="72">
        <f>INDEX($F$5:$F$14,MATCH(D345,$C$5:$C$14,0))</f>
        <v/>
      </c>
      <c r="G345" s="72">
        <f>INDEX($G$5:$G$14,MATCH(D345,$C$5:$C$14,0))</f>
        <v/>
      </c>
      <c r="H345" s="72" t="inlineStr">
        <is>
          <t>K38</t>
        </is>
      </c>
      <c r="I345" s="72" t="inlineStr">
        <is>
          <t>stjt2C2</t>
        </is>
      </c>
      <c r="J345" s="80" t="n">
        <v>1075</v>
      </c>
      <c r="K345" s="72" t="inlineStr">
        <is>
          <t>Delicia Bradley</t>
        </is>
      </c>
      <c r="L345" s="81" t="n">
        <v>1265</v>
      </c>
      <c r="M345" s="81">
        <f>Y345</f>
        <v/>
      </c>
      <c r="N345" s="82" t="n">
        <v>46051</v>
      </c>
      <c r="O345" s="82" t="n">
        <v>46051</v>
      </c>
      <c r="P345" s="82" t="n">
        <v>46415</v>
      </c>
      <c r="R345" s="81">
        <f>SUM(AB345:AK345)</f>
        <v/>
      </c>
      <c r="S345" s="81">
        <f>SUM(AM345:AQ345)</f>
        <v/>
      </c>
      <c r="T345" s="81">
        <f>SUM(AS345:AW345)</f>
        <v/>
      </c>
      <c r="Y345" s="81" t="n">
        <v>1250</v>
      </c>
    </row>
    <row r="346">
      <c r="A346" s="72">
        <f>$D$27</f>
        <v/>
      </c>
      <c r="B346" s="72">
        <f>B345+1</f>
        <v/>
      </c>
      <c r="C346" s="72">
        <f>IF(K346="Vacant","Vac",IF(K346="Model","Model",IF(K346="Admin","Admin",IF(K346="Down","Down",IF(K346="Super","Super","Occ")))))</f>
        <v/>
      </c>
      <c r="D346" s="72">
        <f>INDEX($C$5:$C$14,MATCH(I346,$D$5:$D$14,0))</f>
        <v/>
      </c>
      <c r="E346" s="72">
        <f>INDEX($E$5:$E$14,MATCH(D346,$C$5:$C$14,0))</f>
        <v/>
      </c>
      <c r="F346" s="72">
        <f>INDEX($F$5:$F$14,MATCH(D346,$C$5:$C$14,0))</f>
        <v/>
      </c>
      <c r="G346" s="72">
        <f>INDEX($G$5:$G$14,MATCH(D346,$C$5:$C$14,0))</f>
        <v/>
      </c>
      <c r="H346" s="72" t="inlineStr">
        <is>
          <t>K39</t>
        </is>
      </c>
      <c r="I346" s="72" t="inlineStr">
        <is>
          <t>stjt2A1R</t>
        </is>
      </c>
      <c r="J346" s="80" t="n">
        <v>850</v>
      </c>
      <c r="K346" s="72" t="inlineStr">
        <is>
          <t>Alejandro Pedro Diaz Obrina</t>
        </is>
      </c>
      <c r="L346" s="81" t="n">
        <v>1040</v>
      </c>
      <c r="M346" s="81">
        <f>Y346</f>
        <v/>
      </c>
      <c r="N346" s="82" t="n">
        <v>45722</v>
      </c>
      <c r="O346" s="82" t="n">
        <v>45722</v>
      </c>
      <c r="P346" s="82" t="n">
        <v>46178</v>
      </c>
      <c r="R346" s="81">
        <f>SUM(AB346:AK346)</f>
        <v/>
      </c>
      <c r="S346" s="81">
        <f>SUM(AM346:AQ346)</f>
        <v/>
      </c>
      <c r="T346" s="81">
        <f>SUM(AS346:AW346)</f>
        <v/>
      </c>
      <c r="Y346" s="81" t="n">
        <v>1000</v>
      </c>
    </row>
    <row r="347">
      <c r="A347" s="72">
        <f>$D$27</f>
        <v/>
      </c>
      <c r="B347" s="72">
        <f>B346+1</f>
        <v/>
      </c>
      <c r="C347" s="72">
        <f>IF(K347="Vacant","Vac",IF(K347="Model","Model",IF(K347="Admin","Admin",IF(K347="Down","Down",IF(K347="Super","Super","Occ")))))</f>
        <v/>
      </c>
      <c r="D347" s="72">
        <f>INDEX($C$5:$C$14,MATCH(I347,$D$5:$D$14,0))</f>
        <v/>
      </c>
      <c r="E347" s="72">
        <f>INDEX($E$5:$E$14,MATCH(D347,$C$5:$C$14,0))</f>
        <v/>
      </c>
      <c r="F347" s="72">
        <f>INDEX($F$5:$F$14,MATCH(D347,$C$5:$C$14,0))</f>
        <v/>
      </c>
      <c r="G347" s="72">
        <f>INDEX($G$5:$G$14,MATCH(D347,$C$5:$C$14,0))</f>
        <v/>
      </c>
      <c r="H347" s="72" t="inlineStr">
        <is>
          <t>K40</t>
        </is>
      </c>
      <c r="I347" s="72" t="inlineStr">
        <is>
          <t>stjt2C2R</t>
        </is>
      </c>
      <c r="J347" s="80" t="n">
        <v>1075</v>
      </c>
      <c r="K347" s="72" t="inlineStr">
        <is>
          <t>Kisha Parrish</t>
        </is>
      </c>
      <c r="L347" s="81" t="n">
        <v>1399</v>
      </c>
      <c r="M347" s="81">
        <f>Y347</f>
        <v/>
      </c>
      <c r="N347" s="82" t="n">
        <v>45562</v>
      </c>
      <c r="O347" s="82" t="n">
        <v>45562</v>
      </c>
      <c r="P347" s="82" t="n">
        <v>46291</v>
      </c>
      <c r="R347" s="81">
        <f>SUM(AB347:AK347)</f>
        <v/>
      </c>
      <c r="S347" s="81">
        <f>SUM(AM347:AQ347)</f>
        <v/>
      </c>
      <c r="T347" s="81">
        <f>SUM(AS347:AW347)</f>
        <v/>
      </c>
      <c r="Y347" s="81" t="n">
        <v>1332</v>
      </c>
    </row>
    <row r="348">
      <c r="A348" s="72">
        <f>$D$27</f>
        <v/>
      </c>
      <c r="B348" s="72">
        <f>B347+1</f>
        <v/>
      </c>
      <c r="C348" s="72">
        <f>IF(K348="Vacant","Vac",IF(K348="Model","Model",IF(K348="Admin","Admin",IF(K348="Down","Down",IF(K348="Super","Super","Occ")))))</f>
        <v/>
      </c>
      <c r="D348" s="72">
        <f>INDEX($C$5:$C$14,MATCH(I348,$D$5:$D$14,0))</f>
        <v/>
      </c>
      <c r="E348" s="72">
        <f>INDEX($E$5:$E$14,MATCH(D348,$C$5:$C$14,0))</f>
        <v/>
      </c>
      <c r="F348" s="72">
        <f>INDEX($F$5:$F$14,MATCH(D348,$C$5:$C$14,0))</f>
        <v/>
      </c>
      <c r="G348" s="72">
        <f>INDEX($G$5:$G$14,MATCH(D348,$C$5:$C$14,0))</f>
        <v/>
      </c>
      <c r="H348" s="72" t="inlineStr">
        <is>
          <t>K41</t>
        </is>
      </c>
      <c r="I348" s="72" t="inlineStr">
        <is>
          <t>stjt2A1R</t>
        </is>
      </c>
      <c r="J348" s="80" t="n">
        <v>850</v>
      </c>
      <c r="K348" s="72" t="inlineStr">
        <is>
          <t>Cheryl Brogan</t>
        </is>
      </c>
      <c r="L348" s="81" t="n">
        <v>1055</v>
      </c>
      <c r="M348" s="81">
        <f>Y348</f>
        <v/>
      </c>
      <c r="N348" s="82" t="n">
        <v>45716</v>
      </c>
      <c r="O348" s="82" t="n">
        <v>45716</v>
      </c>
      <c r="P348" s="82" t="n">
        <v>46445</v>
      </c>
      <c r="R348" s="81">
        <f>SUM(AB348:AK348)</f>
        <v/>
      </c>
      <c r="S348" s="81">
        <f>SUM(AM348:AQ348)</f>
        <v/>
      </c>
      <c r="T348" s="81">
        <f>SUM(AS348:AW348)</f>
        <v/>
      </c>
      <c r="Y348" s="81" t="n">
        <v>915</v>
      </c>
    </row>
    <row r="349">
      <c r="A349" s="72">
        <f>$D$27</f>
        <v/>
      </c>
      <c r="B349" s="72">
        <f>B348+1</f>
        <v/>
      </c>
      <c r="C349" s="72">
        <f>IF(K349="Vacant","Vac",IF(K349="Model","Model",IF(K349="Admin","Admin",IF(K349="Down","Down",IF(K349="Super","Super","Occ")))))</f>
        <v/>
      </c>
      <c r="D349" s="72">
        <f>INDEX($C$5:$C$14,MATCH(I349,$D$5:$D$14,0))</f>
        <v/>
      </c>
      <c r="E349" s="72">
        <f>INDEX($E$5:$E$14,MATCH(D349,$C$5:$C$14,0))</f>
        <v/>
      </c>
      <c r="F349" s="72">
        <f>INDEX($F$5:$F$14,MATCH(D349,$C$5:$C$14,0))</f>
        <v/>
      </c>
      <c r="G349" s="72">
        <f>INDEX($G$5:$G$14,MATCH(D349,$C$5:$C$14,0))</f>
        <v/>
      </c>
      <c r="H349" s="72" t="inlineStr">
        <is>
          <t>K42</t>
        </is>
      </c>
      <c r="I349" s="72" t="inlineStr">
        <is>
          <t>stjt2C2R</t>
        </is>
      </c>
      <c r="J349" s="80" t="n">
        <v>1075</v>
      </c>
      <c r="K349" s="72" t="inlineStr">
        <is>
          <t>Nicole Froman</t>
        </is>
      </c>
      <c r="L349" s="81" t="n">
        <v>1414</v>
      </c>
      <c r="M349" s="81">
        <f>Y349</f>
        <v/>
      </c>
      <c r="N349" s="82" t="n">
        <v>45436</v>
      </c>
      <c r="O349" s="82" t="n">
        <v>45436</v>
      </c>
      <c r="P349" s="82" t="n">
        <v>46165</v>
      </c>
      <c r="R349" s="81">
        <f>SUM(AB349:AK349)</f>
        <v/>
      </c>
      <c r="S349" s="81">
        <f>SUM(AM349:AQ349)</f>
        <v/>
      </c>
      <c r="T349" s="81">
        <f>SUM(AS349:AW349)</f>
        <v/>
      </c>
      <c r="Y349" s="81" t="n">
        <v>1430</v>
      </c>
    </row>
    <row r="350">
      <c r="A350" s="72">
        <f>$D$27</f>
        <v/>
      </c>
      <c r="B350" s="72">
        <f>B349+1</f>
        <v/>
      </c>
      <c r="C350" s="72">
        <f>IF(K350="Vacant","Vac",IF(K350="Model","Model",IF(K350="Admin","Admin",IF(K350="Down","Down",IF(K350="Super","Super","Occ")))))</f>
        <v/>
      </c>
      <c r="D350" s="72">
        <f>INDEX($C$5:$C$14,MATCH(I350,$D$5:$D$14,0))</f>
        <v/>
      </c>
      <c r="E350" s="72">
        <f>INDEX($E$5:$E$14,MATCH(D350,$C$5:$C$14,0))</f>
        <v/>
      </c>
      <c r="F350" s="72">
        <f>INDEX($F$5:$F$14,MATCH(D350,$C$5:$C$14,0))</f>
        <v/>
      </c>
      <c r="G350" s="72">
        <f>INDEX($G$5:$G$14,MATCH(D350,$C$5:$C$14,0))</f>
        <v/>
      </c>
      <c r="H350" s="72" t="inlineStr">
        <is>
          <t>K43</t>
        </is>
      </c>
      <c r="I350" s="72" t="inlineStr">
        <is>
          <t>stjt2A1</t>
        </is>
      </c>
      <c r="J350" s="80" t="n">
        <v>850</v>
      </c>
      <c r="K350" s="72" t="inlineStr">
        <is>
          <t>Thomas Aldridge</t>
        </is>
      </c>
      <c r="L350" s="81" t="n">
        <v>1010</v>
      </c>
      <c r="M350" s="81">
        <f>Y350</f>
        <v/>
      </c>
      <c r="N350" s="82" t="n">
        <v>45899</v>
      </c>
      <c r="O350" s="82" t="n">
        <v>45899</v>
      </c>
      <c r="P350" s="82" t="n">
        <v>46628</v>
      </c>
      <c r="R350" s="81">
        <f>SUM(AB350:AK350)</f>
        <v/>
      </c>
      <c r="S350" s="81">
        <f>SUM(AM350:AQ350)</f>
        <v/>
      </c>
      <c r="T350" s="81">
        <f>SUM(AS350:AW350)</f>
        <v/>
      </c>
      <c r="Y350" s="81" t="n">
        <v>995</v>
      </c>
    </row>
    <row r="351">
      <c r="A351" s="72">
        <f>$D$27</f>
        <v/>
      </c>
      <c r="B351" s="72">
        <f>B350+1</f>
        <v/>
      </c>
      <c r="C351" s="72">
        <f>IF(K351="Vacant","Vac",IF(K351="Model","Model",IF(K351="Admin","Admin",IF(K351="Down","Down",IF(K351="Super","Super","Occ")))))</f>
        <v/>
      </c>
      <c r="D351" s="72">
        <f>INDEX($C$5:$C$14,MATCH(I351,$D$5:$D$14,0))</f>
        <v/>
      </c>
      <c r="E351" s="72">
        <f>INDEX($E$5:$E$14,MATCH(D351,$C$5:$C$14,0))</f>
        <v/>
      </c>
      <c r="F351" s="72">
        <f>INDEX($F$5:$F$14,MATCH(D351,$C$5:$C$14,0))</f>
        <v/>
      </c>
      <c r="G351" s="72">
        <f>INDEX($G$5:$G$14,MATCH(D351,$C$5:$C$14,0))</f>
        <v/>
      </c>
      <c r="H351" s="72" t="inlineStr">
        <is>
          <t>K44</t>
        </is>
      </c>
      <c r="I351" s="72" t="inlineStr">
        <is>
          <t>stjt2C2</t>
        </is>
      </c>
      <c r="J351" s="80" t="n">
        <v>1075</v>
      </c>
      <c r="K351" s="72" t="inlineStr">
        <is>
          <t>Ernesto Vives Castillo</t>
        </is>
      </c>
      <c r="L351" s="81" t="n">
        <v>1300</v>
      </c>
      <c r="M351" s="81">
        <f>Y351</f>
        <v/>
      </c>
      <c r="N351" s="82" t="n">
        <v>45696</v>
      </c>
      <c r="O351" s="82" t="n">
        <v>45696</v>
      </c>
      <c r="P351" s="82" t="n">
        <v>46149</v>
      </c>
      <c r="R351" s="81">
        <f>SUM(AB351:AK351)</f>
        <v/>
      </c>
      <c r="S351" s="81">
        <f>SUM(AM351:AQ351)</f>
        <v/>
      </c>
      <c r="T351" s="81">
        <f>SUM(AS351:AW351)</f>
        <v/>
      </c>
      <c r="Y351" s="81" t="n">
        <v>1150</v>
      </c>
    </row>
    <row r="352">
      <c r="A352" s="72">
        <f>$D$27</f>
        <v/>
      </c>
      <c r="B352" s="72">
        <f>B351+1</f>
        <v/>
      </c>
      <c r="C352" s="72">
        <f>IF(K352="Vacant","Vac",IF(K352="Model","Model",IF(K352="Admin","Admin",IF(K352="Down","Down",IF(K352="Super","Super","Occ")))))</f>
        <v/>
      </c>
      <c r="D352" s="72">
        <f>INDEX($C$5:$C$14,MATCH(I352,$D$5:$D$14,0))</f>
        <v/>
      </c>
      <c r="E352" s="72">
        <f>INDEX($E$5:$E$14,MATCH(D352,$C$5:$C$14,0))</f>
        <v/>
      </c>
      <c r="F352" s="72">
        <f>INDEX($F$5:$F$14,MATCH(D352,$C$5:$C$14,0))</f>
        <v/>
      </c>
      <c r="G352" s="72">
        <f>INDEX($G$5:$G$14,MATCH(D352,$C$5:$C$14,0))</f>
        <v/>
      </c>
      <c r="H352" s="72" t="inlineStr">
        <is>
          <t>K45</t>
        </is>
      </c>
      <c r="I352" s="72" t="inlineStr">
        <is>
          <t>stjt2A1</t>
        </is>
      </c>
      <c r="J352" s="80" t="n">
        <v>850</v>
      </c>
      <c r="K352" s="72" t="inlineStr">
        <is>
          <t>Jacob Priddy</t>
        </is>
      </c>
      <c r="L352" s="81" t="n">
        <v>990</v>
      </c>
      <c r="M352" s="81">
        <f>Y352</f>
        <v/>
      </c>
      <c r="N352" s="82" t="n">
        <v>46052</v>
      </c>
      <c r="O352" s="82" t="n">
        <v>46052</v>
      </c>
      <c r="P352" s="82" t="n">
        <v>46416</v>
      </c>
      <c r="R352" s="81">
        <f>SUM(AB352:AK352)</f>
        <v/>
      </c>
      <c r="S352" s="81">
        <f>SUM(AM352:AQ352)</f>
        <v/>
      </c>
      <c r="T352" s="81">
        <f>SUM(AS352:AW352)</f>
        <v/>
      </c>
      <c r="Y352" s="81" t="n">
        <v>975</v>
      </c>
    </row>
    <row r="353">
      <c r="A353" s="72">
        <f>$D$27</f>
        <v/>
      </c>
      <c r="B353" s="72">
        <f>B352+1</f>
        <v/>
      </c>
      <c r="C353" s="72">
        <f>IF(K353="Vacant","Vac",IF(K353="Model","Model",IF(K353="Admin","Admin",IF(K353="Down","Down",IF(K353="Super","Super","Occ")))))</f>
        <v/>
      </c>
      <c r="D353" s="72">
        <f>INDEX($C$5:$C$14,MATCH(I353,$D$5:$D$14,0))</f>
        <v/>
      </c>
      <c r="E353" s="72">
        <f>INDEX($E$5:$E$14,MATCH(D353,$C$5:$C$14,0))</f>
        <v/>
      </c>
      <c r="F353" s="72">
        <f>INDEX($F$5:$F$14,MATCH(D353,$C$5:$C$14,0))</f>
        <v/>
      </c>
      <c r="G353" s="72">
        <f>INDEX($G$5:$G$14,MATCH(D353,$C$5:$C$14,0))</f>
        <v/>
      </c>
      <c r="H353" s="72" t="inlineStr">
        <is>
          <t>K46</t>
        </is>
      </c>
      <c r="I353" s="72" t="inlineStr">
        <is>
          <t>stjt2C2</t>
        </is>
      </c>
      <c r="J353" s="80" t="n">
        <v>1075</v>
      </c>
      <c r="K353" s="72" t="inlineStr">
        <is>
          <t>Sherie Horsley</t>
        </is>
      </c>
      <c r="L353" s="81" t="n">
        <v>1280</v>
      </c>
      <c r="M353" s="81">
        <f>Y353</f>
        <v/>
      </c>
      <c r="N353" s="82" t="n">
        <v>45777</v>
      </c>
      <c r="O353" s="82" t="n">
        <v>45777</v>
      </c>
      <c r="P353" s="82" t="n">
        <v>46141</v>
      </c>
      <c r="R353" s="81">
        <f>SUM(AB353:AK353)</f>
        <v/>
      </c>
      <c r="S353" s="81">
        <f>SUM(AM353:AQ353)</f>
        <v/>
      </c>
      <c r="T353" s="81">
        <f>SUM(AS353:AW353)</f>
        <v/>
      </c>
      <c r="Y353" s="81" t="n">
        <v>1150</v>
      </c>
    </row>
    <row r="354">
      <c r="A354" s="72">
        <f>$D$27</f>
        <v/>
      </c>
      <c r="B354" s="72">
        <f>B353+1</f>
        <v/>
      </c>
      <c r="C354" s="72">
        <f>IF(K354="Vacant","Vac",IF(K354="Model","Model",IF(K354="Admin","Admin",IF(K354="Down","Down",IF(K354="Super","Super","Occ")))))</f>
        <v/>
      </c>
      <c r="D354" s="72">
        <f>INDEX($C$5:$C$14,MATCH(I354,$D$5:$D$14,0))</f>
        <v/>
      </c>
      <c r="E354" s="72">
        <f>INDEX($E$5:$E$14,MATCH(D354,$C$5:$C$14,0))</f>
        <v/>
      </c>
      <c r="F354" s="72">
        <f>INDEX($F$5:$F$14,MATCH(D354,$C$5:$C$14,0))</f>
        <v/>
      </c>
      <c r="G354" s="72">
        <f>INDEX($G$5:$G$14,MATCH(D354,$C$5:$C$14,0))</f>
        <v/>
      </c>
      <c r="H354" s="72" t="inlineStr">
        <is>
          <t>K47</t>
        </is>
      </c>
      <c r="I354" s="72" t="inlineStr">
        <is>
          <t>stjt2A1</t>
        </is>
      </c>
      <c r="J354" s="80" t="n">
        <v>850</v>
      </c>
      <c r="K354" s="72" t="inlineStr">
        <is>
          <t>VACANT</t>
        </is>
      </c>
      <c r="L354" s="81" t="n">
        <v>990</v>
      </c>
      <c r="M354" s="81">
        <f>Y354</f>
        <v/>
      </c>
      <c r="R354" s="81">
        <f>SUM(AB354:AK354)</f>
        <v/>
      </c>
      <c r="S354" s="81">
        <f>SUM(AM354:AQ354)</f>
        <v/>
      </c>
      <c r="T354" s="81">
        <f>SUM(AS354:AW354)</f>
        <v/>
      </c>
      <c r="Y354" s="81" t="n">
        <v>0</v>
      </c>
    </row>
    <row r="355">
      <c r="A355" s="72">
        <f>$D$27</f>
        <v/>
      </c>
      <c r="B355" s="72">
        <f>B354+1</f>
        <v/>
      </c>
      <c r="C355" s="72">
        <f>IF(K355="Vacant","Vac",IF(K355="Model","Model",IF(K355="Admin","Admin",IF(K355="Down","Down",IF(K355="Super","Super","Occ")))))</f>
        <v/>
      </c>
      <c r="D355" s="72">
        <f>INDEX($C$5:$C$14,MATCH(I355,$D$5:$D$14,0))</f>
        <v/>
      </c>
      <c r="E355" s="72">
        <f>INDEX($E$5:$E$14,MATCH(D355,$C$5:$C$14,0))</f>
        <v/>
      </c>
      <c r="F355" s="72">
        <f>INDEX($F$5:$F$14,MATCH(D355,$C$5:$C$14,0))</f>
        <v/>
      </c>
      <c r="G355" s="72">
        <f>INDEX($G$5:$G$14,MATCH(D355,$C$5:$C$14,0))</f>
        <v/>
      </c>
      <c r="H355" s="72" t="inlineStr">
        <is>
          <t>K48</t>
        </is>
      </c>
      <c r="I355" s="72" t="inlineStr">
        <is>
          <t>stjt2C2</t>
        </is>
      </c>
      <c r="J355" s="80" t="n">
        <v>1075</v>
      </c>
      <c r="K355" s="72" t="inlineStr">
        <is>
          <t>Pielvi Ngwani Ibanda</t>
        </is>
      </c>
      <c r="L355" s="81" t="n">
        <v>1280</v>
      </c>
      <c r="M355" s="81">
        <f>Y355</f>
        <v/>
      </c>
      <c r="N355" s="82" t="n">
        <v>45822</v>
      </c>
      <c r="O355" s="82" t="n">
        <v>45822</v>
      </c>
      <c r="P355" s="82" t="n">
        <v>46186</v>
      </c>
      <c r="R355" s="81">
        <f>SUM(AB355:AK355)</f>
        <v/>
      </c>
      <c r="S355" s="81">
        <f>SUM(AM355:AQ355)</f>
        <v/>
      </c>
      <c r="T355" s="81">
        <f>SUM(AS355:AW355)</f>
        <v/>
      </c>
      <c r="Y355" s="81" t="n">
        <v>1265</v>
      </c>
    </row>
    <row r="356">
      <c r="A356" s="72">
        <f>$D$27</f>
        <v/>
      </c>
      <c r="B356" s="72">
        <f>B355+1</f>
        <v/>
      </c>
      <c r="C356" s="72">
        <f>IF(K356="Vacant","Vac",IF(K356="Model","Model",IF(K356="Admin","Admin",IF(K356="Down","Down",IF(K356="Super","Super","Occ")))))</f>
        <v/>
      </c>
      <c r="D356" s="72">
        <f>INDEX($C$5:$C$14,MATCH(I356,$D$5:$D$14,0))</f>
        <v/>
      </c>
      <c r="E356" s="72">
        <f>INDEX($E$5:$E$14,MATCH(D356,$C$5:$C$14,0))</f>
        <v/>
      </c>
      <c r="F356" s="72">
        <f>INDEX($F$5:$F$14,MATCH(D356,$C$5:$C$14,0))</f>
        <v/>
      </c>
      <c r="G356" s="72">
        <f>INDEX($G$5:$G$14,MATCH(D356,$C$5:$C$14,0))</f>
        <v/>
      </c>
      <c r="H356" s="72" t="inlineStr">
        <is>
          <t>K49</t>
        </is>
      </c>
      <c r="I356" s="72" t="inlineStr">
        <is>
          <t>stjt2B1R</t>
        </is>
      </c>
      <c r="J356" s="80" t="n">
        <v>950</v>
      </c>
      <c r="K356" s="72" t="inlineStr">
        <is>
          <t>Brennon Sosnin</t>
        </is>
      </c>
      <c r="L356" s="81" t="n">
        <v>1120</v>
      </c>
      <c r="M356" s="81">
        <f>Y356</f>
        <v/>
      </c>
      <c r="N356" s="82" t="n">
        <v>45869</v>
      </c>
      <c r="O356" s="82" t="n">
        <v>45869</v>
      </c>
      <c r="P356" s="82" t="n">
        <v>46264</v>
      </c>
      <c r="R356" s="81">
        <f>SUM(AB356:AK356)</f>
        <v/>
      </c>
      <c r="S356" s="81">
        <f>SUM(AM356:AQ356)</f>
        <v/>
      </c>
      <c r="T356" s="81">
        <f>SUM(AS356:AW356)</f>
        <v/>
      </c>
      <c r="Y356" s="81" t="n">
        <v>1095</v>
      </c>
    </row>
    <row r="357">
      <c r="A357" s="72">
        <f>$D$27</f>
        <v/>
      </c>
      <c r="B357" s="72">
        <f>B356+1</f>
        <v/>
      </c>
      <c r="C357" s="72">
        <f>IF(K357="Vacant","Vac",IF(K357="Model","Model",IF(K357="Admin","Admin",IF(K357="Down","Down",IF(K357="Super","Super","Occ")))))</f>
        <v/>
      </c>
      <c r="D357" s="72">
        <f>INDEX($C$5:$C$14,MATCH(I357,$D$5:$D$14,0))</f>
        <v/>
      </c>
      <c r="E357" s="72">
        <f>INDEX($E$5:$E$14,MATCH(D357,$C$5:$C$14,0))</f>
        <v/>
      </c>
      <c r="F357" s="72">
        <f>INDEX($F$5:$F$14,MATCH(D357,$C$5:$C$14,0))</f>
        <v/>
      </c>
      <c r="G357" s="72">
        <f>INDEX($G$5:$G$14,MATCH(D357,$C$5:$C$14,0))</f>
        <v/>
      </c>
      <c r="H357" s="72" t="inlineStr">
        <is>
          <t>K50</t>
        </is>
      </c>
      <c r="I357" s="72" t="inlineStr">
        <is>
          <t>stjt2B1</t>
        </is>
      </c>
      <c r="J357" s="80" t="n">
        <v>950</v>
      </c>
      <c r="K357" s="72" t="inlineStr">
        <is>
          <t>VACANT</t>
        </is>
      </c>
      <c r="L357" s="81" t="n">
        <v>965</v>
      </c>
      <c r="M357" s="81">
        <f>Y357</f>
        <v/>
      </c>
      <c r="R357" s="81">
        <f>SUM(AB357:AK357)</f>
        <v/>
      </c>
      <c r="S357" s="81">
        <f>SUM(AM357:AQ357)</f>
        <v/>
      </c>
      <c r="T357" s="81">
        <f>SUM(AS357:AW357)</f>
        <v/>
      </c>
      <c r="Y357" s="81" t="n">
        <v>0</v>
      </c>
    </row>
    <row r="358">
      <c r="A358" s="72">
        <f>$D$27</f>
        <v/>
      </c>
      <c r="B358" s="72">
        <f>B357+1</f>
        <v/>
      </c>
      <c r="C358" s="72">
        <f>IF(K358="Vacant","Vac",IF(K358="Model","Model",IF(K358="Admin","Admin",IF(K358="Down","Down",IF(K358="Super","Super","Occ")))))</f>
        <v/>
      </c>
      <c r="D358" s="72">
        <f>INDEX($C$5:$C$14,MATCH(I358,$D$5:$D$14,0))</f>
        <v/>
      </c>
      <c r="E358" s="72">
        <f>INDEX($E$5:$E$14,MATCH(D358,$C$5:$C$14,0))</f>
        <v/>
      </c>
      <c r="F358" s="72">
        <f>INDEX($F$5:$F$14,MATCH(D358,$C$5:$C$14,0))</f>
        <v/>
      </c>
      <c r="G358" s="72">
        <f>INDEX($G$5:$G$14,MATCH(D358,$C$5:$C$14,0))</f>
        <v/>
      </c>
      <c r="H358" s="72" t="inlineStr">
        <is>
          <t>K51</t>
        </is>
      </c>
      <c r="I358" s="72" t="inlineStr">
        <is>
          <t>stjt2B1R</t>
        </is>
      </c>
      <c r="J358" s="80" t="n">
        <v>950</v>
      </c>
      <c r="K358" s="72" t="inlineStr">
        <is>
          <t>Paige Post</t>
        </is>
      </c>
      <c r="L358" s="81" t="n">
        <v>1120</v>
      </c>
      <c r="M358" s="81">
        <f>Y358</f>
        <v/>
      </c>
      <c r="N358" s="82" t="n">
        <v>44806</v>
      </c>
      <c r="O358" s="82" t="n">
        <v>44806</v>
      </c>
      <c r="P358" s="82" t="n">
        <v>46266</v>
      </c>
      <c r="R358" s="81">
        <f>SUM(AB358:AK358)</f>
        <v/>
      </c>
      <c r="S358" s="81">
        <f>SUM(AM358:AQ358)</f>
        <v/>
      </c>
      <c r="T358" s="81">
        <f>SUM(AS358:AW358)</f>
        <v/>
      </c>
      <c r="Y358" s="81" t="n">
        <v>1085</v>
      </c>
    </row>
    <row r="359">
      <c r="A359" s="72">
        <f>$D$27</f>
        <v/>
      </c>
      <c r="B359" s="72">
        <f>B358+1</f>
        <v/>
      </c>
      <c r="C359" s="72">
        <f>IF(K359="Vacant","Vac",IF(K359="Model","Model",IF(K359="Admin","Admin",IF(K359="Down","Down",IF(K359="Super","Super","Occ")))))</f>
        <v/>
      </c>
      <c r="D359" s="72">
        <f>INDEX($C$5:$C$14,MATCH(I359,$D$5:$D$14,0))</f>
        <v/>
      </c>
      <c r="E359" s="72">
        <f>INDEX($E$5:$E$14,MATCH(D359,$C$5:$C$14,0))</f>
        <v/>
      </c>
      <c r="F359" s="72">
        <f>INDEX($F$5:$F$14,MATCH(D359,$C$5:$C$14,0))</f>
        <v/>
      </c>
      <c r="G359" s="72">
        <f>INDEX($G$5:$G$14,MATCH(D359,$C$5:$C$14,0))</f>
        <v/>
      </c>
      <c r="H359" s="72" t="inlineStr">
        <is>
          <t>K52</t>
        </is>
      </c>
      <c r="I359" s="72" t="inlineStr">
        <is>
          <t>stjt2B1R</t>
        </is>
      </c>
      <c r="J359" s="80" t="n">
        <v>950</v>
      </c>
      <c r="K359" s="72" t="inlineStr">
        <is>
          <t>VACANT</t>
        </is>
      </c>
      <c r="L359" s="81" t="n">
        <v>1120</v>
      </c>
      <c r="M359" s="81">
        <f>Y359</f>
        <v/>
      </c>
      <c r="R359" s="81">
        <f>SUM(AB359:AK359)</f>
        <v/>
      </c>
      <c r="S359" s="81">
        <f>SUM(AM359:AQ359)</f>
        <v/>
      </c>
      <c r="T359" s="81">
        <f>SUM(AS359:AW359)</f>
        <v/>
      </c>
      <c r="Y359" s="81" t="n">
        <v>0</v>
      </c>
    </row>
    <row r="360">
      <c r="A360" s="72">
        <f>$D$27</f>
        <v/>
      </c>
      <c r="B360" s="72">
        <f>B359+1</f>
        <v/>
      </c>
      <c r="C360" s="72">
        <f>IF(K360="Vacant","Vac",IF(K360="Model","Model",IF(K360="Admin","Admin",IF(K360="Down","Down",IF(K360="Super","Super","Occ")))))</f>
        <v/>
      </c>
      <c r="D360" s="72">
        <f>INDEX($C$5:$C$14,MATCH(I360,$D$5:$D$14,0))</f>
        <v/>
      </c>
      <c r="E360" s="72">
        <f>INDEX($E$5:$E$14,MATCH(D360,$C$5:$C$14,0))</f>
        <v/>
      </c>
      <c r="F360" s="72">
        <f>INDEX($F$5:$F$14,MATCH(D360,$C$5:$C$14,0))</f>
        <v/>
      </c>
      <c r="G360" s="72">
        <f>INDEX($G$5:$G$14,MATCH(D360,$C$5:$C$14,0))</f>
        <v/>
      </c>
      <c r="H360" s="72" t="inlineStr">
        <is>
          <t>K53</t>
        </is>
      </c>
      <c r="I360" s="72" t="inlineStr">
        <is>
          <t>stjt2B1</t>
        </is>
      </c>
      <c r="J360" s="80" t="n">
        <v>950</v>
      </c>
      <c r="K360" s="72" t="inlineStr">
        <is>
          <t>Crystal Myers</t>
        </is>
      </c>
      <c r="L360" s="81" t="n">
        <v>1035</v>
      </c>
      <c r="M360" s="81">
        <f>Y360</f>
        <v/>
      </c>
      <c r="N360" s="82" t="n">
        <v>42247</v>
      </c>
      <c r="O360" s="82" t="n">
        <v>42247</v>
      </c>
      <c r="P360" s="82" t="n">
        <v>46870</v>
      </c>
      <c r="R360" s="81">
        <f>SUM(AB360:AK360)</f>
        <v/>
      </c>
      <c r="S360" s="81">
        <f>SUM(AM360:AQ360)</f>
        <v/>
      </c>
      <c r="T360" s="81">
        <f>SUM(AS360:AW360)</f>
        <v/>
      </c>
      <c r="Y360" s="81" t="n">
        <v>1015</v>
      </c>
    </row>
    <row r="361">
      <c r="A361" s="72">
        <f>$D$27</f>
        <v/>
      </c>
      <c r="B361" s="72">
        <f>B360+1</f>
        <v/>
      </c>
      <c r="C361" s="72">
        <f>IF(K361="Vacant","Vac",IF(K361="Model","Model",IF(K361="Admin","Admin",IF(K361="Down","Down",IF(K361="Super","Super","Occ")))))</f>
        <v/>
      </c>
      <c r="D361" s="72">
        <f>INDEX($C$5:$C$14,MATCH(I361,$D$5:$D$14,0))</f>
        <v/>
      </c>
      <c r="E361" s="72">
        <f>INDEX($E$5:$E$14,MATCH(D361,$C$5:$C$14,0))</f>
        <v/>
      </c>
      <c r="F361" s="72">
        <f>INDEX($F$5:$F$14,MATCH(D361,$C$5:$C$14,0))</f>
        <v/>
      </c>
      <c r="G361" s="72">
        <f>INDEX($G$5:$G$14,MATCH(D361,$C$5:$C$14,0))</f>
        <v/>
      </c>
      <c r="H361" s="72" t="inlineStr">
        <is>
          <t>K54</t>
        </is>
      </c>
      <c r="I361" s="72" t="inlineStr">
        <is>
          <t>stjt2B1R</t>
        </is>
      </c>
      <c r="J361" s="80" t="n">
        <v>950</v>
      </c>
      <c r="K361" s="72" t="inlineStr">
        <is>
          <t>Justice Higgs</t>
        </is>
      </c>
      <c r="L361" s="81" t="n">
        <v>1135</v>
      </c>
      <c r="M361" s="81">
        <f>Y361</f>
        <v/>
      </c>
      <c r="N361" s="82" t="n">
        <v>45740</v>
      </c>
      <c r="O361" s="82" t="n">
        <v>45740</v>
      </c>
      <c r="P361" s="82" t="n">
        <v>46469</v>
      </c>
      <c r="R361" s="81">
        <f>SUM(AB361:AK361)</f>
        <v/>
      </c>
      <c r="S361" s="81">
        <f>SUM(AM361:AQ361)</f>
        <v/>
      </c>
      <c r="T361" s="81">
        <f>SUM(AS361:AW361)</f>
        <v/>
      </c>
      <c r="Y361" s="81" t="n">
        <v>1060</v>
      </c>
    </row>
    <row r="362">
      <c r="A362" s="72">
        <f>$D$27</f>
        <v/>
      </c>
      <c r="B362" s="72">
        <f>B361+1</f>
        <v/>
      </c>
      <c r="C362" s="72">
        <f>IF(K362="Vacant","Vac",IF(K362="Model","Model",IF(K362="Admin","Admin",IF(K362="Down","Down",IF(K362="Super","Super","Occ")))))</f>
        <v/>
      </c>
      <c r="D362" s="72">
        <f>INDEX($C$5:$C$14,MATCH(I362,$D$5:$D$14,0))</f>
        <v/>
      </c>
      <c r="E362" s="72">
        <f>INDEX($E$5:$E$14,MATCH(D362,$C$5:$C$14,0))</f>
        <v/>
      </c>
      <c r="F362" s="72">
        <f>INDEX($F$5:$F$14,MATCH(D362,$C$5:$C$14,0))</f>
        <v/>
      </c>
      <c r="G362" s="72">
        <f>INDEX($G$5:$G$14,MATCH(D362,$C$5:$C$14,0))</f>
        <v/>
      </c>
      <c r="H362" s="72" t="inlineStr">
        <is>
          <t>K55</t>
        </is>
      </c>
      <c r="I362" s="72" t="inlineStr">
        <is>
          <t>stjt2B1</t>
        </is>
      </c>
      <c r="J362" s="80" t="n">
        <v>950</v>
      </c>
      <c r="K362" s="72" t="inlineStr">
        <is>
          <t>Willard Hackworth</t>
        </is>
      </c>
      <c r="L362" s="81" t="n">
        <v>1035</v>
      </c>
      <c r="M362" s="81">
        <f>Y362</f>
        <v/>
      </c>
      <c r="N362" s="82" t="n">
        <v>45178</v>
      </c>
      <c r="O362" s="82" t="n">
        <v>45178</v>
      </c>
      <c r="P362" s="82" t="n">
        <v>46273</v>
      </c>
      <c r="R362" s="81">
        <f>SUM(AB362:AK362)</f>
        <v/>
      </c>
      <c r="S362" s="81">
        <f>SUM(AM362:AQ362)</f>
        <v/>
      </c>
      <c r="T362" s="81">
        <f>SUM(AS362:AW362)</f>
        <v/>
      </c>
      <c r="Y362" s="81" t="n">
        <v>1054</v>
      </c>
    </row>
    <row r="363">
      <c r="A363" s="72">
        <f>$D$27</f>
        <v/>
      </c>
      <c r="B363" s="72">
        <f>B362+1</f>
        <v/>
      </c>
      <c r="C363" s="72">
        <f>IF(K363="Vacant","Vac",IF(K363="Model","Model",IF(K363="Admin","Admin",IF(K363="Down","Down",IF(K363="Super","Super","Occ")))))</f>
        <v/>
      </c>
      <c r="D363" s="72">
        <f>INDEX($C$5:$C$14,MATCH(I363,$D$5:$D$14,0))</f>
        <v/>
      </c>
      <c r="E363" s="72">
        <f>INDEX($E$5:$E$14,MATCH(D363,$C$5:$C$14,0))</f>
        <v/>
      </c>
      <c r="F363" s="72">
        <f>INDEX($F$5:$F$14,MATCH(D363,$C$5:$C$14,0))</f>
        <v/>
      </c>
      <c r="G363" s="72">
        <f>INDEX($G$5:$G$14,MATCH(D363,$C$5:$C$14,0))</f>
        <v/>
      </c>
      <c r="H363" s="72" t="inlineStr">
        <is>
          <t>K56</t>
        </is>
      </c>
      <c r="I363" s="72" t="inlineStr">
        <is>
          <t>stjt2B1</t>
        </is>
      </c>
      <c r="J363" s="80" t="n">
        <v>950</v>
      </c>
      <c r="K363" s="72" t="inlineStr">
        <is>
          <t>Tarek Elsum</t>
        </is>
      </c>
      <c r="L363" s="81" t="n">
        <v>1035</v>
      </c>
      <c r="M363" s="81">
        <f>Y363</f>
        <v/>
      </c>
      <c r="N363" s="82" t="n">
        <v>44571</v>
      </c>
      <c r="O363" s="82" t="n">
        <v>44571</v>
      </c>
      <c r="P363" s="82" t="n">
        <v>46516</v>
      </c>
      <c r="R363" s="81">
        <f>SUM(AB363:AK363)</f>
        <v/>
      </c>
      <c r="S363" s="81">
        <f>SUM(AM363:AQ363)</f>
        <v/>
      </c>
      <c r="T363" s="81">
        <f>SUM(AS363:AW363)</f>
        <v/>
      </c>
      <c r="Y363" s="81" t="n">
        <v>980</v>
      </c>
    </row>
    <row r="364">
      <c r="A364" s="72">
        <f>$D$27</f>
        <v/>
      </c>
      <c r="B364" s="72">
        <f>B363+1</f>
        <v/>
      </c>
      <c r="C364" s="72">
        <f>IF(K364="Vacant","Vac",IF(K364="Model","Model",IF(K364="Admin","Admin",IF(K364="Down","Down",IF(K364="Super","Super","Occ")))))</f>
        <v/>
      </c>
      <c r="D364" s="72">
        <f>INDEX($C$5:$C$14,MATCH(I364,$D$5:$D$14,0))</f>
        <v/>
      </c>
      <c r="E364" s="72">
        <f>INDEX($E$5:$E$14,MATCH(D364,$C$5:$C$14,0))</f>
        <v/>
      </c>
      <c r="F364" s="72">
        <f>INDEX($F$5:$F$14,MATCH(D364,$C$5:$C$14,0))</f>
        <v/>
      </c>
      <c r="G364" s="72">
        <f>INDEX($G$5:$G$14,MATCH(D364,$C$5:$C$14,0))</f>
        <v/>
      </c>
      <c r="H364" s="72" t="inlineStr">
        <is>
          <t>K57</t>
        </is>
      </c>
      <c r="I364" s="72" t="inlineStr">
        <is>
          <t>stjt2B1</t>
        </is>
      </c>
      <c r="J364" s="80" t="n">
        <v>950</v>
      </c>
      <c r="K364" s="72" t="inlineStr">
        <is>
          <t>James Brown</t>
        </is>
      </c>
      <c r="L364" s="81" t="n">
        <v>1035</v>
      </c>
      <c r="M364" s="81">
        <f>Y364</f>
        <v/>
      </c>
      <c r="N364" s="82" t="n">
        <v>45891</v>
      </c>
      <c r="O364" s="82" t="n">
        <v>45891</v>
      </c>
      <c r="P364" s="82" t="n">
        <v>46439</v>
      </c>
      <c r="R364" s="81">
        <f>SUM(AB364:AK364)</f>
        <v/>
      </c>
      <c r="S364" s="81">
        <f>SUM(AM364:AQ364)</f>
        <v/>
      </c>
      <c r="T364" s="81">
        <f>SUM(AS364:AW364)</f>
        <v/>
      </c>
      <c r="Y364" s="81" t="n">
        <v>1025</v>
      </c>
    </row>
    <row r="365">
      <c r="A365" s="72">
        <f>$D$27</f>
        <v/>
      </c>
      <c r="B365" s="72">
        <f>B364+1</f>
        <v/>
      </c>
      <c r="C365" s="72">
        <f>IF(K365="Vacant","Vac",IF(K365="Model","Model",IF(K365="Admin","Admin",IF(K365="Down","Down",IF(K365="Super","Super","Occ")))))</f>
        <v/>
      </c>
      <c r="D365" s="72">
        <f>INDEX($C$5:$C$14,MATCH(I365,$D$5:$D$14,0))</f>
        <v/>
      </c>
      <c r="E365" s="72">
        <f>INDEX($E$5:$E$14,MATCH(D365,$C$5:$C$14,0))</f>
        <v/>
      </c>
      <c r="F365" s="72">
        <f>INDEX($F$5:$F$14,MATCH(D365,$C$5:$C$14,0))</f>
        <v/>
      </c>
      <c r="G365" s="72">
        <f>INDEX($G$5:$G$14,MATCH(D365,$C$5:$C$14,0))</f>
        <v/>
      </c>
      <c r="H365" s="72" t="inlineStr">
        <is>
          <t>K58</t>
        </is>
      </c>
      <c r="I365" s="72" t="inlineStr">
        <is>
          <t>stjt2B1</t>
        </is>
      </c>
      <c r="J365" s="80" t="n">
        <v>950</v>
      </c>
      <c r="K365" s="72" t="inlineStr">
        <is>
          <t>Joshua Knox</t>
        </is>
      </c>
      <c r="L365" s="81" t="n">
        <v>1035</v>
      </c>
      <c r="M365" s="81">
        <f>Y365</f>
        <v/>
      </c>
      <c r="N365" s="82" t="n">
        <v>45726</v>
      </c>
      <c r="O365" s="82" t="n">
        <v>45726</v>
      </c>
      <c r="P365" s="82" t="n">
        <v>46455</v>
      </c>
      <c r="R365" s="81">
        <f>SUM(AB365:AK365)</f>
        <v/>
      </c>
      <c r="S365" s="81">
        <f>SUM(AM365:AQ365)</f>
        <v/>
      </c>
      <c r="T365" s="81">
        <f>SUM(AS365:AW365)</f>
        <v/>
      </c>
      <c r="Y365" s="81" t="n">
        <v>1014</v>
      </c>
    </row>
    <row r="366">
      <c r="A366" s="72">
        <f>$D$27</f>
        <v/>
      </c>
      <c r="B366" s="72">
        <f>B365+1</f>
        <v/>
      </c>
      <c r="C366" s="72">
        <f>IF(K366="Vacant","Vac",IF(K366="Model","Model",IF(K366="Admin","Admin",IF(K366="Down","Down",IF(K366="Super","Super","Occ")))))</f>
        <v/>
      </c>
      <c r="D366" s="72">
        <f>INDEX($C$5:$C$14,MATCH(I366,$D$5:$D$14,0))</f>
        <v/>
      </c>
      <c r="E366" s="72">
        <f>INDEX($E$5:$E$14,MATCH(D366,$C$5:$C$14,0))</f>
        <v/>
      </c>
      <c r="F366" s="72">
        <f>INDEX($F$5:$F$14,MATCH(D366,$C$5:$C$14,0))</f>
        <v/>
      </c>
      <c r="G366" s="72">
        <f>INDEX($G$5:$G$14,MATCH(D366,$C$5:$C$14,0))</f>
        <v/>
      </c>
      <c r="H366" s="72" t="inlineStr">
        <is>
          <t>K59</t>
        </is>
      </c>
      <c r="I366" s="72" t="inlineStr">
        <is>
          <t>stjt2B1</t>
        </is>
      </c>
      <c r="J366" s="80" t="n">
        <v>950</v>
      </c>
      <c r="K366" s="72" t="inlineStr">
        <is>
          <t>Ashley Logsdon</t>
        </is>
      </c>
      <c r="L366" s="81" t="n">
        <v>1035</v>
      </c>
      <c r="M366" s="81">
        <f>Y366</f>
        <v/>
      </c>
      <c r="N366" s="82" t="n">
        <v>44022</v>
      </c>
      <c r="O366" s="82" t="n">
        <v>44022</v>
      </c>
      <c r="P366" s="82" t="n">
        <v>46203</v>
      </c>
      <c r="R366" s="81">
        <f>SUM(AB366:AK366)</f>
        <v/>
      </c>
      <c r="S366" s="81">
        <f>SUM(AM366:AQ366)</f>
        <v/>
      </c>
      <c r="T366" s="81">
        <f>SUM(AS366:AW366)</f>
        <v/>
      </c>
      <c r="Y366" s="81" t="n">
        <v>965</v>
      </c>
    </row>
    <row r="367">
      <c r="A367" s="72">
        <f>$D$27</f>
        <v/>
      </c>
      <c r="B367" s="72">
        <f>B366+1</f>
        <v/>
      </c>
      <c r="C367" s="72">
        <f>IF(K367="Vacant","Vac",IF(K367="Model","Model",IF(K367="Admin","Admin",IF(K367="Down","Down",IF(K367="Super","Super","Occ")))))</f>
        <v/>
      </c>
      <c r="D367" s="72">
        <f>INDEX($C$5:$C$14,MATCH(I367,$D$5:$D$14,0))</f>
        <v/>
      </c>
      <c r="E367" s="72">
        <f>INDEX($E$5:$E$14,MATCH(D367,$C$5:$C$14,0))</f>
        <v/>
      </c>
      <c r="F367" s="72">
        <f>INDEX($F$5:$F$14,MATCH(D367,$C$5:$C$14,0))</f>
        <v/>
      </c>
      <c r="G367" s="72">
        <f>INDEX($G$5:$G$14,MATCH(D367,$C$5:$C$14,0))</f>
        <v/>
      </c>
      <c r="H367" s="72" t="inlineStr">
        <is>
          <t>K60</t>
        </is>
      </c>
      <c r="I367" s="72" t="inlineStr">
        <is>
          <t>stjt2B1</t>
        </is>
      </c>
      <c r="J367" s="80" t="n">
        <v>950</v>
      </c>
      <c r="K367" s="72" t="inlineStr">
        <is>
          <t>Damion Head</t>
        </is>
      </c>
      <c r="L367" s="81" t="n">
        <v>1035</v>
      </c>
      <c r="M367" s="81">
        <f>Y367</f>
        <v/>
      </c>
      <c r="N367" s="82" t="n">
        <v>45990</v>
      </c>
      <c r="O367" s="82" t="n">
        <v>45990</v>
      </c>
      <c r="P367" s="82" t="n">
        <v>46354</v>
      </c>
      <c r="R367" s="81">
        <f>SUM(AB367:AK367)</f>
        <v/>
      </c>
      <c r="S367" s="81">
        <f>SUM(AM367:AQ367)</f>
        <v/>
      </c>
      <c r="T367" s="81">
        <f>SUM(AS367:AW367)</f>
        <v/>
      </c>
      <c r="Y367" s="81" t="n">
        <v>925</v>
      </c>
    </row>
    <row r="368">
      <c r="A368" s="72">
        <f>$D$27</f>
        <v/>
      </c>
      <c r="B368" s="72">
        <f>B367+1</f>
        <v/>
      </c>
      <c r="C368" s="72">
        <f>IF(K368="Vacant","Vac",IF(K368="Model","Model",IF(K368="Admin","Admin",IF(K368="Down","Down",IF(K368="Super","Super","Occ")))))</f>
        <v/>
      </c>
      <c r="D368" s="72">
        <f>INDEX($C$5:$C$14,MATCH(I368,$D$5:$D$14,0))</f>
        <v/>
      </c>
      <c r="E368" s="72">
        <f>INDEX($E$5:$E$14,MATCH(D368,$C$5:$C$14,0))</f>
        <v/>
      </c>
      <c r="F368" s="72">
        <f>INDEX($F$5:$F$14,MATCH(D368,$C$5:$C$14,0))</f>
        <v/>
      </c>
      <c r="G368" s="72">
        <f>INDEX($G$5:$G$14,MATCH(D368,$C$5:$C$14,0))</f>
        <v/>
      </c>
      <c r="H368" s="72" t="inlineStr">
        <is>
          <t>K61</t>
        </is>
      </c>
      <c r="I368" s="72" t="inlineStr">
        <is>
          <t>stjt2C2R</t>
        </is>
      </c>
      <c r="J368" s="80" t="n">
        <v>1075</v>
      </c>
      <c r="K368" s="72" t="inlineStr">
        <is>
          <t>Racquel Randolph</t>
        </is>
      </c>
      <c r="L368" s="81" t="n">
        <v>1399</v>
      </c>
      <c r="M368" s="81">
        <f>Y368</f>
        <v/>
      </c>
      <c r="N368" s="82" t="n">
        <v>46142</v>
      </c>
      <c r="O368" s="82" t="n">
        <v>46142</v>
      </c>
      <c r="P368" s="82" t="n">
        <v>46506</v>
      </c>
      <c r="R368" s="81">
        <f>SUM(AB368:AK368)</f>
        <v/>
      </c>
      <c r="S368" s="81">
        <f>SUM(AM368:AQ368)</f>
        <v/>
      </c>
      <c r="T368" s="81">
        <f>SUM(AS368:AW368)</f>
        <v/>
      </c>
      <c r="Y368" s="81" t="n">
        <v>1399</v>
      </c>
    </row>
    <row r="369">
      <c r="A369" s="72">
        <f>$D$27</f>
        <v/>
      </c>
      <c r="B369" s="72">
        <f>B368+1</f>
        <v/>
      </c>
      <c r="C369" s="72">
        <f>IF(K369="Vacant","Vac",IF(K369="Model","Model",IF(K369="Admin","Admin",IF(K369="Down","Down",IF(K369="Super","Super","Occ")))))</f>
        <v/>
      </c>
      <c r="D369" s="72">
        <f>INDEX($C$5:$C$14,MATCH(I369,$D$5:$D$14,0))</f>
        <v/>
      </c>
      <c r="E369" s="72">
        <f>INDEX($E$5:$E$14,MATCH(D369,$C$5:$C$14,0))</f>
        <v/>
      </c>
      <c r="F369" s="72">
        <f>INDEX($F$5:$F$14,MATCH(D369,$C$5:$C$14,0))</f>
        <v/>
      </c>
      <c r="G369" s="72">
        <f>INDEX($G$5:$G$14,MATCH(D369,$C$5:$C$14,0))</f>
        <v/>
      </c>
      <c r="H369" s="72" t="inlineStr">
        <is>
          <t>K62</t>
        </is>
      </c>
      <c r="I369" s="72" t="inlineStr">
        <is>
          <t>stjt2A1R</t>
        </is>
      </c>
      <c r="J369" s="80" t="n">
        <v>850</v>
      </c>
      <c r="K369" s="72" t="inlineStr">
        <is>
          <t>Bryce Callahan</t>
        </is>
      </c>
      <c r="L369" s="81" t="n">
        <v>1040</v>
      </c>
      <c r="M369" s="81">
        <f>Y369</f>
        <v/>
      </c>
      <c r="N369" s="82" t="n">
        <v>46017</v>
      </c>
      <c r="O369" s="82" t="n">
        <v>46017</v>
      </c>
      <c r="P369" s="82" t="n">
        <v>46381</v>
      </c>
      <c r="R369" s="81">
        <f>SUM(AB369:AK369)</f>
        <v/>
      </c>
      <c r="S369" s="81">
        <f>SUM(AM369:AQ369)</f>
        <v/>
      </c>
      <c r="T369" s="81">
        <f>SUM(AS369:AW369)</f>
        <v/>
      </c>
      <c r="Y369" s="81" t="n">
        <v>985</v>
      </c>
    </row>
    <row r="370">
      <c r="A370" s="72">
        <f>$D$27</f>
        <v/>
      </c>
      <c r="B370" s="72">
        <f>B369+1</f>
        <v/>
      </c>
      <c r="C370" s="72">
        <f>IF(K370="Vacant","Vac",IF(K370="Model","Model",IF(K370="Admin","Admin",IF(K370="Down","Down",IF(K370="Super","Super","Occ")))))</f>
        <v/>
      </c>
      <c r="D370" s="72">
        <f>INDEX($C$5:$C$14,MATCH(I370,$D$5:$D$14,0))</f>
        <v/>
      </c>
      <c r="E370" s="72">
        <f>INDEX($E$5:$E$14,MATCH(D370,$C$5:$C$14,0))</f>
        <v/>
      </c>
      <c r="F370" s="72">
        <f>INDEX($F$5:$F$14,MATCH(D370,$C$5:$C$14,0))</f>
        <v/>
      </c>
      <c r="G370" s="72">
        <f>INDEX($G$5:$G$14,MATCH(D370,$C$5:$C$14,0))</f>
        <v/>
      </c>
      <c r="H370" s="72" t="inlineStr">
        <is>
          <t>K63</t>
        </is>
      </c>
      <c r="I370" s="72" t="inlineStr">
        <is>
          <t>stjt2C2R</t>
        </is>
      </c>
      <c r="J370" s="80" t="n">
        <v>1075</v>
      </c>
      <c r="K370" s="72" t="inlineStr">
        <is>
          <t>Pascal Ndahimana</t>
        </is>
      </c>
      <c r="L370" s="81" t="n">
        <v>1399</v>
      </c>
      <c r="M370" s="81">
        <f>Y370</f>
        <v/>
      </c>
      <c r="N370" s="82" t="n">
        <v>45800</v>
      </c>
      <c r="O370" s="82" t="n">
        <v>45800</v>
      </c>
      <c r="P370" s="82" t="n">
        <v>46164</v>
      </c>
      <c r="R370" s="81">
        <f>SUM(AB370:AK370)</f>
        <v/>
      </c>
      <c r="S370" s="81">
        <f>SUM(AM370:AQ370)</f>
        <v/>
      </c>
      <c r="T370" s="81">
        <f>SUM(AS370:AW370)</f>
        <v/>
      </c>
      <c r="Y370" s="81" t="n">
        <v>1350</v>
      </c>
    </row>
    <row r="371">
      <c r="A371" s="72">
        <f>$D$27</f>
        <v/>
      </c>
      <c r="B371" s="72">
        <f>B370+1</f>
        <v/>
      </c>
      <c r="C371" s="72">
        <f>IF(K371="Vacant","Vac",IF(K371="Model","Model",IF(K371="Admin","Admin",IF(K371="Down","Down",IF(K371="Super","Super","Occ")))))</f>
        <v/>
      </c>
      <c r="D371" s="72">
        <f>INDEX($C$5:$C$14,MATCH(I371,$D$5:$D$14,0))</f>
        <v/>
      </c>
      <c r="E371" s="72">
        <f>INDEX($E$5:$E$14,MATCH(D371,$C$5:$C$14,0))</f>
        <v/>
      </c>
      <c r="F371" s="72">
        <f>INDEX($F$5:$F$14,MATCH(D371,$C$5:$C$14,0))</f>
        <v/>
      </c>
      <c r="G371" s="72">
        <f>INDEX($G$5:$G$14,MATCH(D371,$C$5:$C$14,0))</f>
        <v/>
      </c>
      <c r="H371" s="72" t="inlineStr">
        <is>
          <t>K64</t>
        </is>
      </c>
      <c r="I371" s="72" t="inlineStr">
        <is>
          <t>stjt2A1</t>
        </is>
      </c>
      <c r="J371" s="80" t="n">
        <v>850</v>
      </c>
      <c r="K371" s="72" t="inlineStr">
        <is>
          <t>Tyler Koons</t>
        </is>
      </c>
      <c r="L371" s="81" t="n">
        <v>975</v>
      </c>
      <c r="M371" s="81">
        <f>Y371</f>
        <v/>
      </c>
      <c r="N371" s="82" t="n">
        <v>45297</v>
      </c>
      <c r="O371" s="82" t="n">
        <v>45297</v>
      </c>
      <c r="P371" s="82" t="n">
        <v>46848</v>
      </c>
      <c r="R371" s="81">
        <f>SUM(AB371:AK371)</f>
        <v/>
      </c>
      <c r="S371" s="81">
        <f>SUM(AM371:AQ371)</f>
        <v/>
      </c>
      <c r="T371" s="81">
        <f>SUM(AS371:AW371)</f>
        <v/>
      </c>
      <c r="Y371" s="81" t="n">
        <v>815</v>
      </c>
    </row>
    <row r="372">
      <c r="A372" s="72">
        <f>$D$27</f>
        <v/>
      </c>
      <c r="B372" s="72">
        <f>B371+1</f>
        <v/>
      </c>
      <c r="C372" s="72">
        <f>IF(K372="Vacant","Vac",IF(K372="Model","Model",IF(K372="Admin","Admin",IF(K372="Down","Down",IF(K372="Super","Super","Occ")))))</f>
        <v/>
      </c>
      <c r="D372" s="72">
        <f>INDEX($C$5:$C$14,MATCH(I372,$D$5:$D$14,0))</f>
        <v/>
      </c>
      <c r="E372" s="72">
        <f>INDEX($E$5:$E$14,MATCH(D372,$C$5:$C$14,0))</f>
        <v/>
      </c>
      <c r="F372" s="72">
        <f>INDEX($F$5:$F$14,MATCH(D372,$C$5:$C$14,0))</f>
        <v/>
      </c>
      <c r="G372" s="72">
        <f>INDEX($G$5:$G$14,MATCH(D372,$C$5:$C$14,0))</f>
        <v/>
      </c>
      <c r="H372" s="72" t="inlineStr">
        <is>
          <t>K65</t>
        </is>
      </c>
      <c r="I372" s="72" t="inlineStr">
        <is>
          <t>stjt2C2</t>
        </is>
      </c>
      <c r="J372" s="80" t="n">
        <v>1075</v>
      </c>
      <c r="K372" s="72" t="inlineStr">
        <is>
          <t>Mario Ramos Perez</t>
        </is>
      </c>
      <c r="L372" s="81" t="n">
        <v>1280</v>
      </c>
      <c r="M372" s="81">
        <f>Y372</f>
        <v/>
      </c>
      <c r="N372" s="82" t="n">
        <v>45976</v>
      </c>
      <c r="O372" s="82" t="n">
        <v>45976</v>
      </c>
      <c r="P372" s="82" t="n">
        <v>46340</v>
      </c>
      <c r="R372" s="81">
        <f>SUM(AB372:AK372)</f>
        <v/>
      </c>
      <c r="S372" s="81">
        <f>SUM(AM372:AQ372)</f>
        <v/>
      </c>
      <c r="T372" s="81">
        <f>SUM(AS372:AW372)</f>
        <v/>
      </c>
      <c r="Y372" s="81" t="n">
        <v>999</v>
      </c>
    </row>
    <row r="373">
      <c r="A373" s="72">
        <f>$D$27</f>
        <v/>
      </c>
      <c r="B373" s="72">
        <f>B372+1</f>
        <v/>
      </c>
      <c r="C373" s="72">
        <f>IF(K373="Vacant","Vac",IF(K373="Model","Model",IF(K373="Admin","Admin",IF(K373="Down","Down",IF(K373="Super","Super","Occ")))))</f>
        <v/>
      </c>
      <c r="D373" s="72">
        <f>INDEX($C$5:$C$14,MATCH(I373,$D$5:$D$14,0))</f>
        <v/>
      </c>
      <c r="E373" s="72">
        <f>INDEX($E$5:$E$14,MATCH(D373,$C$5:$C$14,0))</f>
        <v/>
      </c>
      <c r="F373" s="72">
        <f>INDEX($F$5:$F$14,MATCH(D373,$C$5:$C$14,0))</f>
        <v/>
      </c>
      <c r="G373" s="72">
        <f>INDEX($G$5:$G$14,MATCH(D373,$C$5:$C$14,0))</f>
        <v/>
      </c>
      <c r="H373" s="72" t="inlineStr">
        <is>
          <t>K66</t>
        </is>
      </c>
      <c r="I373" s="72" t="inlineStr">
        <is>
          <t>stjt2A1</t>
        </is>
      </c>
      <c r="J373" s="80" t="n">
        <v>850</v>
      </c>
      <c r="K373" s="72" t="inlineStr">
        <is>
          <t>Everardo Reyes Clemente</t>
        </is>
      </c>
      <c r="L373" s="81" t="n">
        <v>990</v>
      </c>
      <c r="M373" s="81">
        <f>Y373</f>
        <v/>
      </c>
      <c r="N373" s="82" t="n">
        <v>43386</v>
      </c>
      <c r="O373" s="82" t="n">
        <v>43386</v>
      </c>
      <c r="P373" s="82" t="n">
        <v>46201</v>
      </c>
      <c r="R373" s="81">
        <f>SUM(AB373:AK373)</f>
        <v/>
      </c>
      <c r="S373" s="81">
        <f>SUM(AM373:AQ373)</f>
        <v/>
      </c>
      <c r="T373" s="81">
        <f>SUM(AS373:AW373)</f>
        <v/>
      </c>
      <c r="Y373" s="81" t="n">
        <v>930</v>
      </c>
    </row>
    <row r="374">
      <c r="A374" s="72">
        <f>$D$27</f>
        <v/>
      </c>
      <c r="B374" s="72">
        <f>B373+1</f>
        <v/>
      </c>
      <c r="C374" s="72">
        <f>IF(K374="Vacant","Vac",IF(K374="Model","Model",IF(K374="Admin","Admin",IF(K374="Down","Down",IF(K374="Super","Super","Occ")))))</f>
        <v/>
      </c>
      <c r="D374" s="72">
        <f>INDEX($C$5:$C$14,MATCH(I374,$D$5:$D$14,0))</f>
        <v/>
      </c>
      <c r="E374" s="72">
        <f>INDEX($E$5:$E$14,MATCH(D374,$C$5:$C$14,0))</f>
        <v/>
      </c>
      <c r="F374" s="72">
        <f>INDEX($F$5:$F$14,MATCH(D374,$C$5:$C$14,0))</f>
        <v/>
      </c>
      <c r="G374" s="72">
        <f>INDEX($G$5:$G$14,MATCH(D374,$C$5:$C$14,0))</f>
        <v/>
      </c>
      <c r="H374" s="72" t="inlineStr">
        <is>
          <t>K67</t>
        </is>
      </c>
      <c r="I374" s="72" t="inlineStr">
        <is>
          <t>stjt2C2R</t>
        </is>
      </c>
      <c r="J374" s="80" t="n">
        <v>1075</v>
      </c>
      <c r="K374" s="72" t="inlineStr">
        <is>
          <t>Lauryn Ringle</t>
        </is>
      </c>
      <c r="L374" s="81" t="n">
        <v>1414</v>
      </c>
      <c r="M374" s="81">
        <f>Y374</f>
        <v/>
      </c>
      <c r="N374" s="82" t="n">
        <v>45716</v>
      </c>
      <c r="O374" s="82" t="n">
        <v>45716</v>
      </c>
      <c r="P374" s="82" t="n">
        <v>46169</v>
      </c>
      <c r="R374" s="81">
        <f>SUM(AB374:AK374)</f>
        <v/>
      </c>
      <c r="S374" s="81">
        <f>SUM(AM374:AQ374)</f>
        <v/>
      </c>
      <c r="T374" s="81">
        <f>SUM(AS374:AW374)</f>
        <v/>
      </c>
      <c r="Y374" s="81" t="n">
        <v>1035</v>
      </c>
    </row>
    <row r="375">
      <c r="A375" s="72">
        <f>$D$27</f>
        <v/>
      </c>
      <c r="B375" s="72">
        <f>B374+1</f>
        <v/>
      </c>
      <c r="C375" s="72">
        <f>IF(K375="Vacant","Vac",IF(K375="Model","Model",IF(K375="Admin","Admin",IF(K375="Down","Down",IF(K375="Super","Super","Occ")))))</f>
        <v/>
      </c>
      <c r="D375" s="72">
        <f>INDEX($C$5:$C$14,MATCH(I375,$D$5:$D$14,0))</f>
        <v/>
      </c>
      <c r="E375" s="72">
        <f>INDEX($E$5:$E$14,MATCH(D375,$C$5:$C$14,0))</f>
        <v/>
      </c>
      <c r="F375" s="72">
        <f>INDEX($F$5:$F$14,MATCH(D375,$C$5:$C$14,0))</f>
        <v/>
      </c>
      <c r="G375" s="72">
        <f>INDEX($G$5:$G$14,MATCH(D375,$C$5:$C$14,0))</f>
        <v/>
      </c>
      <c r="H375" s="72" t="inlineStr">
        <is>
          <t>K68</t>
        </is>
      </c>
      <c r="I375" s="72" t="inlineStr">
        <is>
          <t>stjt2A1</t>
        </is>
      </c>
      <c r="J375" s="80" t="n">
        <v>850</v>
      </c>
      <c r="K375" s="72" t="inlineStr">
        <is>
          <t>Latricia Henry</t>
        </is>
      </c>
      <c r="L375" s="81" t="n">
        <v>990</v>
      </c>
      <c r="M375" s="81">
        <f>Y375</f>
        <v/>
      </c>
      <c r="N375" s="82" t="n">
        <v>45835</v>
      </c>
      <c r="O375" s="82" t="n">
        <v>45835</v>
      </c>
      <c r="P375" s="82" t="n">
        <v>46199</v>
      </c>
      <c r="R375" s="81">
        <f>SUM(AB375:AK375)</f>
        <v/>
      </c>
      <c r="S375" s="81">
        <f>SUM(AM375:AQ375)</f>
        <v/>
      </c>
      <c r="T375" s="81">
        <f>SUM(AS375:AW375)</f>
        <v/>
      </c>
      <c r="Y375" s="81" t="n">
        <v>925</v>
      </c>
    </row>
    <row r="376">
      <c r="A376" s="72">
        <f>$D$27</f>
        <v/>
      </c>
      <c r="B376" s="72">
        <f>B375+1</f>
        <v/>
      </c>
      <c r="C376" s="72">
        <f>IF(K376="Vacant","Vac",IF(K376="Model","Model",IF(K376="Admin","Admin",IF(K376="Down","Down",IF(K376="Super","Super","Occ")))))</f>
        <v/>
      </c>
      <c r="D376" s="72">
        <f>INDEX($C$5:$C$14,MATCH(I376,$D$5:$D$14,0))</f>
        <v/>
      </c>
      <c r="E376" s="72">
        <f>INDEX($E$5:$E$14,MATCH(D376,$C$5:$C$14,0))</f>
        <v/>
      </c>
      <c r="F376" s="72">
        <f>INDEX($F$5:$F$14,MATCH(D376,$C$5:$C$14,0))</f>
        <v/>
      </c>
      <c r="G376" s="72">
        <f>INDEX($G$5:$G$14,MATCH(D376,$C$5:$C$14,0))</f>
        <v/>
      </c>
      <c r="H376" s="72" t="inlineStr">
        <is>
          <t>K69</t>
        </is>
      </c>
      <c r="I376" s="72" t="inlineStr">
        <is>
          <t>stjt2C2R</t>
        </is>
      </c>
      <c r="J376" s="80" t="n">
        <v>1075</v>
      </c>
      <c r="K376" s="72" t="inlineStr">
        <is>
          <t>Alduvis Construction Llc</t>
        </is>
      </c>
      <c r="L376" s="81" t="n">
        <v>1414</v>
      </c>
      <c r="M376" s="81">
        <f>Y376</f>
        <v/>
      </c>
      <c r="N376" s="82" t="n">
        <v>45912</v>
      </c>
      <c r="O376" s="82" t="n">
        <v>45912</v>
      </c>
      <c r="P376" s="82" t="n">
        <v>46641</v>
      </c>
      <c r="R376" s="81">
        <f>SUM(AB376:AK376)</f>
        <v/>
      </c>
      <c r="S376" s="81">
        <f>SUM(AM376:AQ376)</f>
        <v/>
      </c>
      <c r="T376" s="81">
        <f>SUM(AS376:AW376)</f>
        <v/>
      </c>
      <c r="Y376" s="81" t="n">
        <v>1315</v>
      </c>
    </row>
    <row r="377">
      <c r="A377" s="72">
        <f>$D$27</f>
        <v/>
      </c>
      <c r="B377" s="72">
        <f>B376+1</f>
        <v/>
      </c>
      <c r="C377" s="72">
        <f>IF(K377="Vacant","Vac",IF(K377="Model","Model",IF(K377="Admin","Admin",IF(K377="Down","Down",IF(K377="Super","Super","Occ")))))</f>
        <v/>
      </c>
      <c r="D377" s="72">
        <f>INDEX($C$5:$C$14,MATCH(I377,$D$5:$D$14,0))</f>
        <v/>
      </c>
      <c r="E377" s="72">
        <f>INDEX($E$5:$E$14,MATCH(D377,$C$5:$C$14,0))</f>
        <v/>
      </c>
      <c r="F377" s="72">
        <f>INDEX($F$5:$F$14,MATCH(D377,$C$5:$C$14,0))</f>
        <v/>
      </c>
      <c r="G377" s="72">
        <f>INDEX($G$5:$G$14,MATCH(D377,$C$5:$C$14,0))</f>
        <v/>
      </c>
      <c r="H377" s="72" t="inlineStr">
        <is>
          <t>K70</t>
        </is>
      </c>
      <c r="I377" s="72" t="inlineStr">
        <is>
          <t>stjt2A1R</t>
        </is>
      </c>
      <c r="J377" s="80" t="n">
        <v>850</v>
      </c>
      <c r="K377" s="72" t="inlineStr">
        <is>
          <t>Kadence Ripley</t>
        </is>
      </c>
      <c r="L377" s="81" t="n">
        <v>1055</v>
      </c>
      <c r="M377" s="81">
        <f>Y377</f>
        <v/>
      </c>
      <c r="N377" s="82" t="n">
        <v>45629</v>
      </c>
      <c r="O377" s="82" t="n">
        <v>45629</v>
      </c>
      <c r="P377" s="82" t="n">
        <v>46175</v>
      </c>
      <c r="R377" s="81">
        <f>SUM(AB377:AK377)</f>
        <v/>
      </c>
      <c r="S377" s="81">
        <f>SUM(AM377:AQ377)</f>
        <v/>
      </c>
      <c r="T377" s="81">
        <f>SUM(AS377:AW377)</f>
        <v/>
      </c>
      <c r="Y377" s="81" t="n">
        <v>900</v>
      </c>
    </row>
    <row r="378">
      <c r="A378" s="72">
        <f>$D$27</f>
        <v/>
      </c>
      <c r="B378" s="72">
        <f>B377+1</f>
        <v/>
      </c>
      <c r="C378" s="72">
        <f>IF(K378="Vacant","Vac",IF(K378="Model","Model",IF(K378="Admin","Admin",IF(K378="Down","Down",IF(K378="Super","Super","Occ")))))</f>
        <v/>
      </c>
      <c r="D378" s="72">
        <f>INDEX($C$5:$C$14,MATCH(I378,$D$5:$D$14,0))</f>
        <v/>
      </c>
      <c r="E378" s="72">
        <f>INDEX($E$5:$E$14,MATCH(D378,$C$5:$C$14,0))</f>
        <v/>
      </c>
      <c r="F378" s="72">
        <f>INDEX($F$5:$F$14,MATCH(D378,$C$5:$C$14,0))</f>
        <v/>
      </c>
      <c r="G378" s="72">
        <f>INDEX($G$5:$G$14,MATCH(D378,$C$5:$C$14,0))</f>
        <v/>
      </c>
      <c r="H378" s="72" t="inlineStr">
        <is>
          <t>K71</t>
        </is>
      </c>
      <c r="I378" s="72" t="inlineStr">
        <is>
          <t>stjt2C2</t>
        </is>
      </c>
      <c r="J378" s="80" t="n">
        <v>1075</v>
      </c>
      <c r="K378" s="72" t="inlineStr">
        <is>
          <t>Tyron Traynor</t>
        </is>
      </c>
      <c r="L378" s="81" t="n">
        <v>1280</v>
      </c>
      <c r="M378" s="81">
        <f>Y378</f>
        <v/>
      </c>
      <c r="N378" s="82" t="n">
        <v>45737</v>
      </c>
      <c r="O378" s="82" t="n">
        <v>45737</v>
      </c>
      <c r="P378" s="82" t="n">
        <v>46193</v>
      </c>
      <c r="R378" s="81">
        <f>SUM(AB378:AK378)</f>
        <v/>
      </c>
      <c r="S378" s="81">
        <f>SUM(AM378:AQ378)</f>
        <v/>
      </c>
      <c r="T378" s="81">
        <f>SUM(AS378:AW378)</f>
        <v/>
      </c>
      <c r="Y378" s="81" t="n">
        <v>925</v>
      </c>
    </row>
    <row r="379">
      <c r="A379" s="72">
        <f>$D$27</f>
        <v/>
      </c>
      <c r="B379" s="72">
        <f>B378+1</f>
        <v/>
      </c>
      <c r="C379" s="72">
        <f>IF(K379="Vacant","Vac",IF(K379="Model","Model",IF(K379="Admin","Admin",IF(K379="Down","Down",IF(K379="Super","Super","Occ")))))</f>
        <v/>
      </c>
      <c r="D379" s="72">
        <f>INDEX($C$5:$C$14,MATCH(I379,$D$5:$D$14,0))</f>
        <v/>
      </c>
      <c r="E379" s="72">
        <f>INDEX($E$5:$E$14,MATCH(D379,$C$5:$C$14,0))</f>
        <v/>
      </c>
      <c r="F379" s="72">
        <f>INDEX($F$5:$F$14,MATCH(D379,$C$5:$C$14,0))</f>
        <v/>
      </c>
      <c r="G379" s="72">
        <f>INDEX($G$5:$G$14,MATCH(D379,$C$5:$C$14,0))</f>
        <v/>
      </c>
      <c r="H379" s="72" t="inlineStr">
        <is>
          <t>K72</t>
        </is>
      </c>
      <c r="I379" s="72" t="inlineStr">
        <is>
          <t>stjt2A1R</t>
        </is>
      </c>
      <c r="J379" s="80" t="n">
        <v>850</v>
      </c>
      <c r="K379" s="72" t="inlineStr">
        <is>
          <t>Miah Gutierrez-Mayorquin</t>
        </is>
      </c>
      <c r="L379" s="81" t="n">
        <v>1055</v>
      </c>
      <c r="M379" s="81">
        <f>Y379</f>
        <v/>
      </c>
      <c r="N379" s="82" t="n">
        <v>45771</v>
      </c>
      <c r="O379" s="82" t="n">
        <v>45771</v>
      </c>
      <c r="P379" s="82" t="n">
        <v>46318</v>
      </c>
      <c r="R379" s="81">
        <f>SUM(AB379:AK379)</f>
        <v/>
      </c>
      <c r="S379" s="81">
        <f>SUM(AM379:AQ379)</f>
        <v/>
      </c>
      <c r="T379" s="81">
        <f>SUM(AS379:AW379)</f>
        <v/>
      </c>
      <c r="Y379" s="81" t="n">
        <v>999</v>
      </c>
    </row>
    <row r="380">
      <c r="A380" s="72">
        <f>$D$27</f>
        <v/>
      </c>
      <c r="B380" s="72">
        <f>B379+1</f>
        <v/>
      </c>
      <c r="C380" s="72">
        <f>IF(K380="Vacant","Vac",IF(K380="Model","Model",IF(K380="Admin","Admin",IF(K380="Down","Down",IF(K380="Super","Super","Occ")))))</f>
        <v/>
      </c>
      <c r="D380" s="72">
        <f>INDEX($C$5:$C$14,MATCH(I380,$D$5:$D$14,0))</f>
        <v/>
      </c>
      <c r="E380" s="72">
        <f>INDEX($E$5:$E$14,MATCH(D380,$C$5:$C$14,0))</f>
        <v/>
      </c>
      <c r="F380" s="72">
        <f>INDEX($F$5:$F$14,MATCH(D380,$C$5:$C$14,0))</f>
        <v/>
      </c>
      <c r="G380" s="72">
        <f>INDEX($G$5:$G$14,MATCH(D380,$C$5:$C$14,0))</f>
        <v/>
      </c>
      <c r="H380" s="72" t="inlineStr">
        <is>
          <t>L01</t>
        </is>
      </c>
      <c r="I380" s="72" t="inlineStr">
        <is>
          <t>stjt2A1</t>
        </is>
      </c>
      <c r="J380" s="80" t="n">
        <v>850</v>
      </c>
      <c r="K380" s="72" t="inlineStr">
        <is>
          <t>Samuel Davis</t>
        </is>
      </c>
      <c r="L380" s="81" t="n">
        <v>975</v>
      </c>
      <c r="M380" s="81">
        <f>Y380</f>
        <v/>
      </c>
      <c r="N380" s="82" t="n">
        <v>45503</v>
      </c>
      <c r="O380" s="82" t="n">
        <v>45503</v>
      </c>
      <c r="P380" s="82" t="n">
        <v>46232</v>
      </c>
      <c r="R380" s="81">
        <f>SUM(AB380:AK380)</f>
        <v/>
      </c>
      <c r="S380" s="81">
        <f>SUM(AM380:AQ380)</f>
        <v/>
      </c>
      <c r="T380" s="81">
        <f>SUM(AS380:AW380)</f>
        <v/>
      </c>
      <c r="Y380" s="81" t="n">
        <v>910</v>
      </c>
    </row>
    <row r="381">
      <c r="A381" s="72">
        <f>$D$27</f>
        <v/>
      </c>
      <c r="B381" s="72">
        <f>B380+1</f>
        <v/>
      </c>
      <c r="C381" s="72">
        <f>IF(K381="Vacant","Vac",IF(K381="Model","Model",IF(K381="Admin","Admin",IF(K381="Down","Down",IF(K381="Super","Super","Occ")))))</f>
        <v/>
      </c>
      <c r="D381" s="72">
        <f>INDEX($C$5:$C$14,MATCH(I381,$D$5:$D$14,0))</f>
        <v/>
      </c>
      <c r="E381" s="72">
        <f>INDEX($E$5:$E$14,MATCH(D381,$C$5:$C$14,0))</f>
        <v/>
      </c>
      <c r="F381" s="72">
        <f>INDEX($F$5:$F$14,MATCH(D381,$C$5:$C$14,0))</f>
        <v/>
      </c>
      <c r="G381" s="72">
        <f>INDEX($G$5:$G$14,MATCH(D381,$C$5:$C$14,0))</f>
        <v/>
      </c>
      <c r="H381" s="72" t="inlineStr">
        <is>
          <t>L02</t>
        </is>
      </c>
      <c r="I381" s="72" t="inlineStr">
        <is>
          <t>stjt2C2R</t>
        </is>
      </c>
      <c r="J381" s="80" t="n">
        <v>1075</v>
      </c>
      <c r="K381" s="72" t="inlineStr">
        <is>
          <t>Johana Perez</t>
        </is>
      </c>
      <c r="L381" s="81" t="n">
        <v>1399</v>
      </c>
      <c r="M381" s="81">
        <f>Y381</f>
        <v/>
      </c>
      <c r="N381" s="82" t="n">
        <v>45765</v>
      </c>
      <c r="O381" s="82" t="n">
        <v>45765</v>
      </c>
      <c r="P381" s="82" t="n">
        <v>46494</v>
      </c>
      <c r="R381" s="81">
        <f>SUM(AB381:AK381)</f>
        <v/>
      </c>
      <c r="S381" s="81">
        <f>SUM(AM381:AQ381)</f>
        <v/>
      </c>
      <c r="T381" s="81">
        <f>SUM(AS381:AW381)</f>
        <v/>
      </c>
      <c r="Y381" s="81" t="n">
        <v>1350</v>
      </c>
    </row>
    <row r="382">
      <c r="A382" s="72">
        <f>$D$27</f>
        <v/>
      </c>
      <c r="B382" s="72">
        <f>B381+1</f>
        <v/>
      </c>
      <c r="C382" s="72">
        <f>IF(K382="Vacant","Vac",IF(K382="Model","Model",IF(K382="Admin","Admin",IF(K382="Down","Down",IF(K382="Super","Super","Occ")))))</f>
        <v/>
      </c>
      <c r="D382" s="72">
        <f>INDEX($C$5:$C$14,MATCH(I382,$D$5:$D$14,0))</f>
        <v/>
      </c>
      <c r="E382" s="72">
        <f>INDEX($E$5:$E$14,MATCH(D382,$C$5:$C$14,0))</f>
        <v/>
      </c>
      <c r="F382" s="72">
        <f>INDEX($F$5:$F$14,MATCH(D382,$C$5:$C$14,0))</f>
        <v/>
      </c>
      <c r="G382" s="72">
        <f>INDEX($G$5:$G$14,MATCH(D382,$C$5:$C$14,0))</f>
        <v/>
      </c>
      <c r="H382" s="72" t="inlineStr">
        <is>
          <t>L03</t>
        </is>
      </c>
      <c r="I382" s="72" t="inlineStr">
        <is>
          <t>stjt2A1</t>
        </is>
      </c>
      <c r="J382" s="80" t="n">
        <v>850</v>
      </c>
      <c r="K382" s="72" t="inlineStr">
        <is>
          <t>Kirby Fiscus~</t>
        </is>
      </c>
      <c r="L382" s="81" t="n">
        <v>975</v>
      </c>
      <c r="M382" s="81">
        <f>Y382</f>
        <v/>
      </c>
      <c r="N382" s="82" t="n">
        <v>45369</v>
      </c>
      <c r="O382" s="82" t="n">
        <v>45369</v>
      </c>
      <c r="P382" s="82" t="n">
        <v>46461</v>
      </c>
      <c r="R382" s="81">
        <f>SUM(AB382:AK382)</f>
        <v/>
      </c>
      <c r="S382" s="81">
        <f>SUM(AM382:AQ382)</f>
        <v/>
      </c>
      <c r="T382" s="81">
        <f>SUM(AS382:AW382)</f>
        <v/>
      </c>
      <c r="Y382" s="81" t="n">
        <v>960</v>
      </c>
    </row>
    <row r="383">
      <c r="A383" s="72">
        <f>$D$27</f>
        <v/>
      </c>
      <c r="B383" s="72">
        <f>B382+1</f>
        <v/>
      </c>
      <c r="C383" s="72">
        <f>IF(K383="Vacant","Vac",IF(K383="Model","Model",IF(K383="Admin","Admin",IF(K383="Down","Down",IF(K383="Super","Super","Occ")))))</f>
        <v/>
      </c>
      <c r="D383" s="72">
        <f>INDEX($C$5:$C$14,MATCH(I383,$D$5:$D$14,0))</f>
        <v/>
      </c>
      <c r="E383" s="72">
        <f>INDEX($E$5:$E$14,MATCH(D383,$C$5:$C$14,0))</f>
        <v/>
      </c>
      <c r="F383" s="72">
        <f>INDEX($F$5:$F$14,MATCH(D383,$C$5:$C$14,0))</f>
        <v/>
      </c>
      <c r="G383" s="72">
        <f>INDEX($G$5:$G$14,MATCH(D383,$C$5:$C$14,0))</f>
        <v/>
      </c>
      <c r="H383" s="72" t="inlineStr">
        <is>
          <t>L04</t>
        </is>
      </c>
      <c r="I383" s="72" t="inlineStr">
        <is>
          <t>stjt2C2</t>
        </is>
      </c>
      <c r="J383" s="80" t="n">
        <v>1075</v>
      </c>
      <c r="K383" s="72" t="inlineStr">
        <is>
          <t>Ravyn Mack</t>
        </is>
      </c>
      <c r="L383" s="81" t="n">
        <v>1265</v>
      </c>
      <c r="M383" s="81">
        <f>Y383</f>
        <v/>
      </c>
      <c r="N383" s="82" t="n">
        <v>45551</v>
      </c>
      <c r="O383" s="82" t="n">
        <v>45551</v>
      </c>
      <c r="P383" s="82" t="n">
        <v>46280</v>
      </c>
      <c r="R383" s="81">
        <f>SUM(AB383:AK383)</f>
        <v/>
      </c>
      <c r="S383" s="81">
        <f>SUM(AM383:AQ383)</f>
        <v/>
      </c>
      <c r="T383" s="81">
        <f>SUM(AS383:AW383)</f>
        <v/>
      </c>
      <c r="Y383" s="81" t="n">
        <v>1290</v>
      </c>
    </row>
    <row r="384">
      <c r="A384" s="72">
        <f>$D$27</f>
        <v/>
      </c>
      <c r="B384" s="72">
        <f>B383+1</f>
        <v/>
      </c>
      <c r="C384" s="72">
        <f>IF(K384="Vacant","Vac",IF(K384="Model","Model",IF(K384="Admin","Admin",IF(K384="Down","Down",IF(K384="Super","Super","Occ")))))</f>
        <v/>
      </c>
      <c r="D384" s="72">
        <f>INDEX($C$5:$C$14,MATCH(I384,$D$5:$D$14,0))</f>
        <v/>
      </c>
      <c r="E384" s="72">
        <f>INDEX($E$5:$E$14,MATCH(D384,$C$5:$C$14,0))</f>
        <v/>
      </c>
      <c r="F384" s="72">
        <f>INDEX($F$5:$F$14,MATCH(D384,$C$5:$C$14,0))</f>
        <v/>
      </c>
      <c r="G384" s="72">
        <f>INDEX($G$5:$G$14,MATCH(D384,$C$5:$C$14,0))</f>
        <v/>
      </c>
      <c r="H384" s="72" t="inlineStr">
        <is>
          <t>L05</t>
        </is>
      </c>
      <c r="I384" s="72" t="inlineStr">
        <is>
          <t>stjt2A1</t>
        </is>
      </c>
      <c r="J384" s="80" t="n">
        <v>850</v>
      </c>
      <c r="K384" s="72" t="inlineStr">
        <is>
          <t>Megan Hayes</t>
        </is>
      </c>
      <c r="L384" s="81" t="n">
        <v>990</v>
      </c>
      <c r="M384" s="81">
        <f>Y384</f>
        <v/>
      </c>
      <c r="N384" s="82" t="n">
        <v>44810</v>
      </c>
      <c r="O384" s="82" t="n">
        <v>44810</v>
      </c>
      <c r="P384" s="82" t="n">
        <v>46270</v>
      </c>
      <c r="R384" s="81">
        <f>SUM(AB384:AK384)</f>
        <v/>
      </c>
      <c r="S384" s="81">
        <f>SUM(AM384:AQ384)</f>
        <v/>
      </c>
      <c r="T384" s="81">
        <f>SUM(AS384:AW384)</f>
        <v/>
      </c>
      <c r="Y384" s="81" t="n">
        <v>875</v>
      </c>
    </row>
    <row r="385">
      <c r="A385" s="72">
        <f>$D$27</f>
        <v/>
      </c>
      <c r="B385" s="72">
        <f>B384+1</f>
        <v/>
      </c>
      <c r="C385" s="72">
        <f>IF(K385="Vacant","Vac",IF(K385="Model","Model",IF(K385="Admin","Admin",IF(K385="Down","Down",IF(K385="Super","Super","Occ")))))</f>
        <v/>
      </c>
      <c r="D385" s="72">
        <f>INDEX($C$5:$C$14,MATCH(I385,$D$5:$D$14,0))</f>
        <v/>
      </c>
      <c r="E385" s="72">
        <f>INDEX($E$5:$E$14,MATCH(D385,$C$5:$C$14,0))</f>
        <v/>
      </c>
      <c r="F385" s="72">
        <f>INDEX($F$5:$F$14,MATCH(D385,$C$5:$C$14,0))</f>
        <v/>
      </c>
      <c r="G385" s="72">
        <f>INDEX($G$5:$G$14,MATCH(D385,$C$5:$C$14,0))</f>
        <v/>
      </c>
      <c r="H385" s="72" t="inlineStr">
        <is>
          <t>L06</t>
        </is>
      </c>
      <c r="I385" s="72" t="inlineStr">
        <is>
          <t>stjt2C2</t>
        </is>
      </c>
      <c r="J385" s="80" t="n">
        <v>1075</v>
      </c>
      <c r="K385" s="72" t="inlineStr">
        <is>
          <t>Isaiah Bennett</t>
        </is>
      </c>
      <c r="L385" s="81" t="n">
        <v>1280</v>
      </c>
      <c r="M385" s="81">
        <f>Y385</f>
        <v/>
      </c>
      <c r="N385" s="82" t="n">
        <v>45765</v>
      </c>
      <c r="O385" s="82" t="n">
        <v>45765</v>
      </c>
      <c r="P385" s="82" t="n">
        <v>46129</v>
      </c>
      <c r="R385" s="81">
        <f>SUM(AB385:AK385)</f>
        <v/>
      </c>
      <c r="S385" s="81">
        <f>SUM(AM385:AQ385)</f>
        <v/>
      </c>
      <c r="T385" s="81">
        <f>SUM(AS385:AW385)</f>
        <v/>
      </c>
      <c r="Y385" s="81" t="n">
        <v>1150</v>
      </c>
    </row>
    <row r="386">
      <c r="A386" s="72">
        <f>$D$27</f>
        <v/>
      </c>
      <c r="B386" s="72">
        <f>B385+1</f>
        <v/>
      </c>
      <c r="C386" s="72">
        <f>IF(K386="Vacant","Vac",IF(K386="Model","Model",IF(K386="Admin","Admin",IF(K386="Down","Down",IF(K386="Super","Super","Occ")))))</f>
        <v/>
      </c>
      <c r="D386" s="72">
        <f>INDEX($C$5:$C$14,MATCH(I386,$D$5:$D$14,0))</f>
        <v/>
      </c>
      <c r="E386" s="72">
        <f>INDEX($E$5:$E$14,MATCH(D386,$C$5:$C$14,0))</f>
        <v/>
      </c>
      <c r="F386" s="72">
        <f>INDEX($F$5:$F$14,MATCH(D386,$C$5:$C$14,0))</f>
        <v/>
      </c>
      <c r="G386" s="72">
        <f>INDEX($G$5:$G$14,MATCH(D386,$C$5:$C$14,0))</f>
        <v/>
      </c>
      <c r="H386" s="72" t="inlineStr">
        <is>
          <t>L07</t>
        </is>
      </c>
      <c r="I386" s="72" t="inlineStr">
        <is>
          <t>stjt2A1</t>
        </is>
      </c>
      <c r="J386" s="80" t="n">
        <v>850</v>
      </c>
      <c r="K386" s="72" t="inlineStr">
        <is>
          <t>VACANT</t>
        </is>
      </c>
      <c r="L386" s="81" t="n">
        <v>990</v>
      </c>
      <c r="M386" s="81">
        <f>Y386</f>
        <v/>
      </c>
      <c r="R386" s="81">
        <f>SUM(AB386:AK386)</f>
        <v/>
      </c>
      <c r="S386" s="81">
        <f>SUM(AM386:AQ386)</f>
        <v/>
      </c>
      <c r="T386" s="81">
        <f>SUM(AS386:AW386)</f>
        <v/>
      </c>
      <c r="Y386" s="81" t="n">
        <v>0</v>
      </c>
    </row>
    <row r="387">
      <c r="A387" s="72">
        <f>$D$27</f>
        <v/>
      </c>
      <c r="B387" s="72">
        <f>B386+1</f>
        <v/>
      </c>
      <c r="C387" s="72">
        <f>IF(K387="Vacant","Vac",IF(K387="Model","Model",IF(K387="Admin","Admin",IF(K387="Down","Down",IF(K387="Super","Super","Occ")))))</f>
        <v/>
      </c>
      <c r="D387" s="72">
        <f>INDEX($C$5:$C$14,MATCH(I387,$D$5:$D$14,0))</f>
        <v/>
      </c>
      <c r="E387" s="72">
        <f>INDEX($E$5:$E$14,MATCH(D387,$C$5:$C$14,0))</f>
        <v/>
      </c>
      <c r="F387" s="72">
        <f>INDEX($F$5:$F$14,MATCH(D387,$C$5:$C$14,0))</f>
        <v/>
      </c>
      <c r="G387" s="72">
        <f>INDEX($G$5:$G$14,MATCH(D387,$C$5:$C$14,0))</f>
        <v/>
      </c>
      <c r="H387" s="72" t="inlineStr">
        <is>
          <t>L08</t>
        </is>
      </c>
      <c r="I387" s="72" t="inlineStr">
        <is>
          <t>stjt2C2</t>
        </is>
      </c>
      <c r="J387" s="80" t="n">
        <v>1075</v>
      </c>
      <c r="K387" s="72" t="inlineStr">
        <is>
          <t>Miriam Garcia Cruz</t>
        </is>
      </c>
      <c r="L387" s="81" t="n">
        <v>1280</v>
      </c>
      <c r="M387" s="81">
        <f>Y387</f>
        <v/>
      </c>
      <c r="N387" s="82" t="n">
        <v>44805</v>
      </c>
      <c r="O387" s="82" t="n">
        <v>44805</v>
      </c>
      <c r="P387" s="82" t="n">
        <v>46296</v>
      </c>
      <c r="R387" s="81">
        <f>SUM(AB387:AK387)</f>
        <v/>
      </c>
      <c r="S387" s="81">
        <f>SUM(AM387:AQ387)</f>
        <v/>
      </c>
      <c r="T387" s="81">
        <f>SUM(AS387:AW387)</f>
        <v/>
      </c>
      <c r="Y387" s="81" t="n">
        <v>1210</v>
      </c>
    </row>
    <row r="388">
      <c r="A388" s="72">
        <f>$D$27</f>
        <v/>
      </c>
      <c r="B388" s="72">
        <f>B387+1</f>
        <v/>
      </c>
      <c r="C388" s="72">
        <f>IF(K388="Vacant","Vac",IF(K388="Model","Model",IF(K388="Admin","Admin",IF(K388="Down","Down",IF(K388="Super","Super","Occ")))))</f>
        <v/>
      </c>
      <c r="D388" s="72">
        <f>INDEX($C$5:$C$14,MATCH(I388,$D$5:$D$14,0))</f>
        <v/>
      </c>
      <c r="E388" s="72">
        <f>INDEX($E$5:$E$14,MATCH(D388,$C$5:$C$14,0))</f>
        <v/>
      </c>
      <c r="F388" s="72">
        <f>INDEX($F$5:$F$14,MATCH(D388,$C$5:$C$14,0))</f>
        <v/>
      </c>
      <c r="G388" s="72">
        <f>INDEX($G$5:$G$14,MATCH(D388,$C$5:$C$14,0))</f>
        <v/>
      </c>
      <c r="H388" s="72" t="inlineStr">
        <is>
          <t>L09</t>
        </is>
      </c>
      <c r="I388" s="72" t="inlineStr">
        <is>
          <t>stjt2A1</t>
        </is>
      </c>
      <c r="J388" s="80" t="n">
        <v>850</v>
      </c>
      <c r="K388" s="72" t="inlineStr">
        <is>
          <t>Hawa Mugala</t>
        </is>
      </c>
      <c r="L388" s="81" t="n">
        <v>990</v>
      </c>
      <c r="M388" s="81">
        <f>Y388</f>
        <v/>
      </c>
      <c r="N388" s="82" t="n">
        <v>46021</v>
      </c>
      <c r="O388" s="82" t="n">
        <v>46021</v>
      </c>
      <c r="P388" s="82" t="n">
        <v>46385</v>
      </c>
      <c r="R388" s="81">
        <f>SUM(AB388:AK388)</f>
        <v/>
      </c>
      <c r="S388" s="81">
        <f>SUM(AM388:AQ388)</f>
        <v/>
      </c>
      <c r="T388" s="81">
        <f>SUM(AS388:AW388)</f>
        <v/>
      </c>
      <c r="Y388" s="81" t="n">
        <v>925</v>
      </c>
    </row>
    <row r="389">
      <c r="A389" s="72">
        <f>$D$27</f>
        <v/>
      </c>
      <c r="B389" s="72">
        <f>B388+1</f>
        <v/>
      </c>
      <c r="C389" s="72">
        <f>IF(K389="Vacant","Vac",IF(K389="Model","Model",IF(K389="Admin","Admin",IF(K389="Down","Down",IF(K389="Super","Super","Occ")))))</f>
        <v/>
      </c>
      <c r="D389" s="72">
        <f>INDEX($C$5:$C$14,MATCH(I389,$D$5:$D$14,0))</f>
        <v/>
      </c>
      <c r="E389" s="72">
        <f>INDEX($E$5:$E$14,MATCH(D389,$C$5:$C$14,0))</f>
        <v/>
      </c>
      <c r="F389" s="72">
        <f>INDEX($F$5:$F$14,MATCH(D389,$C$5:$C$14,0))</f>
        <v/>
      </c>
      <c r="G389" s="72">
        <f>INDEX($G$5:$G$14,MATCH(D389,$C$5:$C$14,0))</f>
        <v/>
      </c>
      <c r="H389" s="72" t="inlineStr">
        <is>
          <t>L10</t>
        </is>
      </c>
      <c r="I389" s="72" t="inlineStr">
        <is>
          <t>stjt2C2R</t>
        </is>
      </c>
      <c r="J389" s="80" t="n">
        <v>1075</v>
      </c>
      <c r="K389" s="72" t="inlineStr">
        <is>
          <t>Chad Roller</t>
        </is>
      </c>
      <c r="L389" s="81" t="n">
        <v>1414</v>
      </c>
      <c r="M389" s="81">
        <f>Y389</f>
        <v/>
      </c>
      <c r="N389" s="82" t="n">
        <v>45974</v>
      </c>
      <c r="O389" s="82" t="n">
        <v>45974</v>
      </c>
      <c r="P389" s="82" t="n">
        <v>46338</v>
      </c>
      <c r="R389" s="81">
        <f>SUM(AB389:AK389)</f>
        <v/>
      </c>
      <c r="S389" s="81">
        <f>SUM(AM389:AQ389)</f>
        <v/>
      </c>
      <c r="T389" s="81">
        <f>SUM(AS389:AW389)</f>
        <v/>
      </c>
      <c r="Y389" s="81" t="n">
        <v>999</v>
      </c>
    </row>
    <row r="390">
      <c r="A390" s="72">
        <f>$D$27</f>
        <v/>
      </c>
      <c r="B390" s="72">
        <f>B389+1</f>
        <v/>
      </c>
      <c r="C390" s="72">
        <f>IF(K390="Vacant","Vac",IF(K390="Model","Model",IF(K390="Admin","Admin",IF(K390="Down","Down",IF(K390="Super","Super","Occ")))))</f>
        <v/>
      </c>
      <c r="D390" s="72">
        <f>INDEX($C$5:$C$14,MATCH(I390,$D$5:$D$14,0))</f>
        <v/>
      </c>
      <c r="E390" s="72">
        <f>INDEX($E$5:$E$14,MATCH(D390,$C$5:$C$14,0))</f>
        <v/>
      </c>
      <c r="F390" s="72">
        <f>INDEX($F$5:$F$14,MATCH(D390,$C$5:$C$14,0))</f>
        <v/>
      </c>
      <c r="G390" s="72">
        <f>INDEX($G$5:$G$14,MATCH(D390,$C$5:$C$14,0))</f>
        <v/>
      </c>
      <c r="H390" s="72" t="inlineStr">
        <is>
          <t>L11</t>
        </is>
      </c>
      <c r="I390" s="72" t="inlineStr">
        <is>
          <t>stjt2A1</t>
        </is>
      </c>
      <c r="J390" s="80" t="n">
        <v>850</v>
      </c>
      <c r="K390" s="72" t="inlineStr">
        <is>
          <t>Kaydence Thurman</t>
        </is>
      </c>
      <c r="L390" s="81" t="n">
        <v>990</v>
      </c>
      <c r="M390" s="81">
        <f>Y390</f>
        <v/>
      </c>
      <c r="N390" s="82" t="n">
        <v>45899</v>
      </c>
      <c r="O390" s="82" t="n">
        <v>45899</v>
      </c>
      <c r="P390" s="82" t="n">
        <v>46263</v>
      </c>
      <c r="R390" s="81">
        <f>SUM(AB390:AK390)</f>
        <v/>
      </c>
      <c r="S390" s="81">
        <f>SUM(AM390:AQ390)</f>
        <v/>
      </c>
      <c r="T390" s="81">
        <f>SUM(AS390:AW390)</f>
        <v/>
      </c>
      <c r="Y390" s="81" t="n">
        <v>975</v>
      </c>
    </row>
    <row r="391">
      <c r="A391" s="72">
        <f>$D$27</f>
        <v/>
      </c>
      <c r="B391" s="72">
        <f>B390+1</f>
        <v/>
      </c>
      <c r="C391" s="72">
        <f>IF(K391="Vacant","Vac",IF(K391="Model","Model",IF(K391="Admin","Admin",IF(K391="Down","Down",IF(K391="Super","Super","Occ")))))</f>
        <v/>
      </c>
      <c r="D391" s="72">
        <f>INDEX($C$5:$C$14,MATCH(I391,$D$5:$D$14,0))</f>
        <v/>
      </c>
      <c r="E391" s="72">
        <f>INDEX($E$5:$E$14,MATCH(D391,$C$5:$C$14,0))</f>
        <v/>
      </c>
      <c r="F391" s="72">
        <f>INDEX($F$5:$F$14,MATCH(D391,$C$5:$C$14,0))</f>
        <v/>
      </c>
      <c r="G391" s="72">
        <f>INDEX($G$5:$G$14,MATCH(D391,$C$5:$C$14,0))</f>
        <v/>
      </c>
      <c r="H391" s="72" t="inlineStr">
        <is>
          <t>L12</t>
        </is>
      </c>
      <c r="I391" s="72" t="inlineStr">
        <is>
          <t>stjt2C2</t>
        </is>
      </c>
      <c r="J391" s="80" t="n">
        <v>1075</v>
      </c>
      <c r="K391" s="72" t="inlineStr">
        <is>
          <t>Mizunique Pointer</t>
        </is>
      </c>
      <c r="L391" s="81" t="n">
        <v>1300</v>
      </c>
      <c r="M391" s="81">
        <f>Y391</f>
        <v/>
      </c>
      <c r="N391" s="82" t="n">
        <v>46032</v>
      </c>
      <c r="O391" s="82" t="n">
        <v>46032</v>
      </c>
      <c r="P391" s="82" t="n">
        <v>46577</v>
      </c>
      <c r="R391" s="81">
        <f>SUM(AB391:AK391)</f>
        <v/>
      </c>
      <c r="S391" s="81">
        <f>SUM(AM391:AQ391)</f>
        <v/>
      </c>
      <c r="T391" s="81">
        <f>SUM(AS391:AW391)</f>
        <v/>
      </c>
      <c r="Y391" s="81" t="n">
        <v>999</v>
      </c>
    </row>
    <row r="392">
      <c r="A392" s="72">
        <f>$D$27</f>
        <v/>
      </c>
      <c r="B392" s="72">
        <f>B391+1</f>
        <v/>
      </c>
      <c r="C392" s="72">
        <f>IF(K392="Vacant","Vac",IF(K392="Model","Model",IF(K392="Admin","Admin",IF(K392="Down","Down",IF(K392="Super","Super","Occ")))))</f>
        <v/>
      </c>
      <c r="D392" s="72">
        <f>INDEX($C$5:$C$14,MATCH(I392,$D$5:$D$14,0))</f>
        <v/>
      </c>
      <c r="E392" s="72">
        <f>INDEX($E$5:$E$14,MATCH(D392,$C$5:$C$14,0))</f>
        <v/>
      </c>
      <c r="F392" s="72">
        <f>INDEX($F$5:$F$14,MATCH(D392,$C$5:$C$14,0))</f>
        <v/>
      </c>
      <c r="G392" s="72">
        <f>INDEX($G$5:$G$14,MATCH(D392,$C$5:$C$14,0))</f>
        <v/>
      </c>
      <c r="H392" s="72" t="inlineStr">
        <is>
          <t>L13</t>
        </is>
      </c>
      <c r="I392" s="72" t="inlineStr">
        <is>
          <t>stjt2B1</t>
        </is>
      </c>
      <c r="J392" s="80" t="n">
        <v>950</v>
      </c>
      <c r="K392" s="72" t="inlineStr">
        <is>
          <t>Almus Rivera</t>
        </is>
      </c>
      <c r="L392" s="81" t="n">
        <v>1020</v>
      </c>
      <c r="M392" s="81">
        <f>Y392</f>
        <v/>
      </c>
      <c r="N392" s="82" t="n">
        <v>45892</v>
      </c>
      <c r="O392" s="82" t="n">
        <v>45892</v>
      </c>
      <c r="P392" s="82" t="n">
        <v>46256</v>
      </c>
      <c r="R392" s="81">
        <f>SUM(AB392:AK392)</f>
        <v/>
      </c>
      <c r="S392" s="81">
        <f>SUM(AM392:AQ392)</f>
        <v/>
      </c>
      <c r="T392" s="81">
        <f>SUM(AS392:AW392)</f>
        <v/>
      </c>
      <c r="Y392" s="81" t="n">
        <v>1010</v>
      </c>
    </row>
    <row r="393">
      <c r="A393" s="72">
        <f>$D$27</f>
        <v/>
      </c>
      <c r="B393" s="72">
        <f>B392+1</f>
        <v/>
      </c>
      <c r="C393" s="72">
        <f>IF(K393="Vacant","Vac",IF(K393="Model","Model",IF(K393="Admin","Admin",IF(K393="Down","Down",IF(K393="Super","Super","Occ")))))</f>
        <v/>
      </c>
      <c r="D393" s="72">
        <f>INDEX($C$5:$C$14,MATCH(I393,$D$5:$D$14,0))</f>
        <v/>
      </c>
      <c r="E393" s="72">
        <f>INDEX($E$5:$E$14,MATCH(D393,$C$5:$C$14,0))</f>
        <v/>
      </c>
      <c r="F393" s="72">
        <f>INDEX($F$5:$F$14,MATCH(D393,$C$5:$C$14,0))</f>
        <v/>
      </c>
      <c r="G393" s="72">
        <f>INDEX($G$5:$G$14,MATCH(D393,$C$5:$C$14,0))</f>
        <v/>
      </c>
      <c r="H393" s="72" t="inlineStr">
        <is>
          <t>L14</t>
        </is>
      </c>
      <c r="I393" s="72" t="inlineStr">
        <is>
          <t>stjt2B1</t>
        </is>
      </c>
      <c r="J393" s="80" t="n">
        <v>950</v>
      </c>
      <c r="K393" s="72" t="inlineStr">
        <is>
          <t>William Nuss</t>
        </is>
      </c>
      <c r="L393" s="81" t="n">
        <v>1020</v>
      </c>
      <c r="M393" s="81">
        <f>Y393</f>
        <v/>
      </c>
      <c r="N393" s="82" t="n">
        <v>45777</v>
      </c>
      <c r="O393" s="82" t="n">
        <v>45777</v>
      </c>
      <c r="P393" s="82" t="n">
        <v>46232</v>
      </c>
      <c r="R393" s="81">
        <f>SUM(AB393:AK393)</f>
        <v/>
      </c>
      <c r="S393" s="81">
        <f>SUM(AM393:AQ393)</f>
        <v/>
      </c>
      <c r="T393" s="81">
        <f>SUM(AS393:AW393)</f>
        <v/>
      </c>
      <c r="Y393" s="81" t="n">
        <v>999</v>
      </c>
    </row>
    <row r="394">
      <c r="A394" s="72">
        <f>$D$27</f>
        <v/>
      </c>
      <c r="B394" s="72">
        <f>B393+1</f>
        <v/>
      </c>
      <c r="C394" s="72">
        <f>IF(K394="Vacant","Vac",IF(K394="Model","Model",IF(K394="Admin","Admin",IF(K394="Down","Down",IF(K394="Super","Super","Occ")))))</f>
        <v/>
      </c>
      <c r="D394" s="72">
        <f>INDEX($C$5:$C$14,MATCH(I394,$D$5:$D$14,0))</f>
        <v/>
      </c>
      <c r="E394" s="72">
        <f>INDEX($E$5:$E$14,MATCH(D394,$C$5:$C$14,0))</f>
        <v/>
      </c>
      <c r="F394" s="72">
        <f>INDEX($F$5:$F$14,MATCH(D394,$C$5:$C$14,0))</f>
        <v/>
      </c>
      <c r="G394" s="72">
        <f>INDEX($G$5:$G$14,MATCH(D394,$C$5:$C$14,0))</f>
        <v/>
      </c>
      <c r="H394" s="72" t="inlineStr">
        <is>
          <t>L15</t>
        </is>
      </c>
      <c r="I394" s="72" t="inlineStr">
        <is>
          <t>stjt2B1R</t>
        </is>
      </c>
      <c r="J394" s="80" t="n">
        <v>950</v>
      </c>
      <c r="K394" s="72" t="inlineStr">
        <is>
          <t>David Long</t>
        </is>
      </c>
      <c r="L394" s="81" t="n">
        <v>1120</v>
      </c>
      <c r="M394" s="81">
        <f>Y394</f>
        <v/>
      </c>
      <c r="N394" s="82" t="n">
        <v>45890</v>
      </c>
      <c r="O394" s="82" t="n">
        <v>45890</v>
      </c>
      <c r="P394" s="82" t="n">
        <v>46254</v>
      </c>
      <c r="R394" s="81">
        <f>SUM(AB394:AK394)</f>
        <v/>
      </c>
      <c r="S394" s="81">
        <f>SUM(AM394:AQ394)</f>
        <v/>
      </c>
      <c r="T394" s="81">
        <f>SUM(AS394:AW394)</f>
        <v/>
      </c>
      <c r="Y394" s="81" t="n">
        <v>1110</v>
      </c>
    </row>
    <row r="395">
      <c r="A395" s="72">
        <f>$D$27</f>
        <v/>
      </c>
      <c r="B395" s="72">
        <f>B394+1</f>
        <v/>
      </c>
      <c r="C395" s="72">
        <f>IF(K395="Vacant","Vac",IF(K395="Model","Model",IF(K395="Admin","Admin",IF(K395="Down","Down",IF(K395="Super","Super","Occ")))))</f>
        <v/>
      </c>
      <c r="D395" s="72">
        <f>INDEX($C$5:$C$14,MATCH(I395,$D$5:$D$14,0))</f>
        <v/>
      </c>
      <c r="E395" s="72">
        <f>INDEX($E$5:$E$14,MATCH(D395,$C$5:$C$14,0))</f>
        <v/>
      </c>
      <c r="F395" s="72">
        <f>INDEX($F$5:$F$14,MATCH(D395,$C$5:$C$14,0))</f>
        <v/>
      </c>
      <c r="G395" s="72">
        <f>INDEX($G$5:$G$14,MATCH(D395,$C$5:$C$14,0))</f>
        <v/>
      </c>
      <c r="H395" s="72" t="inlineStr">
        <is>
          <t>L16</t>
        </is>
      </c>
      <c r="I395" s="72" t="inlineStr">
        <is>
          <t>stjt2B1</t>
        </is>
      </c>
      <c r="J395" s="80" t="n">
        <v>950</v>
      </c>
      <c r="K395" s="72" t="inlineStr">
        <is>
          <t>Debora Ndeke</t>
        </is>
      </c>
      <c r="L395" s="81" t="n">
        <v>1020</v>
      </c>
      <c r="M395" s="81">
        <f>Y395</f>
        <v/>
      </c>
      <c r="N395" s="82" t="n">
        <v>45800</v>
      </c>
      <c r="O395" s="82" t="n">
        <v>45800</v>
      </c>
      <c r="P395" s="82" t="n">
        <v>46164</v>
      </c>
      <c r="R395" s="81">
        <f>SUM(AB395:AK395)</f>
        <v/>
      </c>
      <c r="S395" s="81">
        <f>SUM(AM395:AQ395)</f>
        <v/>
      </c>
      <c r="T395" s="81">
        <f>SUM(AS395:AW395)</f>
        <v/>
      </c>
      <c r="Y395" s="81" t="n">
        <v>999</v>
      </c>
    </row>
    <row r="396">
      <c r="A396" s="72">
        <f>$D$27</f>
        <v/>
      </c>
      <c r="B396" s="72">
        <f>B395+1</f>
        <v/>
      </c>
      <c r="C396" s="72">
        <f>IF(K396="Vacant","Vac",IF(K396="Model","Model",IF(K396="Admin","Admin",IF(K396="Down","Down",IF(K396="Super","Super","Occ")))))</f>
        <v/>
      </c>
      <c r="D396" s="72">
        <f>INDEX($C$5:$C$14,MATCH(I396,$D$5:$D$14,0))</f>
        <v/>
      </c>
      <c r="E396" s="72">
        <f>INDEX($E$5:$E$14,MATCH(D396,$C$5:$C$14,0))</f>
        <v/>
      </c>
      <c r="F396" s="72">
        <f>INDEX($F$5:$F$14,MATCH(D396,$C$5:$C$14,0))</f>
        <v/>
      </c>
      <c r="G396" s="72">
        <f>INDEX($G$5:$G$14,MATCH(D396,$C$5:$C$14,0))</f>
        <v/>
      </c>
      <c r="H396" s="72" t="inlineStr">
        <is>
          <t>L17</t>
        </is>
      </c>
      <c r="I396" s="72" t="inlineStr">
        <is>
          <t>stjt2B1R</t>
        </is>
      </c>
      <c r="J396" s="80" t="n">
        <v>950</v>
      </c>
      <c r="K396" s="72" t="inlineStr">
        <is>
          <t>Alexis Hainesworth</t>
        </is>
      </c>
      <c r="L396" s="81" t="n">
        <v>1135</v>
      </c>
      <c r="M396" s="81">
        <f>Y396</f>
        <v/>
      </c>
      <c r="N396" s="82" t="n">
        <v>45444</v>
      </c>
      <c r="O396" s="82" t="n">
        <v>45444</v>
      </c>
      <c r="P396" s="82" t="n">
        <v>46173</v>
      </c>
      <c r="R396" s="81">
        <f>SUM(AB396:AK396)</f>
        <v/>
      </c>
      <c r="S396" s="81">
        <f>SUM(AM396:AQ396)</f>
        <v/>
      </c>
      <c r="T396" s="81">
        <f>SUM(AS396:AW396)</f>
        <v/>
      </c>
      <c r="Y396" s="81" t="n">
        <v>1050</v>
      </c>
    </row>
    <row r="397">
      <c r="A397" s="72">
        <f>$D$27</f>
        <v/>
      </c>
      <c r="B397" s="72">
        <f>B396+1</f>
        <v/>
      </c>
      <c r="C397" s="72">
        <f>IF(K397="Vacant","Vac",IF(K397="Model","Model",IF(K397="Admin","Admin",IF(K397="Down","Down",IF(K397="Super","Super","Occ")))))</f>
        <v/>
      </c>
      <c r="D397" s="72">
        <f>INDEX($C$5:$C$14,MATCH(I397,$D$5:$D$14,0))</f>
        <v/>
      </c>
      <c r="E397" s="72">
        <f>INDEX($E$5:$E$14,MATCH(D397,$C$5:$C$14,0))</f>
        <v/>
      </c>
      <c r="F397" s="72">
        <f>INDEX($F$5:$F$14,MATCH(D397,$C$5:$C$14,0))</f>
        <v/>
      </c>
      <c r="G397" s="72">
        <f>INDEX($G$5:$G$14,MATCH(D397,$C$5:$C$14,0))</f>
        <v/>
      </c>
      <c r="H397" s="72" t="inlineStr">
        <is>
          <t>L18</t>
        </is>
      </c>
      <c r="I397" s="72" t="inlineStr">
        <is>
          <t>stjt2B1</t>
        </is>
      </c>
      <c r="J397" s="80" t="n">
        <v>950</v>
      </c>
      <c r="K397" s="72" t="inlineStr">
        <is>
          <t>Jaylen Sanders</t>
        </is>
      </c>
      <c r="L397" s="81" t="n">
        <v>1100</v>
      </c>
      <c r="M397" s="81">
        <f>Y397</f>
        <v/>
      </c>
      <c r="N397" s="82" t="n">
        <v>44951</v>
      </c>
      <c r="O397" s="82" t="n">
        <v>44951</v>
      </c>
      <c r="P397" s="82" t="n">
        <v>46501</v>
      </c>
      <c r="R397" s="81">
        <f>SUM(AB397:AK397)</f>
        <v/>
      </c>
      <c r="S397" s="81">
        <f>SUM(AM397:AQ397)</f>
        <v/>
      </c>
      <c r="T397" s="81">
        <f>SUM(AS397:AW397)</f>
        <v/>
      </c>
      <c r="Y397" s="81" t="n">
        <v>1030</v>
      </c>
    </row>
    <row r="398">
      <c r="A398" s="72">
        <f>$D$27</f>
        <v/>
      </c>
      <c r="B398" s="72">
        <f>B397+1</f>
        <v/>
      </c>
      <c r="C398" s="72">
        <f>IF(K398="Vacant","Vac",IF(K398="Model","Model",IF(K398="Admin","Admin",IF(K398="Down","Down",IF(K398="Super","Super","Occ")))))</f>
        <v/>
      </c>
      <c r="D398" s="72">
        <f>INDEX($C$5:$C$14,MATCH(I398,$D$5:$D$14,0))</f>
        <v/>
      </c>
      <c r="E398" s="72">
        <f>INDEX($E$5:$E$14,MATCH(D398,$C$5:$C$14,0))</f>
        <v/>
      </c>
      <c r="F398" s="72">
        <f>INDEX($F$5:$F$14,MATCH(D398,$C$5:$C$14,0))</f>
        <v/>
      </c>
      <c r="G398" s="72">
        <f>INDEX($G$5:$G$14,MATCH(D398,$C$5:$C$14,0))</f>
        <v/>
      </c>
      <c r="H398" s="72" t="inlineStr">
        <is>
          <t>L19</t>
        </is>
      </c>
      <c r="I398" s="72" t="inlineStr">
        <is>
          <t>stjt2B1R</t>
        </is>
      </c>
      <c r="J398" s="80" t="n">
        <v>950</v>
      </c>
      <c r="K398" s="72" t="inlineStr">
        <is>
          <t>Noah Carter</t>
        </is>
      </c>
      <c r="L398" s="81" t="n">
        <v>1135</v>
      </c>
      <c r="M398" s="81">
        <f>Y398</f>
        <v/>
      </c>
      <c r="N398" s="82" t="n">
        <v>45549</v>
      </c>
      <c r="O398" s="82" t="n">
        <v>45549</v>
      </c>
      <c r="P398" s="82" t="n">
        <v>46278</v>
      </c>
      <c r="R398" s="81">
        <f>SUM(AB398:AK398)</f>
        <v/>
      </c>
      <c r="S398" s="81">
        <f>SUM(AM398:AQ398)</f>
        <v/>
      </c>
      <c r="T398" s="81">
        <f>SUM(AS398:AW398)</f>
        <v/>
      </c>
      <c r="Y398" s="81" t="n">
        <v>1100</v>
      </c>
    </row>
    <row r="399">
      <c r="A399" s="72">
        <f>$D$27</f>
        <v/>
      </c>
      <c r="B399" s="72">
        <f>B398+1</f>
        <v/>
      </c>
      <c r="C399" s="72">
        <f>IF(K399="Vacant","Vac",IF(K399="Model","Model",IF(K399="Admin","Admin",IF(K399="Down","Down",IF(K399="Super","Super","Occ")))))</f>
        <v/>
      </c>
      <c r="D399" s="72">
        <f>INDEX($C$5:$C$14,MATCH(I399,$D$5:$D$14,0))</f>
        <v/>
      </c>
      <c r="E399" s="72">
        <f>INDEX($E$5:$E$14,MATCH(D399,$C$5:$C$14,0))</f>
        <v/>
      </c>
      <c r="F399" s="72">
        <f>INDEX($F$5:$F$14,MATCH(D399,$C$5:$C$14,0))</f>
        <v/>
      </c>
      <c r="G399" s="72">
        <f>INDEX($G$5:$G$14,MATCH(D399,$C$5:$C$14,0))</f>
        <v/>
      </c>
      <c r="H399" s="72" t="inlineStr">
        <is>
          <t>L20</t>
        </is>
      </c>
      <c r="I399" s="72" t="inlineStr">
        <is>
          <t>stjt2B1R</t>
        </is>
      </c>
      <c r="J399" s="80" t="n">
        <v>950</v>
      </c>
      <c r="K399" s="72" t="inlineStr">
        <is>
          <t>Amarrii Burkley</t>
        </is>
      </c>
      <c r="L399" s="81" t="n">
        <v>1135</v>
      </c>
      <c r="M399" s="81">
        <f>Y399</f>
        <v/>
      </c>
      <c r="N399" s="82" t="n">
        <v>45731</v>
      </c>
      <c r="O399" s="82" t="n">
        <v>45731</v>
      </c>
      <c r="P399" s="82" t="n">
        <v>46187</v>
      </c>
      <c r="R399" s="81">
        <f>SUM(AB399:AK399)</f>
        <v/>
      </c>
      <c r="S399" s="81">
        <f>SUM(AM399:AQ399)</f>
        <v/>
      </c>
      <c r="T399" s="81">
        <f>SUM(AS399:AW399)</f>
        <v/>
      </c>
      <c r="Y399" s="81" t="n">
        <v>1060</v>
      </c>
    </row>
    <row r="400">
      <c r="A400" s="72">
        <f>$D$27</f>
        <v/>
      </c>
      <c r="B400" s="72">
        <f>B399+1</f>
        <v/>
      </c>
      <c r="C400" s="72">
        <f>IF(K400="Vacant","Vac",IF(K400="Model","Model",IF(K400="Admin","Admin",IF(K400="Down","Down",IF(K400="Super","Super","Occ")))))</f>
        <v/>
      </c>
      <c r="D400" s="72">
        <f>INDEX($C$5:$C$14,MATCH(I400,$D$5:$D$14,0))</f>
        <v/>
      </c>
      <c r="E400" s="72">
        <f>INDEX($E$5:$E$14,MATCH(D400,$C$5:$C$14,0))</f>
        <v/>
      </c>
      <c r="F400" s="72">
        <f>INDEX($F$5:$F$14,MATCH(D400,$C$5:$C$14,0))</f>
        <v/>
      </c>
      <c r="G400" s="72">
        <f>INDEX($G$5:$G$14,MATCH(D400,$C$5:$C$14,0))</f>
        <v/>
      </c>
      <c r="H400" s="72" t="inlineStr">
        <is>
          <t>L21</t>
        </is>
      </c>
      <c r="I400" s="72" t="inlineStr">
        <is>
          <t>stjt2B1</t>
        </is>
      </c>
      <c r="J400" s="80" t="n">
        <v>950</v>
      </c>
      <c r="K400" s="72" t="inlineStr">
        <is>
          <t>VACANT</t>
        </is>
      </c>
      <c r="L400" s="81" t="n">
        <v>965</v>
      </c>
      <c r="M400" s="81">
        <f>Y400</f>
        <v/>
      </c>
      <c r="R400" s="81">
        <f>SUM(AB400:AK400)</f>
        <v/>
      </c>
      <c r="S400" s="81">
        <f>SUM(AM400:AQ400)</f>
        <v/>
      </c>
      <c r="T400" s="81">
        <f>SUM(AS400:AW400)</f>
        <v/>
      </c>
      <c r="Y400" s="81" t="n">
        <v>0</v>
      </c>
    </row>
    <row r="401">
      <c r="A401" s="72">
        <f>$D$27</f>
        <v/>
      </c>
      <c r="B401" s="72">
        <f>B400+1</f>
        <v/>
      </c>
      <c r="C401" s="72">
        <f>IF(K401="Vacant","Vac",IF(K401="Model","Model",IF(K401="Admin","Admin",IF(K401="Down","Down",IF(K401="Super","Super","Occ")))))</f>
        <v/>
      </c>
      <c r="D401" s="72">
        <f>INDEX($C$5:$C$14,MATCH(I401,$D$5:$D$14,0))</f>
        <v/>
      </c>
      <c r="E401" s="72">
        <f>INDEX($E$5:$E$14,MATCH(D401,$C$5:$C$14,0))</f>
        <v/>
      </c>
      <c r="F401" s="72">
        <f>INDEX($F$5:$F$14,MATCH(D401,$C$5:$C$14,0))</f>
        <v/>
      </c>
      <c r="G401" s="72">
        <f>INDEX($G$5:$G$14,MATCH(D401,$C$5:$C$14,0))</f>
        <v/>
      </c>
      <c r="H401" s="72" t="inlineStr">
        <is>
          <t>L22</t>
        </is>
      </c>
      <c r="I401" s="72" t="inlineStr">
        <is>
          <t>stjt2B1</t>
        </is>
      </c>
      <c r="J401" s="80" t="n">
        <v>950</v>
      </c>
      <c r="K401" s="72" t="inlineStr">
        <is>
          <t>Veronica Givens</t>
        </is>
      </c>
      <c r="L401" s="81" t="n">
        <v>1035</v>
      </c>
      <c r="M401" s="81">
        <f>Y401</f>
        <v/>
      </c>
      <c r="N401" s="82" t="n">
        <v>44834</v>
      </c>
      <c r="O401" s="82" t="n">
        <v>44834</v>
      </c>
      <c r="P401" s="82" t="n">
        <v>46257</v>
      </c>
      <c r="R401" s="81">
        <f>SUM(AB401:AK401)</f>
        <v/>
      </c>
      <c r="S401" s="81">
        <f>SUM(AM401:AQ401)</f>
        <v/>
      </c>
      <c r="T401" s="81">
        <f>SUM(AS401:AW401)</f>
        <v/>
      </c>
      <c r="Y401" s="81" t="n">
        <v>988</v>
      </c>
    </row>
    <row r="402">
      <c r="A402" s="72">
        <f>$D$27</f>
        <v/>
      </c>
      <c r="B402" s="72">
        <f>B401+1</f>
        <v/>
      </c>
      <c r="C402" s="72">
        <f>IF(K402="Vacant","Vac",IF(K402="Model","Model",IF(K402="Admin","Admin",IF(K402="Down","Down",IF(K402="Super","Super","Occ")))))</f>
        <v/>
      </c>
      <c r="D402" s="72">
        <f>INDEX($C$5:$C$14,MATCH(I402,$D$5:$D$14,0))</f>
        <v/>
      </c>
      <c r="E402" s="72">
        <f>INDEX($E$5:$E$14,MATCH(D402,$C$5:$C$14,0))</f>
        <v/>
      </c>
      <c r="F402" s="72">
        <f>INDEX($F$5:$F$14,MATCH(D402,$C$5:$C$14,0))</f>
        <v/>
      </c>
      <c r="G402" s="72">
        <f>INDEX($G$5:$G$14,MATCH(D402,$C$5:$C$14,0))</f>
        <v/>
      </c>
      <c r="H402" s="72" t="inlineStr">
        <is>
          <t>L23</t>
        </is>
      </c>
      <c r="I402" s="72" t="inlineStr">
        <is>
          <t>stjt2B1R</t>
        </is>
      </c>
      <c r="J402" s="80" t="n">
        <v>950</v>
      </c>
      <c r="K402" s="72" t="inlineStr">
        <is>
          <t>VACANT</t>
        </is>
      </c>
      <c r="L402" s="81" t="n">
        <v>1120</v>
      </c>
      <c r="M402" s="81">
        <f>Y402</f>
        <v/>
      </c>
      <c r="R402" s="81">
        <f>SUM(AB402:AK402)</f>
        <v/>
      </c>
      <c r="S402" s="81">
        <f>SUM(AM402:AQ402)</f>
        <v/>
      </c>
      <c r="T402" s="81">
        <f>SUM(AS402:AW402)</f>
        <v/>
      </c>
      <c r="Y402" s="81" t="n">
        <v>0</v>
      </c>
    </row>
    <row r="403">
      <c r="A403" s="72">
        <f>$D$27</f>
        <v/>
      </c>
      <c r="B403" s="72">
        <f>B402+1</f>
        <v/>
      </c>
      <c r="C403" s="72">
        <f>IF(K403="Vacant","Vac",IF(K403="Model","Model",IF(K403="Admin","Admin",IF(K403="Down","Down",IF(K403="Super","Super","Occ")))))</f>
        <v/>
      </c>
      <c r="D403" s="72">
        <f>INDEX($C$5:$C$14,MATCH(I403,$D$5:$D$14,0))</f>
        <v/>
      </c>
      <c r="E403" s="72">
        <f>INDEX($E$5:$E$14,MATCH(D403,$C$5:$C$14,0))</f>
        <v/>
      </c>
      <c r="F403" s="72">
        <f>INDEX($F$5:$F$14,MATCH(D403,$C$5:$C$14,0))</f>
        <v/>
      </c>
      <c r="G403" s="72">
        <f>INDEX($G$5:$G$14,MATCH(D403,$C$5:$C$14,0))</f>
        <v/>
      </c>
      <c r="H403" s="72" t="inlineStr">
        <is>
          <t>L24</t>
        </is>
      </c>
      <c r="I403" s="72" t="inlineStr">
        <is>
          <t>stjt2B1</t>
        </is>
      </c>
      <c r="J403" s="80" t="n">
        <v>950</v>
      </c>
      <c r="K403" s="72" t="inlineStr">
        <is>
          <t>Cameron Hamby</t>
        </is>
      </c>
      <c r="L403" s="81" t="n">
        <v>1035</v>
      </c>
      <c r="M403" s="81">
        <f>Y403</f>
        <v/>
      </c>
      <c r="N403" s="82" t="n">
        <v>44484</v>
      </c>
      <c r="O403" s="82" t="n">
        <v>44484</v>
      </c>
      <c r="P403" s="82" t="n">
        <v>46248</v>
      </c>
      <c r="R403" s="81">
        <f>SUM(AB403:AK403)</f>
        <v/>
      </c>
      <c r="S403" s="81">
        <f>SUM(AM403:AQ403)</f>
        <v/>
      </c>
      <c r="T403" s="81">
        <f>SUM(AS403:AW403)</f>
        <v/>
      </c>
      <c r="Y403" s="81" t="n">
        <v>954</v>
      </c>
    </row>
    <row r="404">
      <c r="A404" s="72">
        <f>$D$27</f>
        <v/>
      </c>
      <c r="B404" s="72">
        <f>B403+1</f>
        <v/>
      </c>
      <c r="C404" s="72">
        <f>IF(K404="Vacant","Vac",IF(K404="Model","Model",IF(K404="Admin","Admin",IF(K404="Down","Down",IF(K404="Super","Super","Occ")))))</f>
        <v/>
      </c>
      <c r="D404" s="72">
        <f>INDEX($C$5:$C$14,MATCH(I404,$D$5:$D$14,0))</f>
        <v/>
      </c>
      <c r="E404" s="72">
        <f>INDEX($E$5:$E$14,MATCH(D404,$C$5:$C$14,0))</f>
        <v/>
      </c>
      <c r="F404" s="72">
        <f>INDEX($F$5:$F$14,MATCH(D404,$C$5:$C$14,0))</f>
        <v/>
      </c>
      <c r="G404" s="72">
        <f>INDEX($G$5:$G$14,MATCH(D404,$C$5:$C$14,0))</f>
        <v/>
      </c>
      <c r="H404" s="72" t="inlineStr">
        <is>
          <t>L25</t>
        </is>
      </c>
      <c r="I404" s="72" t="inlineStr">
        <is>
          <t>stjt2C2R</t>
        </is>
      </c>
      <c r="J404" s="80" t="n">
        <v>1075</v>
      </c>
      <c r="K404" s="72" t="inlineStr">
        <is>
          <t>Pamela Cleaver</t>
        </is>
      </c>
      <c r="L404" s="81" t="n">
        <v>1399</v>
      </c>
      <c r="M404" s="81">
        <f>Y404</f>
        <v/>
      </c>
      <c r="N404" s="82" t="n">
        <v>45898</v>
      </c>
      <c r="O404" s="82" t="n">
        <v>45898</v>
      </c>
      <c r="P404" s="82" t="n">
        <v>46262</v>
      </c>
      <c r="R404" s="81">
        <f>SUM(AB404:AK404)</f>
        <v/>
      </c>
      <c r="S404" s="81">
        <f>SUM(AM404:AQ404)</f>
        <v/>
      </c>
      <c r="T404" s="81">
        <f>SUM(AS404:AW404)</f>
        <v/>
      </c>
      <c r="Y404" s="81" t="n">
        <v>1315</v>
      </c>
    </row>
    <row r="405">
      <c r="A405" s="72">
        <f>$D$27</f>
        <v/>
      </c>
      <c r="B405" s="72">
        <f>B404+1</f>
        <v/>
      </c>
      <c r="C405" s="72">
        <f>IF(K405="Vacant","Vac",IF(K405="Model","Model",IF(K405="Admin","Admin",IF(K405="Down","Down",IF(K405="Super","Super","Occ")))))</f>
        <v/>
      </c>
      <c r="D405" s="72">
        <f>INDEX($C$5:$C$14,MATCH(I405,$D$5:$D$14,0))</f>
        <v/>
      </c>
      <c r="E405" s="72">
        <f>INDEX($E$5:$E$14,MATCH(D405,$C$5:$C$14,0))</f>
        <v/>
      </c>
      <c r="F405" s="72">
        <f>INDEX($F$5:$F$14,MATCH(D405,$C$5:$C$14,0))</f>
        <v/>
      </c>
      <c r="G405" s="72">
        <f>INDEX($G$5:$G$14,MATCH(D405,$C$5:$C$14,0))</f>
        <v/>
      </c>
      <c r="H405" s="72" t="inlineStr">
        <is>
          <t>L26</t>
        </is>
      </c>
      <c r="I405" s="72" t="inlineStr">
        <is>
          <t>stjt2A1</t>
        </is>
      </c>
      <c r="J405" s="80" t="n">
        <v>850</v>
      </c>
      <c r="K405" s="72" t="inlineStr">
        <is>
          <t>Francys C Sequera</t>
        </is>
      </c>
      <c r="L405" s="81" t="n">
        <v>975</v>
      </c>
      <c r="M405" s="81">
        <f>Y405</f>
        <v/>
      </c>
      <c r="N405" s="82" t="n">
        <v>46142</v>
      </c>
      <c r="O405" s="82" t="n">
        <v>46142</v>
      </c>
      <c r="P405" s="82" t="n">
        <v>46567</v>
      </c>
      <c r="R405" s="81">
        <f>SUM(AB405:AK405)</f>
        <v/>
      </c>
      <c r="S405" s="81">
        <f>SUM(AM405:AQ405)</f>
        <v/>
      </c>
      <c r="T405" s="81">
        <f>SUM(AS405:AW405)</f>
        <v/>
      </c>
      <c r="Y405" s="81" t="n">
        <v>975</v>
      </c>
    </row>
    <row r="406">
      <c r="A406" s="72">
        <f>$D$27</f>
        <v/>
      </c>
      <c r="B406" s="72">
        <f>B405+1</f>
        <v/>
      </c>
      <c r="C406" s="72">
        <f>IF(K406="Vacant","Vac",IF(K406="Model","Model",IF(K406="Admin","Admin",IF(K406="Down","Down",IF(K406="Super","Super","Occ")))))</f>
        <v/>
      </c>
      <c r="D406" s="72">
        <f>INDEX($C$5:$C$14,MATCH(I406,$D$5:$D$14,0))</f>
        <v/>
      </c>
      <c r="E406" s="72">
        <f>INDEX($E$5:$E$14,MATCH(D406,$C$5:$C$14,0))</f>
        <v/>
      </c>
      <c r="F406" s="72">
        <f>INDEX($F$5:$F$14,MATCH(D406,$C$5:$C$14,0))</f>
        <v/>
      </c>
      <c r="G406" s="72">
        <f>INDEX($G$5:$G$14,MATCH(D406,$C$5:$C$14,0))</f>
        <v/>
      </c>
      <c r="H406" s="72" t="inlineStr">
        <is>
          <t>L27</t>
        </is>
      </c>
      <c r="I406" s="72" t="inlineStr">
        <is>
          <t>stjt2C2R</t>
        </is>
      </c>
      <c r="J406" s="80" t="n">
        <v>1075</v>
      </c>
      <c r="K406" s="72" t="inlineStr">
        <is>
          <t>Ladecia Anderson</t>
        </is>
      </c>
      <c r="L406" s="81" t="n">
        <v>1399</v>
      </c>
      <c r="M406" s="81">
        <f>Y406</f>
        <v/>
      </c>
      <c r="N406" s="82" t="n">
        <v>45618</v>
      </c>
      <c r="O406" s="82" t="n">
        <v>45618</v>
      </c>
      <c r="P406" s="82" t="n">
        <v>46163</v>
      </c>
      <c r="R406" s="81">
        <f>SUM(AB406:AK406)</f>
        <v/>
      </c>
      <c r="S406" s="81">
        <f>SUM(AM406:AQ406)</f>
        <v/>
      </c>
      <c r="T406" s="81">
        <f>SUM(AS406:AW406)</f>
        <v/>
      </c>
      <c r="Y406" s="81" t="n">
        <v>1035</v>
      </c>
    </row>
    <row r="407">
      <c r="A407" s="72">
        <f>$D$27</f>
        <v/>
      </c>
      <c r="B407" s="72">
        <f>B406+1</f>
        <v/>
      </c>
      <c r="C407" s="72">
        <f>IF(K407="Vacant","Vac",IF(K407="Model","Model",IF(K407="Admin","Admin",IF(K407="Down","Down",IF(K407="Super","Super","Occ")))))</f>
        <v/>
      </c>
      <c r="D407" s="72">
        <f>INDEX($C$5:$C$14,MATCH(I407,$D$5:$D$14,0))</f>
        <v/>
      </c>
      <c r="E407" s="72">
        <f>INDEX($E$5:$E$14,MATCH(D407,$C$5:$C$14,0))</f>
        <v/>
      </c>
      <c r="F407" s="72">
        <f>INDEX($F$5:$F$14,MATCH(D407,$C$5:$C$14,0))</f>
        <v/>
      </c>
      <c r="G407" s="72">
        <f>INDEX($G$5:$G$14,MATCH(D407,$C$5:$C$14,0))</f>
        <v/>
      </c>
      <c r="H407" s="72" t="inlineStr">
        <is>
          <t>L28</t>
        </is>
      </c>
      <c r="I407" s="72" t="inlineStr">
        <is>
          <t>stjt2A1</t>
        </is>
      </c>
      <c r="J407" s="80" t="n">
        <v>850</v>
      </c>
      <c r="K407" s="72" t="inlineStr">
        <is>
          <t>Clint Carroll</t>
        </is>
      </c>
      <c r="L407" s="81" t="n">
        <v>975</v>
      </c>
      <c r="M407" s="81">
        <f>Y407</f>
        <v/>
      </c>
      <c r="N407" s="82" t="n">
        <v>45880</v>
      </c>
      <c r="O407" s="82" t="n">
        <v>45880</v>
      </c>
      <c r="P407" s="82" t="n">
        <v>46244</v>
      </c>
      <c r="R407" s="81">
        <f>SUM(AB407:AK407)</f>
        <v/>
      </c>
      <c r="S407" s="81">
        <f>SUM(AM407:AQ407)</f>
        <v/>
      </c>
      <c r="T407" s="81">
        <f>SUM(AS407:AW407)</f>
        <v/>
      </c>
      <c r="Y407" s="81" t="n">
        <v>960</v>
      </c>
    </row>
    <row r="408">
      <c r="A408" s="72">
        <f>$D$27</f>
        <v/>
      </c>
      <c r="B408" s="72">
        <f>B407+1</f>
        <v/>
      </c>
      <c r="C408" s="72">
        <f>IF(K408="Vacant","Vac",IF(K408="Model","Model",IF(K408="Admin","Admin",IF(K408="Down","Down",IF(K408="Super","Super","Occ")))))</f>
        <v/>
      </c>
      <c r="D408" s="72">
        <f>INDEX($C$5:$C$14,MATCH(I408,$D$5:$D$14,0))</f>
        <v/>
      </c>
      <c r="E408" s="72">
        <f>INDEX($E$5:$E$14,MATCH(D408,$C$5:$C$14,0))</f>
        <v/>
      </c>
      <c r="F408" s="72">
        <f>INDEX($F$5:$F$14,MATCH(D408,$C$5:$C$14,0))</f>
        <v/>
      </c>
      <c r="G408" s="72">
        <f>INDEX($G$5:$G$14,MATCH(D408,$C$5:$C$14,0))</f>
        <v/>
      </c>
      <c r="H408" s="72" t="inlineStr">
        <is>
          <t>L29</t>
        </is>
      </c>
      <c r="I408" s="72" t="inlineStr">
        <is>
          <t>stjt2C2R</t>
        </is>
      </c>
      <c r="J408" s="80" t="n">
        <v>1075</v>
      </c>
      <c r="K408" s="72" t="inlineStr">
        <is>
          <t>Sylvie Mbokuba</t>
        </is>
      </c>
      <c r="L408" s="81" t="n">
        <v>1414</v>
      </c>
      <c r="M408" s="81">
        <f>Y408</f>
        <v/>
      </c>
      <c r="N408" s="82" t="n">
        <v>45905</v>
      </c>
      <c r="O408" s="82" t="n">
        <v>45905</v>
      </c>
      <c r="P408" s="82" t="n">
        <v>46634</v>
      </c>
      <c r="R408" s="81">
        <f>SUM(AB408:AK408)</f>
        <v/>
      </c>
      <c r="S408" s="81">
        <f>SUM(AM408:AQ408)</f>
        <v/>
      </c>
      <c r="T408" s="81">
        <f>SUM(AS408:AW408)</f>
        <v/>
      </c>
      <c r="Y408" s="81" t="n">
        <v>1315</v>
      </c>
    </row>
    <row r="409">
      <c r="A409" s="72">
        <f>$D$27</f>
        <v/>
      </c>
      <c r="B409" s="72">
        <f>B408+1</f>
        <v/>
      </c>
      <c r="C409" s="72">
        <f>IF(K409="Vacant","Vac",IF(K409="Model","Model",IF(K409="Admin","Admin",IF(K409="Down","Down",IF(K409="Super","Super","Occ")))))</f>
        <v/>
      </c>
      <c r="D409" s="72">
        <f>INDEX($C$5:$C$14,MATCH(I409,$D$5:$D$14,0))</f>
        <v/>
      </c>
      <c r="E409" s="72">
        <f>INDEX($E$5:$E$14,MATCH(D409,$C$5:$C$14,0))</f>
        <v/>
      </c>
      <c r="F409" s="72">
        <f>INDEX($F$5:$F$14,MATCH(D409,$C$5:$C$14,0))</f>
        <v/>
      </c>
      <c r="G409" s="72">
        <f>INDEX($G$5:$G$14,MATCH(D409,$C$5:$C$14,0))</f>
        <v/>
      </c>
      <c r="H409" s="72" t="inlineStr">
        <is>
          <t>L30</t>
        </is>
      </c>
      <c r="I409" s="72" t="inlineStr">
        <is>
          <t>stjt2A1</t>
        </is>
      </c>
      <c r="J409" s="80" t="n">
        <v>850</v>
      </c>
      <c r="K409" s="72" t="inlineStr">
        <is>
          <t>Jose Mendoza Hernandez</t>
        </is>
      </c>
      <c r="L409" s="81" t="n">
        <v>990</v>
      </c>
      <c r="M409" s="81">
        <f>Y409</f>
        <v/>
      </c>
      <c r="N409" s="82" t="n">
        <v>46142</v>
      </c>
      <c r="O409" s="82" t="n">
        <v>46142</v>
      </c>
      <c r="P409" s="82" t="n">
        <v>46567</v>
      </c>
      <c r="R409" s="81">
        <f>SUM(AB409:AK409)</f>
        <v/>
      </c>
      <c r="S409" s="81">
        <f>SUM(AM409:AQ409)</f>
        <v/>
      </c>
      <c r="T409" s="81">
        <f>SUM(AS409:AW409)</f>
        <v/>
      </c>
      <c r="Y409" s="81" t="n">
        <v>0</v>
      </c>
    </row>
    <row r="410">
      <c r="A410" s="72">
        <f>$D$27</f>
        <v/>
      </c>
      <c r="B410" s="72">
        <f>B409+1</f>
        <v/>
      </c>
      <c r="C410" s="72">
        <f>IF(K410="Vacant","Vac",IF(K410="Model","Model",IF(K410="Admin","Admin",IF(K410="Down","Down",IF(K410="Super","Super","Occ")))))</f>
        <v/>
      </c>
      <c r="D410" s="72">
        <f>INDEX($C$5:$C$14,MATCH(I410,$D$5:$D$14,0))</f>
        <v/>
      </c>
      <c r="E410" s="72">
        <f>INDEX($E$5:$E$14,MATCH(D410,$C$5:$C$14,0))</f>
        <v/>
      </c>
      <c r="F410" s="72">
        <f>INDEX($F$5:$F$14,MATCH(D410,$C$5:$C$14,0))</f>
        <v/>
      </c>
      <c r="G410" s="72">
        <f>INDEX($G$5:$G$14,MATCH(D410,$C$5:$C$14,0))</f>
        <v/>
      </c>
      <c r="H410" s="72" t="inlineStr">
        <is>
          <t>L31</t>
        </is>
      </c>
      <c r="I410" s="72" t="inlineStr">
        <is>
          <t>stjt2C2R</t>
        </is>
      </c>
      <c r="J410" s="80" t="n">
        <v>1075</v>
      </c>
      <c r="K410" s="72" t="inlineStr">
        <is>
          <t>Shonda Johnson</t>
        </is>
      </c>
      <c r="L410" s="81" t="n">
        <v>1414</v>
      </c>
      <c r="M410" s="81">
        <f>Y410</f>
        <v/>
      </c>
      <c r="N410" s="82" t="n">
        <v>46108</v>
      </c>
      <c r="O410" s="82" t="n">
        <v>46108</v>
      </c>
      <c r="P410" s="82" t="n">
        <v>46472</v>
      </c>
      <c r="R410" s="81">
        <f>SUM(AB410:AK410)</f>
        <v/>
      </c>
      <c r="S410" s="81">
        <f>SUM(AM410:AQ410)</f>
        <v/>
      </c>
      <c r="T410" s="81">
        <f>SUM(AS410:AW410)</f>
        <v/>
      </c>
      <c r="Y410" s="81" t="n">
        <v>1414</v>
      </c>
    </row>
    <row r="411">
      <c r="A411" s="72">
        <f>$D$27</f>
        <v/>
      </c>
      <c r="B411" s="72">
        <f>B410+1</f>
        <v/>
      </c>
      <c r="C411" s="72">
        <f>IF(K411="Vacant","Vac",IF(K411="Model","Model",IF(K411="Admin","Admin",IF(K411="Down","Down",IF(K411="Super","Super","Occ")))))</f>
        <v/>
      </c>
      <c r="D411" s="72">
        <f>INDEX($C$5:$C$14,MATCH(I411,$D$5:$D$14,0))</f>
        <v/>
      </c>
      <c r="E411" s="72">
        <f>INDEX($E$5:$E$14,MATCH(D411,$C$5:$C$14,0))</f>
        <v/>
      </c>
      <c r="F411" s="72">
        <f>INDEX($F$5:$F$14,MATCH(D411,$C$5:$C$14,0))</f>
        <v/>
      </c>
      <c r="G411" s="72">
        <f>INDEX($G$5:$G$14,MATCH(D411,$C$5:$C$14,0))</f>
        <v/>
      </c>
      <c r="H411" s="72" t="inlineStr">
        <is>
          <t>L32</t>
        </is>
      </c>
      <c r="I411" s="72" t="inlineStr">
        <is>
          <t>stjt2A1</t>
        </is>
      </c>
      <c r="J411" s="80" t="n">
        <v>850</v>
      </c>
      <c r="K411" s="72" t="inlineStr">
        <is>
          <t>Hayden Cottrill</t>
        </is>
      </c>
      <c r="L411" s="81" t="n">
        <v>990</v>
      </c>
      <c r="M411" s="81">
        <f>Y411</f>
        <v/>
      </c>
      <c r="N411" s="82" t="n">
        <v>45323</v>
      </c>
      <c r="O411" s="82" t="n">
        <v>45323</v>
      </c>
      <c r="P411" s="82" t="n">
        <v>46507</v>
      </c>
      <c r="R411" s="81">
        <f>SUM(AB411:AK411)</f>
        <v/>
      </c>
      <c r="S411" s="81">
        <f>SUM(AM411:AQ411)</f>
        <v/>
      </c>
      <c r="T411" s="81">
        <f>SUM(AS411:AW411)</f>
        <v/>
      </c>
      <c r="Y411" s="81" t="n">
        <v>830</v>
      </c>
    </row>
    <row r="412">
      <c r="A412" s="72">
        <f>$D$27</f>
        <v/>
      </c>
      <c r="B412" s="72">
        <f>B411+1</f>
        <v/>
      </c>
      <c r="C412" s="72">
        <f>IF(K412="Vacant","Vac",IF(K412="Model","Model",IF(K412="Admin","Admin",IF(K412="Down","Down",IF(K412="Super","Super","Occ")))))</f>
        <v/>
      </c>
      <c r="D412" s="72">
        <f>INDEX($C$5:$C$14,MATCH(I412,$D$5:$D$14,0))</f>
        <v/>
      </c>
      <c r="E412" s="72">
        <f>INDEX($E$5:$E$14,MATCH(D412,$C$5:$C$14,0))</f>
        <v/>
      </c>
      <c r="F412" s="72">
        <f>INDEX($F$5:$F$14,MATCH(D412,$C$5:$C$14,0))</f>
        <v/>
      </c>
      <c r="G412" s="72">
        <f>INDEX($G$5:$G$14,MATCH(D412,$C$5:$C$14,0))</f>
        <v/>
      </c>
      <c r="H412" s="72" t="inlineStr">
        <is>
          <t>L33</t>
        </is>
      </c>
      <c r="I412" s="72" t="inlineStr">
        <is>
          <t>stjt2C2</t>
        </is>
      </c>
      <c r="J412" s="80" t="n">
        <v>1075</v>
      </c>
      <c r="K412" s="72" t="inlineStr">
        <is>
          <t>Jose Castro Morales</t>
        </is>
      </c>
      <c r="L412" s="81" t="n">
        <v>1280</v>
      </c>
      <c r="M412" s="81">
        <f>Y412</f>
        <v/>
      </c>
      <c r="N412" s="82" t="n">
        <v>45510</v>
      </c>
      <c r="O412" s="82" t="n">
        <v>45510</v>
      </c>
      <c r="P412" s="82" t="n">
        <v>46264</v>
      </c>
      <c r="R412" s="81">
        <f>SUM(AB412:AK412)</f>
        <v/>
      </c>
      <c r="S412" s="81">
        <f>SUM(AM412:AQ412)</f>
        <v/>
      </c>
      <c r="T412" s="81">
        <f>SUM(AS412:AW412)</f>
        <v/>
      </c>
      <c r="Y412" s="81" t="n">
        <v>1175</v>
      </c>
    </row>
    <row r="413">
      <c r="A413" s="72">
        <f>$D$27</f>
        <v/>
      </c>
      <c r="B413" s="72">
        <f>B412+1</f>
        <v/>
      </c>
      <c r="C413" s="72">
        <f>IF(K413="Vacant","Vac",IF(K413="Model","Model",IF(K413="Admin","Admin",IF(K413="Down","Down",IF(K413="Super","Super","Occ")))))</f>
        <v/>
      </c>
      <c r="D413" s="72">
        <f>INDEX($C$5:$C$14,MATCH(I413,$D$5:$D$14,0))</f>
        <v/>
      </c>
      <c r="E413" s="72">
        <f>INDEX($E$5:$E$14,MATCH(D413,$C$5:$C$14,0))</f>
        <v/>
      </c>
      <c r="F413" s="72">
        <f>INDEX($F$5:$F$14,MATCH(D413,$C$5:$C$14,0))</f>
        <v/>
      </c>
      <c r="G413" s="72">
        <f>INDEX($G$5:$G$14,MATCH(D413,$C$5:$C$14,0))</f>
        <v/>
      </c>
      <c r="H413" s="72" t="inlineStr">
        <is>
          <t>L34</t>
        </is>
      </c>
      <c r="I413" s="72" t="inlineStr">
        <is>
          <t>stjt2A1</t>
        </is>
      </c>
      <c r="J413" s="80" t="n">
        <v>850</v>
      </c>
      <c r="K413" s="72" t="inlineStr">
        <is>
          <t>Juaquaetta Boyd</t>
        </is>
      </c>
      <c r="L413" s="81" t="n">
        <v>990</v>
      </c>
      <c r="M413" s="81">
        <f>Y413</f>
        <v/>
      </c>
      <c r="N413" s="82" t="n">
        <v>45910</v>
      </c>
      <c r="O413" s="82" t="n">
        <v>45910</v>
      </c>
      <c r="P413" s="82" t="n">
        <v>46274</v>
      </c>
      <c r="R413" s="81">
        <f>SUM(AB413:AK413)</f>
        <v/>
      </c>
      <c r="S413" s="81">
        <f>SUM(AM413:AQ413)</f>
        <v/>
      </c>
      <c r="T413" s="81">
        <f>SUM(AS413:AW413)</f>
        <v/>
      </c>
      <c r="Y413" s="81" t="n">
        <v>975</v>
      </c>
    </row>
    <row r="414">
      <c r="A414" s="72">
        <f>$D$27</f>
        <v/>
      </c>
      <c r="B414" s="72">
        <f>B413+1</f>
        <v/>
      </c>
      <c r="C414" s="72">
        <f>IF(K414="Vacant","Vac",IF(K414="Model","Model",IF(K414="Admin","Admin",IF(K414="Down","Down",IF(K414="Super","Super","Occ")))))</f>
        <v/>
      </c>
      <c r="D414" s="72">
        <f>INDEX($C$5:$C$14,MATCH(I414,$D$5:$D$14,0))</f>
        <v/>
      </c>
      <c r="E414" s="72">
        <f>INDEX($E$5:$E$14,MATCH(D414,$C$5:$C$14,0))</f>
        <v/>
      </c>
      <c r="F414" s="72">
        <f>INDEX($F$5:$F$14,MATCH(D414,$C$5:$C$14,0))</f>
        <v/>
      </c>
      <c r="G414" s="72">
        <f>INDEX($G$5:$G$14,MATCH(D414,$C$5:$C$14,0))</f>
        <v/>
      </c>
      <c r="H414" s="72" t="inlineStr">
        <is>
          <t>L35</t>
        </is>
      </c>
      <c r="I414" s="72" t="inlineStr">
        <is>
          <t>stjt2C2R</t>
        </is>
      </c>
      <c r="J414" s="80" t="n">
        <v>1075</v>
      </c>
      <c r="K414" s="72" t="inlineStr">
        <is>
          <t>Lilian Portillo Estrada</t>
        </is>
      </c>
      <c r="L414" s="81" t="n">
        <v>1414</v>
      </c>
      <c r="M414" s="81">
        <f>Y414</f>
        <v/>
      </c>
      <c r="N414" s="82" t="n">
        <v>45551</v>
      </c>
      <c r="O414" s="82" t="n">
        <v>45551</v>
      </c>
      <c r="P414" s="82" t="n">
        <v>46280</v>
      </c>
      <c r="R414" s="81">
        <f>SUM(AB414:AK414)</f>
        <v/>
      </c>
      <c r="S414" s="81">
        <f>SUM(AM414:AQ414)</f>
        <v/>
      </c>
      <c r="T414" s="81">
        <f>SUM(AS414:AW414)</f>
        <v/>
      </c>
      <c r="Y414" s="81" t="n">
        <v>1454</v>
      </c>
    </row>
    <row r="415">
      <c r="A415" s="72">
        <f>$D$27</f>
        <v/>
      </c>
      <c r="B415" s="72">
        <f>B414+1</f>
        <v/>
      </c>
      <c r="C415" s="72">
        <f>IF(K415="Vacant","Vac",IF(K415="Model","Model",IF(K415="Admin","Admin",IF(K415="Down","Down",IF(K415="Super","Super","Occ")))))</f>
        <v/>
      </c>
      <c r="D415" s="72">
        <f>INDEX($C$5:$C$14,MATCH(I415,$D$5:$D$14,0))</f>
        <v/>
      </c>
      <c r="E415" s="72">
        <f>INDEX($E$5:$E$14,MATCH(D415,$C$5:$C$14,0))</f>
        <v/>
      </c>
      <c r="F415" s="72">
        <f>INDEX($F$5:$F$14,MATCH(D415,$C$5:$C$14,0))</f>
        <v/>
      </c>
      <c r="G415" s="72">
        <f>INDEX($G$5:$G$14,MATCH(D415,$C$5:$C$14,0))</f>
        <v/>
      </c>
      <c r="H415" s="72" t="inlineStr">
        <is>
          <t>L36</t>
        </is>
      </c>
      <c r="I415" s="72" t="inlineStr">
        <is>
          <t>stjt2A1</t>
        </is>
      </c>
      <c r="J415" s="80" t="n">
        <v>850</v>
      </c>
      <c r="K415" s="72" t="inlineStr">
        <is>
          <t>Alexander Enrique Moreno</t>
        </is>
      </c>
      <c r="L415" s="81" t="n">
        <v>990</v>
      </c>
      <c r="M415" s="81">
        <f>Y415</f>
        <v/>
      </c>
      <c r="N415" s="82" t="n">
        <v>45911</v>
      </c>
      <c r="O415" s="82" t="n">
        <v>45911</v>
      </c>
      <c r="P415" s="82" t="n">
        <v>46284</v>
      </c>
      <c r="R415" s="81">
        <f>SUM(AB415:AK415)</f>
        <v/>
      </c>
      <c r="S415" s="81">
        <f>SUM(AM415:AQ415)</f>
        <v/>
      </c>
      <c r="T415" s="81">
        <f>SUM(AS415:AW415)</f>
        <v/>
      </c>
      <c r="Y415" s="81" t="n">
        <v>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2026-07-01T16:06:45Z</dcterms:created>
  <dcterms:modified xmlns:dcterms="http://purl.org/dc/terms/" xmlns:xsi="http://www.w3.org/2001/XMLSchema-instance" xsi:type="dcterms:W3CDTF">2026-07-01T16:06:45Z</dcterms:modified>
</cp:coreProperties>
</file>