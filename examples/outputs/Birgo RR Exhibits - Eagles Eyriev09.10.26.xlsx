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Mix &amp; RR Summary" sheetId="1" state="visible" r:id="rId1"/>
    <sheet name="Recent Leases" sheetId="2" state="visible" r:id="rId2"/>
    <sheet name="Unit Mix based on # of Beds" sheetId="3" state="visible" r:id="rId3"/>
    <sheet name="Pres. Rent Roll" sheetId="4" state="visible" r:id="rId4"/>
    <sheet name="OneLineRR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9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  <numFmt numFmtId="179" formatCode="#,##0.00;[Red]#,##0.00"/>
    <numFmt numFmtId="180" formatCode="yyyy-mm-dd h:mm:ss"/>
    <numFmt numFmtId="181" formatCode="#,##0.00;(#,##0.00)"/>
    <numFmt numFmtId="182" formatCode="#,##0;[Red]#,##0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  <xf numFmtId="179" fontId="0" fillId="0" borderId="0" pivotButton="0" quotePrefix="0" xfId="0"/>
    <xf numFmtId="14" fontId="0" fillId="0" borderId="0" pivotButton="0" quotePrefix="0" xfId="0"/>
    <xf numFmtId="181" fontId="0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18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Eagles Eyrie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Eagles Eyrie</t>
        </is>
      </c>
      <c r="E6" s="7" t="inlineStr">
        <is>
          <t>2x2</t>
        </is>
      </c>
      <c r="F6" s="8" t="n">
        <v>23</v>
      </c>
      <c r="G6" s="9" t="n">
        <v>24</v>
      </c>
      <c r="H6" s="10" t="n">
        <v>31200</v>
      </c>
      <c r="I6" s="10" t="n">
        <v>1300</v>
      </c>
      <c r="J6" s="11" t="n">
        <v>29889</v>
      </c>
      <c r="K6" s="11" t="n">
        <v>1245.375</v>
      </c>
      <c r="L6" s="12" t="n">
        <v>0.9579807692307692</v>
      </c>
      <c r="M6" s="11" t="n">
        <v>27759</v>
      </c>
      <c r="N6" s="11" t="n">
        <v>1206.913043478261</v>
      </c>
      <c r="O6" s="12" t="n">
        <v>0.9283946488294315</v>
      </c>
      <c r="P6" s="11" t="n">
        <v>1394</v>
      </c>
      <c r="Q6" s="11" t="n">
        <v>0</v>
      </c>
      <c r="S6" s="10" t="n">
        <v>29900</v>
      </c>
    </row>
    <row r="7">
      <c r="D7" s="7" t="inlineStr">
        <is>
          <t>Eagles Eyrie</t>
        </is>
      </c>
      <c r="E7" s="7" t="inlineStr">
        <is>
          <t>2x2 Townhouse</t>
        </is>
      </c>
      <c r="F7" s="8" t="n">
        <v>25</v>
      </c>
      <c r="G7" s="9" t="n">
        <v>28</v>
      </c>
      <c r="H7" s="10" t="n">
        <v>36400</v>
      </c>
      <c r="I7" s="10" t="n">
        <v>1300</v>
      </c>
      <c r="J7" s="11" t="n">
        <v>38417</v>
      </c>
      <c r="K7" s="11" t="n">
        <v>1372.035714285714</v>
      </c>
      <c r="L7" s="12" t="n">
        <v>1.055412087912088</v>
      </c>
      <c r="M7" s="11" t="n">
        <v>33371</v>
      </c>
      <c r="N7" s="11" t="n">
        <v>1334.84</v>
      </c>
      <c r="O7" s="12" t="n">
        <v>1.0268</v>
      </c>
      <c r="P7" s="11" t="n">
        <v>1682</v>
      </c>
      <c r="Q7" s="11" t="n">
        <v>0</v>
      </c>
      <c r="S7" s="10" t="n">
        <v>32500</v>
      </c>
    </row>
    <row r="8">
      <c r="D8" s="7" t="inlineStr">
        <is>
          <t>Eagles Eyrie</t>
        </is>
      </c>
      <c r="E8" s="7" t="inlineStr">
        <is>
          <t>3x3 Townhouse</t>
        </is>
      </c>
      <c r="F8" s="8" t="n">
        <v>26</v>
      </c>
      <c r="G8" s="9" t="n">
        <v>28</v>
      </c>
      <c r="H8" s="10" t="n">
        <v>44800</v>
      </c>
      <c r="I8" s="10" t="n">
        <v>1600</v>
      </c>
      <c r="J8" s="11" t="n">
        <v>45577</v>
      </c>
      <c r="K8" s="11" t="n">
        <v>1627.75</v>
      </c>
      <c r="L8" s="12" t="n">
        <v>1.01734375</v>
      </c>
      <c r="M8" s="11" t="n">
        <v>39392</v>
      </c>
      <c r="N8" s="11" t="n">
        <v>1515.076923076923</v>
      </c>
      <c r="O8" s="12" t="n">
        <v>0.946923076923077</v>
      </c>
      <c r="P8" s="11" t="n">
        <v>1776</v>
      </c>
      <c r="Q8" s="11" t="n">
        <v>0</v>
      </c>
      <c r="S8" s="10" t="n">
        <v>41600</v>
      </c>
    </row>
    <row r="9">
      <c r="C9" s="13" t="inlineStr">
        <is>
          <t>Total/Wtd Average</t>
        </is>
      </c>
      <c r="D9" s="13" t="n"/>
      <c r="E9" s="13" t="n"/>
      <c r="F9" s="14" t="n">
        <v>74</v>
      </c>
      <c r="G9" s="15" t="n">
        <v>80</v>
      </c>
      <c r="H9" s="16" t="n">
        <v>112400</v>
      </c>
      <c r="I9" s="16" t="n">
        <v>1405</v>
      </c>
      <c r="J9" s="17" t="n">
        <v>113883</v>
      </c>
      <c r="K9" s="17" t="n">
        <v>1423.5375</v>
      </c>
      <c r="L9" s="18" t="n">
        <v>1.013193950177936</v>
      </c>
      <c r="M9" s="17" t="n">
        <v>100522</v>
      </c>
      <c r="N9" s="17" t="n">
        <v>1358.405405405405</v>
      </c>
      <c r="O9" s="18" t="n">
        <v>0.9665576923076923</v>
      </c>
      <c r="P9" s="17" t="n">
        <v>1628.5</v>
      </c>
      <c r="Q9" s="17" t="n">
        <v>0</v>
      </c>
      <c r="S9" s="16" t="n">
        <v>104000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80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74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0.925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112400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104000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0.9252669039145908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1366596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1206264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80</v>
      </c>
    </row>
    <row r="43">
      <c r="U43" s="26" t="inlineStr">
        <is>
          <t>Occ Units</t>
        </is>
      </c>
      <c r="W43" s="27" t="n">
        <v>74</v>
      </c>
    </row>
    <row r="44">
      <c r="U44" s="26" t="inlineStr">
        <is>
          <t>Unit %Occ</t>
        </is>
      </c>
      <c r="W44" s="28" t="n">
        <v>0.925</v>
      </c>
    </row>
    <row r="45">
      <c r="U45" s="26" t="inlineStr">
        <is>
          <t>Net Sq Ft</t>
        </is>
      </c>
      <c r="W45" s="27" t="n">
        <v>112400</v>
      </c>
    </row>
    <row r="46">
      <c r="U46" s="26" t="inlineStr">
        <is>
          <t>SF Occ</t>
        </is>
      </c>
      <c r="W46" s="27" t="n">
        <v>104000</v>
      </c>
    </row>
    <row r="47">
      <c r="U47" s="26" t="inlineStr">
        <is>
          <t>% SF Occ</t>
        </is>
      </c>
      <c r="W47" s="28" t="n">
        <v>0.9252669039145908</v>
      </c>
    </row>
    <row r="48">
      <c r="U48" s="26" t="inlineStr">
        <is>
          <t>Mkt Rent</t>
        </is>
      </c>
      <c r="W48" s="27" t="n">
        <v>113883</v>
      </c>
    </row>
    <row r="49">
      <c r="U49" s="26" t="inlineStr">
        <is>
          <t>Cont Rent</t>
        </is>
      </c>
      <c r="W49" s="27" t="n">
        <v>100522</v>
      </c>
    </row>
    <row r="50">
      <c r="U50" s="26" t="inlineStr">
        <is>
          <t>Conc</t>
        </is>
      </c>
      <c r="W50" s="27" t="n">
        <v>0</v>
      </c>
    </row>
    <row r="51">
      <c r="U51" s="26" t="inlineStr">
        <is>
          <t>Other Inc</t>
        </is>
      </c>
      <c r="W51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Eagles Eyrie</t>
        </is>
      </c>
      <c r="Y3" s="30" t="n">
        <v>46275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Eagles Eyrie</t>
        </is>
      </c>
      <c r="E7" s="36" t="inlineStr">
        <is>
          <t>2x2</t>
        </is>
      </c>
      <c r="F7" s="37" t="n">
        <v>23</v>
      </c>
      <c r="G7" s="9" t="n">
        <v>24</v>
      </c>
      <c r="H7" s="10" t="n">
        <v>31200</v>
      </c>
      <c r="I7" s="10" t="n">
        <v>1300</v>
      </c>
      <c r="J7" s="11" t="n">
        <v>1245.375</v>
      </c>
      <c r="K7" s="38" t="n">
        <v>1248.478260869565</v>
      </c>
      <c r="L7" s="11" t="n">
        <v>1206.913043478261</v>
      </c>
      <c r="M7" s="39" t="n">
        <v>0.9667072958384119</v>
      </c>
      <c r="N7" s="38" t="n">
        <v>1195.117647058823</v>
      </c>
      <c r="O7" s="40" t="n">
        <v>17</v>
      </c>
      <c r="P7" s="11" t="n">
        <v>1192.571428571429</v>
      </c>
      <c r="Q7" s="40" t="n">
        <v>14</v>
      </c>
      <c r="R7" s="11" t="n">
        <v>1201.888888888889</v>
      </c>
      <c r="S7" s="40" t="n">
        <v>9</v>
      </c>
      <c r="T7" s="11" t="n">
        <v>1229.25</v>
      </c>
      <c r="U7" s="40" t="n">
        <v>4</v>
      </c>
      <c r="V7" s="11" t="n">
        <v>1218.5</v>
      </c>
      <c r="W7" s="40" t="n">
        <v>2</v>
      </c>
    </row>
    <row r="8">
      <c r="D8" s="36" t="inlineStr">
        <is>
          <t>Eagles Eyrie</t>
        </is>
      </c>
      <c r="E8" s="36" t="inlineStr">
        <is>
          <t>2x2 Townhouse</t>
        </is>
      </c>
      <c r="F8" s="37" t="n">
        <v>25</v>
      </c>
      <c r="G8" s="9" t="n">
        <v>28</v>
      </c>
      <c r="H8" s="10" t="n">
        <v>36400</v>
      </c>
      <c r="I8" s="10" t="n">
        <v>1300</v>
      </c>
      <c r="J8" s="11" t="n">
        <v>1372.035714285714</v>
      </c>
      <c r="K8" s="38" t="n">
        <v>1380.2</v>
      </c>
      <c r="L8" s="11" t="n">
        <v>1334.84</v>
      </c>
      <c r="M8" s="39" t="n">
        <v>0.9671351977974205</v>
      </c>
      <c r="N8" s="38" t="n">
        <v>1334.684210526316</v>
      </c>
      <c r="O8" s="40" t="n">
        <v>19</v>
      </c>
      <c r="P8" s="11" t="n">
        <v>1385.454545454545</v>
      </c>
      <c r="Q8" s="40" t="n">
        <v>11</v>
      </c>
      <c r="R8" s="11" t="n">
        <v>1409.333333333333</v>
      </c>
      <c r="S8" s="40" t="n">
        <v>6</v>
      </c>
      <c r="T8" s="11" t="n">
        <v>1427</v>
      </c>
      <c r="U8" s="40" t="n">
        <v>3</v>
      </c>
      <c r="V8" s="11" t="n">
        <v>1427</v>
      </c>
      <c r="W8" s="40" t="n">
        <v>3</v>
      </c>
    </row>
    <row r="9">
      <c r="D9" s="36" t="inlineStr">
        <is>
          <t>Eagles Eyrie</t>
        </is>
      </c>
      <c r="E9" s="36" t="inlineStr">
        <is>
          <t>3x3 Townhouse</t>
        </is>
      </c>
      <c r="F9" s="37" t="n">
        <v>26</v>
      </c>
      <c r="G9" s="9" t="n">
        <v>28</v>
      </c>
      <c r="H9" s="10" t="n">
        <v>44800</v>
      </c>
      <c r="I9" s="10" t="n">
        <v>1600</v>
      </c>
      <c r="J9" s="11" t="n">
        <v>1627.75</v>
      </c>
      <c r="K9" s="38" t="n">
        <v>1616.346153846154</v>
      </c>
      <c r="L9" s="11" t="n">
        <v>1515.076923076923</v>
      </c>
      <c r="M9" s="39" t="n">
        <v>0.9373468173706128</v>
      </c>
      <c r="N9" s="38" t="n">
        <v>1543.176470588235</v>
      </c>
      <c r="O9" s="40" t="n">
        <v>17</v>
      </c>
      <c r="P9" s="11" t="n">
        <v>1599.181818181818</v>
      </c>
      <c r="Q9" s="40" t="n">
        <v>11</v>
      </c>
      <c r="R9" s="11" t="n">
        <v>1596.5</v>
      </c>
      <c r="S9" s="40" t="n">
        <v>6</v>
      </c>
      <c r="T9" s="11" t="n">
        <v>1776</v>
      </c>
      <c r="U9" s="40" t="n">
        <v>1</v>
      </c>
      <c r="V9" s="11" t="inlineStr">
        <is>
          <t>n/a</t>
        </is>
      </c>
      <c r="W9" s="40" t="n">
        <v>0</v>
      </c>
    </row>
    <row r="10">
      <c r="C10" s="13" t="inlineStr">
        <is>
          <t>Total/Wtd Average</t>
        </is>
      </c>
      <c r="D10" s="41" t="n"/>
      <c r="E10" s="41" t="n"/>
      <c r="F10" s="15" t="n">
        <v>74</v>
      </c>
      <c r="G10" s="15" t="n">
        <v>80</v>
      </c>
      <c r="H10" s="16" t="n">
        <v>112400</v>
      </c>
      <c r="I10" s="16" t="n">
        <v>1405</v>
      </c>
      <c r="J10" s="17" t="n">
        <v>1423.5375</v>
      </c>
      <c r="K10" s="42" t="n">
        <v>1422.22972972973</v>
      </c>
      <c r="L10" s="17" t="n">
        <v>1358.405405405405</v>
      </c>
      <c r="M10" s="43" t="n">
        <v>0.9551237588484013</v>
      </c>
      <c r="N10" s="42" t="inlineStr">
        <is>
          <t>n/a</t>
        </is>
      </c>
      <c r="O10" s="44" t="n">
        <v>53</v>
      </c>
      <c r="P10" s="17" t="inlineStr">
        <is>
          <t>n/a</t>
        </is>
      </c>
      <c r="Q10" s="44" t="n">
        <v>36</v>
      </c>
      <c r="R10" s="17" t="inlineStr">
        <is>
          <t>n/a</t>
        </is>
      </c>
      <c r="S10" s="44" t="n">
        <v>21</v>
      </c>
      <c r="T10" s="17" t="inlineStr">
        <is>
          <t>n/a</t>
        </is>
      </c>
      <c r="U10" s="44" t="n">
        <v>8</v>
      </c>
      <c r="V10" s="17" t="inlineStr">
        <is>
          <t>n/a</t>
        </is>
      </c>
      <c r="W10" s="45" t="n">
        <v>5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80</v>
      </c>
    </row>
    <row r="60">
      <c r="Z60" s="26" t="inlineStr">
        <is>
          <t>Occ Units</t>
        </is>
      </c>
      <c r="AB60" s="27" t="n">
        <v>74</v>
      </c>
    </row>
    <row r="61">
      <c r="Z61" s="26" t="inlineStr">
        <is>
          <t>Unit %Occ</t>
        </is>
      </c>
      <c r="AB61" s="28" t="n">
        <v>0.925</v>
      </c>
    </row>
    <row r="62">
      <c r="Z62" s="26" t="inlineStr">
        <is>
          <t>Net Sq Ft</t>
        </is>
      </c>
      <c r="AB62" s="27" t="n">
        <v>112400</v>
      </c>
    </row>
    <row r="63">
      <c r="Z63" s="26" t="inlineStr">
        <is>
          <t>SF Occ</t>
        </is>
      </c>
      <c r="AB63" s="27" t="n">
        <v>104000</v>
      </c>
    </row>
    <row r="64">
      <c r="Z64" s="26" t="inlineStr">
        <is>
          <t>% SF Occ</t>
        </is>
      </c>
      <c r="AB64" s="28" t="n">
        <v>0.9252669039145908</v>
      </c>
    </row>
    <row r="65">
      <c r="Z65" s="26" t="inlineStr">
        <is>
          <t>Mkt Rent</t>
        </is>
      </c>
      <c r="AB65" s="27" t="n">
        <v>113883</v>
      </c>
    </row>
    <row r="66">
      <c r="Z66" s="26" t="inlineStr">
        <is>
          <t>Cont Rent</t>
        </is>
      </c>
      <c r="AB66" s="27" t="n">
        <v>100522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19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Eagles Eyrie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Eagles Eyrie</t>
        </is>
      </c>
      <c r="E6" s="46" t="n">
        <v>2</v>
      </c>
      <c r="F6" s="8" t="n">
        <v>48</v>
      </c>
      <c r="G6" s="9" t="n">
        <v>52</v>
      </c>
      <c r="H6" s="10" t="n">
        <v>67600</v>
      </c>
      <c r="I6" s="10" t="n">
        <v>1300</v>
      </c>
      <c r="J6" s="11" t="n">
        <v>68306</v>
      </c>
      <c r="K6" s="11" t="n">
        <v>1313.576923076923</v>
      </c>
      <c r="L6" s="12" t="n">
        <v>1.010443786982248</v>
      </c>
      <c r="M6" s="11" t="n">
        <v>61130</v>
      </c>
      <c r="N6" s="11" t="n">
        <v>1273.541666666667</v>
      </c>
      <c r="O6" s="12" t="n">
        <v>0.9796474358974359</v>
      </c>
      <c r="P6" s="11" t="n">
        <v>1682</v>
      </c>
      <c r="Q6" s="11" t="n">
        <v>0</v>
      </c>
      <c r="S6" s="10" t="n">
        <v>62400</v>
      </c>
    </row>
    <row r="7">
      <c r="D7" s="7" t="inlineStr">
        <is>
          <t>Eagles Eyrie</t>
        </is>
      </c>
      <c r="E7" s="46" t="n">
        <v>3</v>
      </c>
      <c r="F7" s="8" t="n">
        <v>26</v>
      </c>
      <c r="G7" s="9" t="n">
        <v>28</v>
      </c>
      <c r="H7" s="10" t="n">
        <v>44800</v>
      </c>
      <c r="I7" s="10" t="n">
        <v>1600</v>
      </c>
      <c r="J7" s="11" t="n">
        <v>45577</v>
      </c>
      <c r="K7" s="11" t="n">
        <v>1627.75</v>
      </c>
      <c r="L7" s="12" t="n">
        <v>1.01734375</v>
      </c>
      <c r="M7" s="11" t="n">
        <v>39392</v>
      </c>
      <c r="N7" s="11" t="n">
        <v>1515.076923076923</v>
      </c>
      <c r="O7" s="12" t="n">
        <v>0.946923076923077</v>
      </c>
      <c r="P7" s="11" t="n">
        <v>1776</v>
      </c>
      <c r="Q7" s="11" t="n">
        <v>0</v>
      </c>
      <c r="S7" s="10" t="n">
        <v>41600</v>
      </c>
    </row>
    <row r="8">
      <c r="C8" s="13" t="inlineStr">
        <is>
          <t>Total/Wtd Average</t>
        </is>
      </c>
      <c r="D8" s="13" t="n"/>
      <c r="E8" s="13" t="n"/>
      <c r="F8" s="14" t="n">
        <v>74</v>
      </c>
      <c r="G8" s="15" t="n">
        <v>80</v>
      </c>
      <c r="H8" s="16" t="n">
        <v>112400</v>
      </c>
      <c r="I8" s="16" t="n">
        <v>1405</v>
      </c>
      <c r="J8" s="17" t="n">
        <v>113883</v>
      </c>
      <c r="K8" s="17" t="n">
        <v>1423.5375</v>
      </c>
      <c r="L8" s="18" t="n">
        <v>1.013193950177936</v>
      </c>
      <c r="M8" s="17" t="n">
        <v>100522</v>
      </c>
      <c r="N8" s="17" t="n">
        <v>1358.405405405405</v>
      </c>
      <c r="O8" s="18" t="n">
        <v>0.9665576923076923</v>
      </c>
      <c r="P8" s="17" t="inlineStr">
        <is>
          <t>N/A</t>
        </is>
      </c>
      <c r="Q8" s="17" t="n">
        <v>0</v>
      </c>
      <c r="S8" s="16" t="n">
        <v>104000</v>
      </c>
    </row>
    <row r="10">
      <c r="C10" s="19" t="inlineStr">
        <is>
          <t>Total Units</t>
        </is>
      </c>
      <c r="D10" s="20" t="n"/>
      <c r="E10" s="20" t="n"/>
      <c r="F10" s="20" t="n"/>
      <c r="G10" s="21" t="n">
        <v>80</v>
      </c>
    </row>
    <row r="11">
      <c r="C11" s="19" t="inlineStr">
        <is>
          <t>Occupied Units</t>
        </is>
      </c>
      <c r="D11" s="20" t="n"/>
      <c r="E11" s="20" t="n"/>
      <c r="F11" s="20" t="n"/>
      <c r="G11" s="21" t="n">
        <v>74</v>
      </c>
    </row>
    <row r="12">
      <c r="C12" s="19" t="inlineStr">
        <is>
          <t>Unit Occupancy</t>
        </is>
      </c>
      <c r="D12" s="20" t="n"/>
      <c r="E12" s="20" t="n"/>
      <c r="F12" s="20" t="n"/>
      <c r="G12" s="22" t="n">
        <v>0.925</v>
      </c>
    </row>
    <row r="13">
      <c r="C13" s="19" t="inlineStr">
        <is>
          <t>Total Square Feet</t>
        </is>
      </c>
      <c r="D13" s="20" t="n"/>
      <c r="E13" s="20" t="n"/>
      <c r="F13" s="20" t="n"/>
      <c r="G13" s="23" t="n">
        <v>112400</v>
      </c>
    </row>
    <row r="14">
      <c r="C14" s="19" t="inlineStr">
        <is>
          <t>Occupied Square Feet</t>
        </is>
      </c>
      <c r="D14" s="20" t="n"/>
      <c r="E14" s="20" t="n"/>
      <c r="F14" s="20" t="n"/>
      <c r="G14" s="23" t="n">
        <v>104000</v>
      </c>
    </row>
    <row r="15">
      <c r="C15" s="19" t="inlineStr">
        <is>
          <t>Square Feet Occupancy</t>
        </is>
      </c>
      <c r="D15" s="20" t="n"/>
      <c r="E15" s="20" t="n"/>
      <c r="F15" s="20" t="n"/>
      <c r="G15" s="22" t="n">
        <v>0.9252669039145908</v>
      </c>
    </row>
    <row r="17">
      <c r="C17" s="19" t="inlineStr">
        <is>
          <t>Market Rent Annualized</t>
        </is>
      </c>
      <c r="D17" s="20" t="n"/>
      <c r="E17" s="20" t="n"/>
      <c r="F17" s="20" t="n"/>
      <c r="G17" s="24" t="n">
        <v>1366596</v>
      </c>
    </row>
    <row r="18">
      <c r="C18" s="19" t="inlineStr">
        <is>
          <t>In-Place Rent Annualized</t>
        </is>
      </c>
      <c r="D18" s="20" t="n"/>
      <c r="E18" s="20" t="n"/>
      <c r="F18" s="20" t="n"/>
      <c r="G18" s="24" t="n">
        <v>1206264</v>
      </c>
    </row>
    <row r="19">
      <c r="C19" s="19" t="inlineStr">
        <is>
          <t>Other Income Annualized</t>
        </is>
      </c>
      <c r="D19" s="20" t="n"/>
      <c r="E19" s="20" t="n"/>
      <c r="F19" s="20" t="n"/>
      <c r="G19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8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Eagles Eyrie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Eagles Eyrie</t>
        </is>
      </c>
      <c r="E8" s="54" t="inlineStr">
        <is>
          <t>2421 N Peterson Ct-1</t>
        </is>
      </c>
      <c r="F8" s="54" t="inlineStr">
        <is>
          <t>2x2 Townhouse</t>
        </is>
      </c>
      <c r="G8" s="54" t="inlineStr">
        <is>
          <t>2x2 Townhouse</t>
        </is>
      </c>
      <c r="K8" s="36" t="inlineStr">
        <is>
          <t>Price, Ally</t>
        </is>
      </c>
      <c r="L8" s="55" t="n">
        <v>1300</v>
      </c>
      <c r="M8" s="56" t="n">
        <v>2</v>
      </c>
      <c r="N8" s="56" t="n">
        <v>2</v>
      </c>
      <c r="Q8" s="57" t="inlineStr">
        <is>
          <t>Occ</t>
        </is>
      </c>
      <c r="U8" s="58" t="n">
        <v>1394</v>
      </c>
      <c r="V8" s="58" t="n">
        <v>1367</v>
      </c>
      <c r="W8" s="58" t="n">
        <v>0</v>
      </c>
      <c r="X8" s="58" t="n">
        <v>0</v>
      </c>
      <c r="Y8" s="58" t="n">
        <v>0</v>
      </c>
      <c r="Z8" s="59" t="n">
        <v>46164</v>
      </c>
      <c r="AA8" s="59" t="n">
        <v>46164</v>
      </c>
      <c r="AB8" s="59" t="n">
        <v>46530</v>
      </c>
    </row>
    <row r="9">
      <c r="D9" s="36" t="inlineStr">
        <is>
          <t>Eagles Eyrie</t>
        </is>
      </c>
      <c r="E9" s="54" t="inlineStr">
        <is>
          <t>2423 N Peterson Ct-1</t>
        </is>
      </c>
      <c r="F9" s="54" t="inlineStr">
        <is>
          <t>3x3 Townhouse</t>
        </is>
      </c>
      <c r="G9" s="54" t="inlineStr">
        <is>
          <t>3x3 Townhouse</t>
        </is>
      </c>
      <c r="K9" s="36" t="inlineStr">
        <is>
          <t>Winn, Sterling</t>
        </is>
      </c>
      <c r="L9" s="55" t="n">
        <v>1600</v>
      </c>
      <c r="M9" s="56" t="n">
        <v>3</v>
      </c>
      <c r="N9" s="56" t="n">
        <v>3</v>
      </c>
      <c r="Q9" s="57" t="inlineStr">
        <is>
          <t>Occ</t>
        </is>
      </c>
      <c r="U9" s="58" t="n">
        <v>1584</v>
      </c>
      <c r="V9" s="58" t="n">
        <v>1525</v>
      </c>
      <c r="W9" s="58" t="n">
        <v>0</v>
      </c>
      <c r="X9" s="58" t="n">
        <v>0</v>
      </c>
      <c r="Y9" s="58" t="n">
        <v>0</v>
      </c>
      <c r="Z9" s="59" t="n">
        <v>45355</v>
      </c>
      <c r="AA9" s="59" t="n">
        <v>46118</v>
      </c>
      <c r="AB9" s="59" t="n">
        <v>46488</v>
      </c>
    </row>
    <row r="10">
      <c r="D10" s="36" t="inlineStr">
        <is>
          <t>Eagles Eyrie</t>
        </is>
      </c>
      <c r="E10" s="54" t="inlineStr">
        <is>
          <t>2425 Idlewylde Ct-1</t>
        </is>
      </c>
      <c r="F10" s="54" t="inlineStr">
        <is>
          <t>2x2 Townhouse</t>
        </is>
      </c>
      <c r="G10" s="54" t="inlineStr">
        <is>
          <t>2x2 Townhouse</t>
        </is>
      </c>
      <c r="K10" s="36" t="inlineStr">
        <is>
          <t>harris, shonna</t>
        </is>
      </c>
      <c r="L10" s="55" t="n">
        <v>1300</v>
      </c>
      <c r="M10" s="56" t="n">
        <v>2</v>
      </c>
      <c r="N10" s="56" t="n">
        <v>2</v>
      </c>
      <c r="Q10" s="57" t="inlineStr">
        <is>
          <t>Occ</t>
        </is>
      </c>
      <c r="U10" s="58" t="n">
        <v>1394</v>
      </c>
      <c r="V10" s="58" t="n">
        <v>1375</v>
      </c>
      <c r="W10" s="58" t="n">
        <v>0</v>
      </c>
      <c r="X10" s="58" t="n">
        <v>0</v>
      </c>
      <c r="Y10" s="58" t="n">
        <v>0</v>
      </c>
      <c r="Z10" s="59" t="n">
        <v>45930</v>
      </c>
      <c r="AA10" s="59" t="n">
        <v>45930</v>
      </c>
      <c r="AB10" s="59" t="n">
        <v>46481</v>
      </c>
    </row>
    <row r="11">
      <c r="D11" s="36" t="inlineStr">
        <is>
          <t>Eagles Eyrie</t>
        </is>
      </c>
      <c r="E11" s="54" t="inlineStr">
        <is>
          <t>2425 N Peterson Ct-1</t>
        </is>
      </c>
      <c r="F11" s="54" t="inlineStr">
        <is>
          <t>2x2 Townhouse</t>
        </is>
      </c>
      <c r="G11" s="54" t="inlineStr">
        <is>
          <t>2x2 Townhouse</t>
        </is>
      </c>
      <c r="K11" s="36" t="inlineStr">
        <is>
          <t>Adams, David</t>
        </is>
      </c>
      <c r="L11" s="55" t="n">
        <v>1300</v>
      </c>
      <c r="M11" s="56" t="n">
        <v>2</v>
      </c>
      <c r="N11" s="56" t="n">
        <v>2</v>
      </c>
      <c r="Q11" s="57" t="inlineStr">
        <is>
          <t>Occ</t>
        </is>
      </c>
      <c r="U11" s="58" t="n">
        <v>1394</v>
      </c>
      <c r="V11" s="58" t="n">
        <v>1304</v>
      </c>
      <c r="W11" s="58" t="n">
        <v>0</v>
      </c>
      <c r="X11" s="58" t="n">
        <v>0</v>
      </c>
      <c r="Y11" s="58" t="n">
        <v>0</v>
      </c>
      <c r="Z11" s="59" t="n">
        <v>46269</v>
      </c>
      <c r="AA11" s="59" t="n">
        <v>46269</v>
      </c>
      <c r="AB11" s="59" t="n">
        <v>46635</v>
      </c>
    </row>
    <row r="12">
      <c r="D12" s="36" t="inlineStr">
        <is>
          <t>Eagles Eyrie</t>
        </is>
      </c>
      <c r="E12" s="54" t="inlineStr">
        <is>
          <t>2426 Eagles Eyrie-1</t>
        </is>
      </c>
      <c r="F12" s="54" t="inlineStr">
        <is>
          <t>2x2</t>
        </is>
      </c>
      <c r="G12" s="54" t="inlineStr">
        <is>
          <t>2x2</t>
        </is>
      </c>
      <c r="K12" s="36" t="inlineStr">
        <is>
          <t>Stelly, Joshua</t>
        </is>
      </c>
      <c r="L12" s="55" t="n">
        <v>1300</v>
      </c>
      <c r="M12" s="56" t="n">
        <v>2</v>
      </c>
      <c r="N12" s="56" t="n">
        <v>2</v>
      </c>
      <c r="Q12" s="57" t="inlineStr">
        <is>
          <t>Occ</t>
        </is>
      </c>
      <c r="U12" s="58" t="n">
        <v>1205</v>
      </c>
      <c r="V12" s="58" t="n">
        <v>1123</v>
      </c>
      <c r="W12" s="58" t="n">
        <v>0</v>
      </c>
      <c r="X12" s="58" t="n">
        <v>0</v>
      </c>
      <c r="Y12" s="58" t="n">
        <v>0</v>
      </c>
      <c r="Z12" s="59" t="n">
        <v>44974</v>
      </c>
      <c r="AA12" s="59" t="n">
        <v>46181</v>
      </c>
      <c r="AB12" s="59" t="n">
        <v>46551</v>
      </c>
    </row>
    <row r="13">
      <c r="D13" s="36" t="inlineStr">
        <is>
          <t>Eagles Eyrie</t>
        </is>
      </c>
      <c r="E13" s="54" t="inlineStr">
        <is>
          <t>2426 Eagles Eyrie-2</t>
        </is>
      </c>
      <c r="F13" s="54" t="inlineStr">
        <is>
          <t>2x2</t>
        </is>
      </c>
      <c r="G13" s="54" t="inlineStr">
        <is>
          <t>2x2</t>
        </is>
      </c>
      <c r="K13" s="36" t="inlineStr">
        <is>
          <t>Dennis, Dymond</t>
        </is>
      </c>
      <c r="L13" s="55" t="n">
        <v>1300</v>
      </c>
      <c r="M13" s="56" t="n">
        <v>2</v>
      </c>
      <c r="N13" s="56" t="n">
        <v>2</v>
      </c>
      <c r="Q13" s="57" t="inlineStr">
        <is>
          <t>Occ</t>
        </is>
      </c>
      <c r="U13" s="58" t="n">
        <v>1280</v>
      </c>
      <c r="V13" s="58" t="n">
        <v>1292</v>
      </c>
      <c r="W13" s="58" t="n">
        <v>0</v>
      </c>
      <c r="X13" s="58" t="n">
        <v>0</v>
      </c>
      <c r="Y13" s="58" t="n">
        <v>0</v>
      </c>
      <c r="Z13" s="59" t="n">
        <v>46218</v>
      </c>
      <c r="AA13" s="59" t="n">
        <v>46218</v>
      </c>
      <c r="AB13" s="59" t="n">
        <v>46586</v>
      </c>
    </row>
    <row r="14">
      <c r="D14" s="36" t="inlineStr">
        <is>
          <t>Eagles Eyrie</t>
        </is>
      </c>
      <c r="E14" s="54" t="inlineStr">
        <is>
          <t>2427 Idlewylde Ct-1</t>
        </is>
      </c>
      <c r="F14" s="54" t="inlineStr">
        <is>
          <t>3x3 Townhouse</t>
        </is>
      </c>
      <c r="G14" s="54" t="inlineStr">
        <is>
          <t>3x3 Townhouse</t>
        </is>
      </c>
      <c r="K14" s="36" t="inlineStr">
        <is>
          <t>Maynor, Franklin</t>
        </is>
      </c>
      <c r="L14" s="55" t="n">
        <v>1600</v>
      </c>
      <c r="M14" s="56" t="n">
        <v>3</v>
      </c>
      <c r="N14" s="56" t="n">
        <v>3</v>
      </c>
      <c r="Q14" s="57" t="inlineStr">
        <is>
          <t>Occ</t>
        </is>
      </c>
      <c r="U14" s="58" t="n">
        <v>1584</v>
      </c>
      <c r="V14" s="58" t="n">
        <v>1405</v>
      </c>
      <c r="W14" s="58" t="n">
        <v>0</v>
      </c>
      <c r="X14" s="58" t="n">
        <v>0</v>
      </c>
      <c r="Y14" s="58" t="n">
        <v>0</v>
      </c>
      <c r="Z14" s="59" t="n">
        <v>42266</v>
      </c>
      <c r="AA14" s="59" t="n">
        <v>45931</v>
      </c>
      <c r="AB14" s="59" t="n">
        <v>46299</v>
      </c>
    </row>
    <row r="15">
      <c r="D15" s="36" t="inlineStr">
        <is>
          <t>Eagles Eyrie</t>
        </is>
      </c>
      <c r="E15" s="54" t="inlineStr">
        <is>
          <t>2427 N Peterson Ct-1</t>
        </is>
      </c>
      <c r="F15" s="54" t="inlineStr">
        <is>
          <t>3x3 Townhouse</t>
        </is>
      </c>
      <c r="G15" s="54" t="inlineStr">
        <is>
          <t>3x3 Townhouse</t>
        </is>
      </c>
      <c r="K15" s="36" t="inlineStr">
        <is>
          <t>Rowan, Kaleb</t>
        </is>
      </c>
      <c r="L15" s="55" t="n">
        <v>1600</v>
      </c>
      <c r="M15" s="56" t="n">
        <v>3</v>
      </c>
      <c r="N15" s="56" t="n">
        <v>3</v>
      </c>
      <c r="Q15" s="57" t="inlineStr">
        <is>
          <t>Occ</t>
        </is>
      </c>
      <c r="U15" s="58" t="n">
        <v>1784</v>
      </c>
      <c r="V15" s="58" t="n">
        <v>1776</v>
      </c>
      <c r="W15" s="58" t="n">
        <v>0</v>
      </c>
      <c r="X15" s="58" t="n">
        <v>0</v>
      </c>
      <c r="Y15" s="58" t="n">
        <v>0</v>
      </c>
      <c r="Z15" s="59" t="n">
        <v>46241</v>
      </c>
      <c r="AA15" s="59" t="n">
        <v>46241</v>
      </c>
      <c r="AB15" s="59" t="n">
        <v>46607</v>
      </c>
    </row>
    <row r="16">
      <c r="D16" s="36" t="inlineStr">
        <is>
          <t>Eagles Eyrie</t>
        </is>
      </c>
      <c r="E16" s="54" t="inlineStr">
        <is>
          <t>2428 Eagles Eyrie-3</t>
        </is>
      </c>
      <c r="F16" s="54" t="inlineStr">
        <is>
          <t>2x2</t>
        </is>
      </c>
      <c r="G16" s="54" t="inlineStr">
        <is>
          <t>2x2</t>
        </is>
      </c>
      <c r="K16" s="36" t="inlineStr">
        <is>
          <t>Hagerman, Maureen</t>
        </is>
      </c>
      <c r="L16" s="55" t="n">
        <v>1300</v>
      </c>
      <c r="M16" s="56" t="n">
        <v>2</v>
      </c>
      <c r="N16" s="56" t="n">
        <v>2</v>
      </c>
      <c r="Q16" s="57" t="inlineStr">
        <is>
          <t>Occ</t>
        </is>
      </c>
      <c r="U16" s="58" t="n">
        <v>1205</v>
      </c>
      <c r="V16" s="58" t="n">
        <v>1140</v>
      </c>
      <c r="W16" s="58" t="n">
        <v>0</v>
      </c>
      <c r="X16" s="58" t="n">
        <v>0</v>
      </c>
      <c r="Y16" s="58" t="n">
        <v>0</v>
      </c>
      <c r="Z16" s="59" t="n">
        <v>42686</v>
      </c>
      <c r="AA16" s="59" t="n">
        <v>45992</v>
      </c>
      <c r="AB16" s="59" t="n">
        <v>46418</v>
      </c>
    </row>
    <row r="17">
      <c r="D17" s="36" t="inlineStr">
        <is>
          <t>Eagles Eyrie</t>
        </is>
      </c>
      <c r="E17" s="54" t="inlineStr">
        <is>
          <t>2428 Eagles Eyrie-4</t>
        </is>
      </c>
      <c r="F17" s="54" t="inlineStr">
        <is>
          <t>2x2</t>
        </is>
      </c>
      <c r="G17" s="54" t="inlineStr">
        <is>
          <t>2x2</t>
        </is>
      </c>
      <c r="K17" s="36" t="inlineStr">
        <is>
          <t>Hart, Patricia</t>
        </is>
      </c>
      <c r="L17" s="55" t="n">
        <v>1300</v>
      </c>
      <c r="M17" s="56" t="n">
        <v>2</v>
      </c>
      <c r="N17" s="56" t="n">
        <v>2</v>
      </c>
      <c r="Q17" s="57" t="inlineStr">
        <is>
          <t>Occ</t>
        </is>
      </c>
      <c r="U17" s="58" t="n">
        <v>1205</v>
      </c>
      <c r="V17" s="58" t="n">
        <v>1139</v>
      </c>
      <c r="W17" s="58" t="n">
        <v>0</v>
      </c>
      <c r="X17" s="58" t="n">
        <v>0</v>
      </c>
      <c r="Y17" s="58" t="n">
        <v>0</v>
      </c>
      <c r="Z17" s="59" t="n">
        <v>44151</v>
      </c>
      <c r="AA17" s="59" t="n">
        <v>45992</v>
      </c>
      <c r="AB17" s="59" t="n">
        <v>46418</v>
      </c>
    </row>
    <row r="18">
      <c r="D18" s="36" t="inlineStr">
        <is>
          <t>Eagles Eyrie</t>
        </is>
      </c>
      <c r="E18" s="54" t="inlineStr">
        <is>
          <t>2428 Eagles Eyrie-5</t>
        </is>
      </c>
      <c r="F18" s="54" t="inlineStr">
        <is>
          <t>2x2</t>
        </is>
      </c>
      <c r="G18" s="54" t="inlineStr">
        <is>
          <t>2x2</t>
        </is>
      </c>
      <c r="K18" s="36" t="inlineStr">
        <is>
          <t>Cole, Latasha</t>
        </is>
      </c>
      <c r="L18" s="55" t="n">
        <v>1300</v>
      </c>
      <c r="M18" s="56" t="n">
        <v>2</v>
      </c>
      <c r="N18" s="56" t="n">
        <v>2</v>
      </c>
      <c r="Q18" s="57" t="inlineStr">
        <is>
          <t>Occ</t>
        </is>
      </c>
      <c r="U18" s="58" t="n">
        <v>1255</v>
      </c>
      <c r="V18" s="58" t="n">
        <v>1276</v>
      </c>
      <c r="W18" s="58" t="n">
        <v>0</v>
      </c>
      <c r="X18" s="58" t="n">
        <v>0</v>
      </c>
      <c r="Y18" s="58" t="n">
        <v>0</v>
      </c>
      <c r="Z18" s="59" t="n">
        <v>44420</v>
      </c>
      <c r="AA18" s="59" t="n">
        <v>46209</v>
      </c>
      <c r="AB18" s="59" t="n">
        <v>46579</v>
      </c>
    </row>
    <row r="19">
      <c r="D19" s="36" t="inlineStr">
        <is>
          <t>Eagles Eyrie</t>
        </is>
      </c>
      <c r="E19" s="54" t="inlineStr">
        <is>
          <t>2428 Eagles Eyrie-6</t>
        </is>
      </c>
      <c r="F19" s="54" t="inlineStr">
        <is>
          <t>2x2</t>
        </is>
      </c>
      <c r="G19" s="54" t="inlineStr">
        <is>
          <t>2x2</t>
        </is>
      </c>
      <c r="K19" s="36" t="inlineStr">
        <is>
          <t>Brown, Termell</t>
        </is>
      </c>
      <c r="L19" s="55" t="n">
        <v>1300</v>
      </c>
      <c r="M19" s="56" t="n">
        <v>2</v>
      </c>
      <c r="N19" s="56" t="n">
        <v>2</v>
      </c>
      <c r="Q19" s="57" t="inlineStr">
        <is>
          <t>Occ</t>
        </is>
      </c>
      <c r="U19" s="58" t="n">
        <v>1280</v>
      </c>
      <c r="V19" s="58" t="n">
        <v>1214</v>
      </c>
      <c r="W19" s="58" t="n">
        <v>0</v>
      </c>
      <c r="X19" s="58" t="n">
        <v>0</v>
      </c>
      <c r="Y19" s="58" t="n">
        <v>0</v>
      </c>
      <c r="Z19" s="59" t="n">
        <v>46148</v>
      </c>
      <c r="AA19" s="59" t="n">
        <v>46148</v>
      </c>
      <c r="AB19" s="59" t="n">
        <v>46488</v>
      </c>
    </row>
    <row r="20">
      <c r="D20" s="36" t="inlineStr">
        <is>
          <t>Eagles Eyrie</t>
        </is>
      </c>
      <c r="E20" s="54" t="inlineStr">
        <is>
          <t>2429 Idlewylde Ct-1</t>
        </is>
      </c>
      <c r="F20" s="54" t="inlineStr">
        <is>
          <t>2x2 Townhouse</t>
        </is>
      </c>
      <c r="G20" s="54" t="inlineStr">
        <is>
          <t>2x2 Townhouse</t>
        </is>
      </c>
      <c r="K20" s="36" t="inlineStr">
        <is>
          <t>haney, rose</t>
        </is>
      </c>
      <c r="L20" s="55" t="n">
        <v>1300</v>
      </c>
      <c r="M20" s="56" t="n">
        <v>2</v>
      </c>
      <c r="N20" s="56" t="n">
        <v>2</v>
      </c>
      <c r="Q20" s="57" t="inlineStr">
        <is>
          <t>Occ</t>
        </is>
      </c>
      <c r="U20" s="58" t="n">
        <v>1394</v>
      </c>
      <c r="V20" s="58" t="n">
        <v>1295</v>
      </c>
      <c r="W20" s="58" t="n">
        <v>0</v>
      </c>
      <c r="X20" s="58" t="n">
        <v>0</v>
      </c>
      <c r="Y20" s="58" t="n">
        <v>0</v>
      </c>
      <c r="Z20" s="59" t="n">
        <v>46251</v>
      </c>
      <c r="AA20" s="59" t="n">
        <v>46251</v>
      </c>
      <c r="AB20" s="59" t="n">
        <v>46621</v>
      </c>
    </row>
    <row r="21">
      <c r="D21" s="36" t="inlineStr">
        <is>
          <t>Eagles Eyrie</t>
        </is>
      </c>
      <c r="E21" s="54" t="inlineStr">
        <is>
          <t>2429 N Peterson Ct-1</t>
        </is>
      </c>
      <c r="F21" s="54" t="inlineStr">
        <is>
          <t>2x2 Townhouse</t>
        </is>
      </c>
      <c r="G21" s="54" t="inlineStr">
        <is>
          <t>2x2 Townhouse</t>
        </is>
      </c>
      <c r="K21" s="36" t="inlineStr">
        <is>
          <t>Outland, Bradley</t>
        </is>
      </c>
      <c r="L21" s="55" t="n">
        <v>1300</v>
      </c>
      <c r="M21" s="56" t="n">
        <v>2</v>
      </c>
      <c r="N21" s="56" t="n">
        <v>2</v>
      </c>
      <c r="Q21" s="57" t="inlineStr">
        <is>
          <t>Occ</t>
        </is>
      </c>
      <c r="U21" s="58" t="n">
        <v>1319</v>
      </c>
      <c r="V21" s="58" t="n">
        <v>1300</v>
      </c>
      <c r="W21" s="58" t="n">
        <v>0</v>
      </c>
      <c r="X21" s="58" t="n">
        <v>0</v>
      </c>
      <c r="Y21" s="58" t="n">
        <v>0</v>
      </c>
      <c r="Z21" s="59" t="n">
        <v>45429</v>
      </c>
      <c r="AA21" s="59" t="n">
        <v>46174</v>
      </c>
      <c r="AB21" s="59" t="n">
        <v>46544</v>
      </c>
    </row>
    <row r="22">
      <c r="D22" s="36" t="inlineStr">
        <is>
          <t>Eagles Eyrie</t>
        </is>
      </c>
      <c r="E22" s="54" t="inlineStr">
        <is>
          <t>2430 Eagles Eyrie-1</t>
        </is>
      </c>
      <c r="F22" s="54" t="inlineStr">
        <is>
          <t>2x2</t>
        </is>
      </c>
      <c r="G22" s="54" t="inlineStr">
        <is>
          <t>2x2</t>
        </is>
      </c>
      <c r="K22" s="36" t="inlineStr">
        <is>
          <t>Capossela, David</t>
        </is>
      </c>
      <c r="L22" s="55" t="n">
        <v>1300</v>
      </c>
      <c r="M22" s="56" t="n">
        <v>2</v>
      </c>
      <c r="N22" s="56" t="n">
        <v>2</v>
      </c>
      <c r="Q22" s="57" t="inlineStr">
        <is>
          <t>Occ</t>
        </is>
      </c>
      <c r="U22" s="58" t="n">
        <v>1205</v>
      </c>
      <c r="V22" s="58" t="n">
        <v>1126</v>
      </c>
      <c r="W22" s="58" t="n">
        <v>0</v>
      </c>
      <c r="X22" s="58" t="n">
        <v>0</v>
      </c>
      <c r="Y22" s="58" t="n">
        <v>0</v>
      </c>
      <c r="Z22" s="59" t="n">
        <v>44407</v>
      </c>
      <c r="AA22" s="59" t="n">
        <v>46209</v>
      </c>
      <c r="AB22" s="59" t="n">
        <v>46579</v>
      </c>
    </row>
    <row r="23">
      <c r="D23" s="36" t="inlineStr">
        <is>
          <t>Eagles Eyrie</t>
        </is>
      </c>
      <c r="E23" s="54" t="inlineStr">
        <is>
          <t>2430 Eagles Eyrie-2</t>
        </is>
      </c>
      <c r="F23" s="54" t="inlineStr">
        <is>
          <t>2x2</t>
        </is>
      </c>
      <c r="G23" s="54" t="inlineStr">
        <is>
          <t>2x2</t>
        </is>
      </c>
      <c r="K23" s="36" t="inlineStr">
        <is>
          <t>Cash, Alexis</t>
        </is>
      </c>
      <c r="L23" s="55" t="n">
        <v>1300</v>
      </c>
      <c r="M23" s="56" t="n">
        <v>2</v>
      </c>
      <c r="N23" s="56" t="n">
        <v>2</v>
      </c>
      <c r="Q23" s="57" t="inlineStr">
        <is>
          <t>Occ</t>
        </is>
      </c>
      <c r="U23" s="58" t="n">
        <v>1205</v>
      </c>
      <c r="V23" s="58" t="n">
        <v>1180</v>
      </c>
      <c r="W23" s="58" t="n">
        <v>0</v>
      </c>
      <c r="X23" s="58" t="n">
        <v>0</v>
      </c>
      <c r="Y23" s="58" t="n">
        <v>0</v>
      </c>
      <c r="Z23" s="59" t="n">
        <v>45170</v>
      </c>
      <c r="AA23" s="59" t="n">
        <v>46209</v>
      </c>
      <c r="AB23" s="59" t="n">
        <v>46579</v>
      </c>
    </row>
    <row r="24">
      <c r="D24" s="36" t="inlineStr">
        <is>
          <t>Eagles Eyrie</t>
        </is>
      </c>
      <c r="E24" s="54" t="inlineStr">
        <is>
          <t>2431 Idlewylde Ct-1</t>
        </is>
      </c>
      <c r="F24" s="54" t="inlineStr">
        <is>
          <t>3x3 Townhouse</t>
        </is>
      </c>
      <c r="G24" s="54" t="inlineStr">
        <is>
          <t>3x3 Townhouse</t>
        </is>
      </c>
      <c r="K24" s="36" t="inlineStr">
        <is>
          <t>Smith, Tyrone</t>
        </is>
      </c>
      <c r="L24" s="55" t="n">
        <v>1600</v>
      </c>
      <c r="M24" s="56" t="n">
        <v>3</v>
      </c>
      <c r="N24" s="56" t="n">
        <v>3</v>
      </c>
      <c r="Q24" s="57" t="inlineStr">
        <is>
          <t>Occ</t>
        </is>
      </c>
      <c r="U24" s="58" t="n">
        <v>1525</v>
      </c>
      <c r="V24" s="58" t="n">
        <v>1465</v>
      </c>
      <c r="W24" s="58" t="n">
        <v>0</v>
      </c>
      <c r="X24" s="58" t="n">
        <v>0</v>
      </c>
      <c r="Y24" s="58" t="n">
        <v>0</v>
      </c>
      <c r="Z24" s="59" t="n">
        <v>44393</v>
      </c>
      <c r="AA24" s="59" t="n">
        <v>45962</v>
      </c>
      <c r="AB24" s="59" t="n">
        <v>46299</v>
      </c>
    </row>
    <row r="25">
      <c r="D25" s="36" t="inlineStr">
        <is>
          <t>Eagles Eyrie</t>
        </is>
      </c>
      <c r="E25" s="54" t="inlineStr">
        <is>
          <t>2431 N Peterson Ct-1</t>
        </is>
      </c>
      <c r="F25" s="54" t="inlineStr">
        <is>
          <t>3x3 Townhouse</t>
        </is>
      </c>
      <c r="G25" s="54" t="inlineStr">
        <is>
          <t>3x3 Townhouse</t>
        </is>
      </c>
      <c r="K25" s="36" t="inlineStr">
        <is>
          <t>Vance, James</t>
        </is>
      </c>
      <c r="L25" s="55" t="n">
        <v>1600</v>
      </c>
      <c r="M25" s="56" t="n">
        <v>3</v>
      </c>
      <c r="N25" s="56" t="n">
        <v>3</v>
      </c>
      <c r="Q25" s="57" t="inlineStr">
        <is>
          <t>Occ</t>
        </is>
      </c>
      <c r="U25" s="58" t="n">
        <v>1584</v>
      </c>
      <c r="V25" s="58" t="n">
        <v>1405</v>
      </c>
      <c r="W25" s="58" t="n">
        <v>0</v>
      </c>
      <c r="X25" s="58" t="n">
        <v>0</v>
      </c>
      <c r="Y25" s="58" t="n">
        <v>0</v>
      </c>
      <c r="Z25" s="59" t="n">
        <v>45177</v>
      </c>
      <c r="AA25" s="59" t="n">
        <v>45931</v>
      </c>
      <c r="AB25" s="59" t="n">
        <v>46299</v>
      </c>
    </row>
    <row r="26">
      <c r="D26" s="36" t="inlineStr">
        <is>
          <t>Eagles Eyrie</t>
        </is>
      </c>
      <c r="E26" s="54" t="inlineStr">
        <is>
          <t>2432 Eagles Eyrie-3</t>
        </is>
      </c>
      <c r="F26" s="54" t="inlineStr">
        <is>
          <t>2x2</t>
        </is>
      </c>
      <c r="G26" s="54" t="inlineStr">
        <is>
          <t>2x2</t>
        </is>
      </c>
      <c r="K26" s="36" t="inlineStr">
        <is>
          <t>Vacant</t>
        </is>
      </c>
      <c r="L26" s="55" t="n">
        <v>1300</v>
      </c>
      <c r="M26" s="56" t="n">
        <v>2</v>
      </c>
      <c r="N26" s="56" t="n">
        <v>2</v>
      </c>
      <c r="Q26" s="57" t="inlineStr">
        <is>
          <t>Vac</t>
        </is>
      </c>
      <c r="U26" s="58" t="n">
        <v>1174</v>
      </c>
      <c r="V26" s="58" t="n">
        <v>0</v>
      </c>
      <c r="W26" s="58" t="n">
        <v>0</v>
      </c>
      <c r="X26" s="58" t="n">
        <v>0</v>
      </c>
      <c r="Y26" s="58" t="n">
        <v>0</v>
      </c>
    </row>
    <row r="27">
      <c r="D27" s="36" t="inlineStr">
        <is>
          <t>Eagles Eyrie</t>
        </is>
      </c>
      <c r="E27" s="54" t="inlineStr">
        <is>
          <t>2432 Eagles Eyrie-4</t>
        </is>
      </c>
      <c r="F27" s="54" t="inlineStr">
        <is>
          <t>2x2</t>
        </is>
      </c>
      <c r="G27" s="54" t="inlineStr">
        <is>
          <t>2x2</t>
        </is>
      </c>
      <c r="K27" s="36" t="inlineStr">
        <is>
          <t>Fenner, Chris</t>
        </is>
      </c>
      <c r="L27" s="55" t="n">
        <v>1300</v>
      </c>
      <c r="M27" s="56" t="n">
        <v>2</v>
      </c>
      <c r="N27" s="56" t="n">
        <v>2</v>
      </c>
      <c r="Q27" s="57" t="inlineStr">
        <is>
          <t>Occ</t>
        </is>
      </c>
      <c r="U27" s="58" t="n">
        <v>1255</v>
      </c>
      <c r="V27" s="58" t="n">
        <v>1180</v>
      </c>
      <c r="W27" s="58" t="n">
        <v>0</v>
      </c>
      <c r="X27" s="58" t="n">
        <v>0</v>
      </c>
      <c r="Y27" s="58" t="n">
        <v>0</v>
      </c>
      <c r="Z27" s="59" t="n">
        <v>45702</v>
      </c>
      <c r="AA27" s="59" t="n">
        <v>46160</v>
      </c>
      <c r="AB27" s="59" t="n">
        <v>46530</v>
      </c>
    </row>
    <row r="28">
      <c r="D28" s="36" t="inlineStr">
        <is>
          <t>Eagles Eyrie</t>
        </is>
      </c>
      <c r="E28" s="54" t="inlineStr">
        <is>
          <t>2432 Eagles Eyrie-5</t>
        </is>
      </c>
      <c r="F28" s="54" t="inlineStr">
        <is>
          <t>2x2</t>
        </is>
      </c>
      <c r="G28" s="54" t="inlineStr">
        <is>
          <t>2x2</t>
        </is>
      </c>
      <c r="K28" s="36" t="inlineStr">
        <is>
          <t>Davis, Junion</t>
        </is>
      </c>
      <c r="L28" s="55" t="n">
        <v>1300</v>
      </c>
      <c r="M28" s="56" t="n">
        <v>2</v>
      </c>
      <c r="N28" s="56" t="n">
        <v>2</v>
      </c>
      <c r="Q28" s="57" t="inlineStr">
        <is>
          <t>Occ</t>
        </is>
      </c>
      <c r="U28" s="58" t="n">
        <v>1205</v>
      </c>
      <c r="V28" s="58" t="n">
        <v>1154</v>
      </c>
      <c r="W28" s="58" t="n">
        <v>0</v>
      </c>
      <c r="X28" s="58" t="n">
        <v>0</v>
      </c>
      <c r="Y28" s="58" t="n">
        <v>0</v>
      </c>
      <c r="Z28" s="59" t="n">
        <v>45772</v>
      </c>
      <c r="AA28" s="59" t="n">
        <v>46146</v>
      </c>
      <c r="AB28" s="59" t="n">
        <v>46516</v>
      </c>
    </row>
    <row r="29">
      <c r="D29" s="36" t="inlineStr">
        <is>
          <t>Eagles Eyrie</t>
        </is>
      </c>
      <c r="E29" s="54" t="inlineStr">
        <is>
          <t>2432 Eagles Eyrie-6</t>
        </is>
      </c>
      <c r="F29" s="54" t="inlineStr">
        <is>
          <t>2x2</t>
        </is>
      </c>
      <c r="G29" s="54" t="inlineStr">
        <is>
          <t>2x2</t>
        </is>
      </c>
      <c r="K29" s="36" t="inlineStr">
        <is>
          <t>Bohn, Noah</t>
        </is>
      </c>
      <c r="L29" s="55" t="n">
        <v>1300</v>
      </c>
      <c r="M29" s="56" t="n">
        <v>2</v>
      </c>
      <c r="N29" s="56" t="n">
        <v>2</v>
      </c>
      <c r="Q29" s="57" t="inlineStr">
        <is>
          <t>Occ</t>
        </is>
      </c>
      <c r="U29" s="58" t="n">
        <v>1330</v>
      </c>
      <c r="V29" s="58" t="n">
        <v>1309</v>
      </c>
      <c r="W29" s="58" t="n">
        <v>0</v>
      </c>
      <c r="X29" s="58" t="n">
        <v>0</v>
      </c>
      <c r="Y29" s="58" t="n">
        <v>0</v>
      </c>
      <c r="Z29" s="59" t="n">
        <v>45915</v>
      </c>
      <c r="AA29" s="59" t="n">
        <v>45915</v>
      </c>
      <c r="AB29" s="59" t="n">
        <v>46285</v>
      </c>
    </row>
    <row r="30">
      <c r="D30" s="36" t="inlineStr">
        <is>
          <t>Eagles Eyrie</t>
        </is>
      </c>
      <c r="E30" s="54" t="inlineStr">
        <is>
          <t>2433 Idlewylde Ct-1</t>
        </is>
      </c>
      <c r="F30" s="54" t="inlineStr">
        <is>
          <t>2x2 Townhouse</t>
        </is>
      </c>
      <c r="G30" s="54" t="inlineStr">
        <is>
          <t>2x2 Townhouse</t>
        </is>
      </c>
      <c r="K30" s="36" t="inlineStr">
        <is>
          <t>Ghramm, Malia</t>
        </is>
      </c>
      <c r="L30" s="55" t="n">
        <v>1300</v>
      </c>
      <c r="M30" s="56" t="n">
        <v>2</v>
      </c>
      <c r="N30" s="56" t="n">
        <v>2</v>
      </c>
      <c r="Q30" s="57" t="inlineStr">
        <is>
          <t>Occ</t>
        </is>
      </c>
      <c r="U30" s="58" t="n">
        <v>1394</v>
      </c>
      <c r="V30" s="58" t="n">
        <v>1385</v>
      </c>
      <c r="W30" s="58" t="n">
        <v>0</v>
      </c>
      <c r="X30" s="58" t="n">
        <v>0</v>
      </c>
      <c r="Y30" s="58" t="n">
        <v>0</v>
      </c>
      <c r="Z30" s="59" t="n">
        <v>45992</v>
      </c>
      <c r="AA30" s="59" t="n">
        <v>45992</v>
      </c>
      <c r="AB30" s="59" t="n">
        <v>46299</v>
      </c>
    </row>
    <row r="31">
      <c r="D31" s="36" t="inlineStr">
        <is>
          <t>Eagles Eyrie</t>
        </is>
      </c>
      <c r="E31" s="54" t="inlineStr">
        <is>
          <t>2433 N Peterson Ct-1</t>
        </is>
      </c>
      <c r="F31" s="54" t="inlineStr">
        <is>
          <t>2x2 Townhouse</t>
        </is>
      </c>
      <c r="G31" s="54" t="inlineStr">
        <is>
          <t>2x2 Townhouse</t>
        </is>
      </c>
      <c r="K31" s="36" t="inlineStr">
        <is>
          <t>Tarbis, Evan</t>
        </is>
      </c>
      <c r="L31" s="55" t="n">
        <v>1300</v>
      </c>
      <c r="M31" s="56" t="n">
        <v>2</v>
      </c>
      <c r="N31" s="56" t="n">
        <v>2</v>
      </c>
      <c r="Q31" s="57" t="inlineStr">
        <is>
          <t>Occ</t>
        </is>
      </c>
      <c r="U31" s="58" t="n">
        <v>1319</v>
      </c>
      <c r="V31" s="58" t="n">
        <v>1278</v>
      </c>
      <c r="W31" s="58" t="n">
        <v>0</v>
      </c>
      <c r="X31" s="58" t="n">
        <v>0</v>
      </c>
      <c r="Y31" s="58" t="n">
        <v>0</v>
      </c>
      <c r="Z31" s="59" t="n">
        <v>44927</v>
      </c>
      <c r="AA31" s="59" t="n">
        <v>46118</v>
      </c>
      <c r="AB31" s="59" t="n">
        <v>46488</v>
      </c>
    </row>
    <row r="32">
      <c r="D32" s="36" t="inlineStr">
        <is>
          <t>Eagles Eyrie</t>
        </is>
      </c>
      <c r="E32" s="54" t="inlineStr">
        <is>
          <t>2434 Eagles Eyrie-1</t>
        </is>
      </c>
      <c r="F32" s="54" t="inlineStr">
        <is>
          <t>2x2</t>
        </is>
      </c>
      <c r="G32" s="54" t="inlineStr">
        <is>
          <t>2x2</t>
        </is>
      </c>
      <c r="K32" s="36" t="inlineStr">
        <is>
          <t>Wilbers, Seth</t>
        </is>
      </c>
      <c r="L32" s="55" t="n">
        <v>1300</v>
      </c>
      <c r="M32" s="56" t="n">
        <v>2</v>
      </c>
      <c r="N32" s="56" t="n">
        <v>2</v>
      </c>
      <c r="Q32" s="57" t="inlineStr">
        <is>
          <t>Occ</t>
        </is>
      </c>
      <c r="U32" s="58" t="n">
        <v>1280</v>
      </c>
      <c r="V32" s="58" t="n">
        <v>1253</v>
      </c>
      <c r="W32" s="58" t="n">
        <v>0</v>
      </c>
      <c r="X32" s="58" t="n">
        <v>0</v>
      </c>
      <c r="Y32" s="58" t="n">
        <v>0</v>
      </c>
      <c r="Z32" s="59" t="n">
        <v>46130</v>
      </c>
      <c r="AA32" s="59" t="n">
        <v>46130</v>
      </c>
      <c r="AB32" s="59" t="n">
        <v>46467</v>
      </c>
    </row>
    <row r="33">
      <c r="D33" s="36" t="inlineStr">
        <is>
          <t>Eagles Eyrie</t>
        </is>
      </c>
      <c r="E33" s="54" t="inlineStr">
        <is>
          <t>2434 Eagles Eyrie-2</t>
        </is>
      </c>
      <c r="F33" s="54" t="inlineStr">
        <is>
          <t>2x2</t>
        </is>
      </c>
      <c r="G33" s="54" t="inlineStr">
        <is>
          <t>2x2</t>
        </is>
      </c>
      <c r="K33" s="36" t="inlineStr">
        <is>
          <t>Zinious, John</t>
        </is>
      </c>
      <c r="L33" s="55" t="n">
        <v>1300</v>
      </c>
      <c r="M33" s="56" t="n">
        <v>2</v>
      </c>
      <c r="N33" s="56" t="n">
        <v>2</v>
      </c>
      <c r="Q33" s="57" t="inlineStr">
        <is>
          <t>Occ</t>
        </is>
      </c>
      <c r="U33" s="58" t="n">
        <v>1205</v>
      </c>
      <c r="V33" s="58" t="n">
        <v>1159</v>
      </c>
      <c r="W33" s="58" t="n">
        <v>0</v>
      </c>
      <c r="X33" s="58" t="n">
        <v>0</v>
      </c>
      <c r="Y33" s="58" t="n">
        <v>0</v>
      </c>
      <c r="Z33" s="59" t="n">
        <v>44435</v>
      </c>
      <c r="AA33" s="59" t="n">
        <v>46209</v>
      </c>
      <c r="AB33" s="59" t="n">
        <v>46579</v>
      </c>
    </row>
    <row r="34">
      <c r="D34" s="36" t="inlineStr">
        <is>
          <t>Eagles Eyrie</t>
        </is>
      </c>
      <c r="E34" s="54" t="inlineStr">
        <is>
          <t>2435 Idlewylde Ct-1</t>
        </is>
      </c>
      <c r="F34" s="54" t="inlineStr">
        <is>
          <t>3x3 Townhouse</t>
        </is>
      </c>
      <c r="G34" s="54" t="inlineStr">
        <is>
          <t>3x3 Townhouse</t>
        </is>
      </c>
      <c r="K34" s="36" t="inlineStr">
        <is>
          <t>McCray, William</t>
        </is>
      </c>
      <c r="L34" s="55" t="n">
        <v>1600</v>
      </c>
      <c r="M34" s="56" t="n">
        <v>3</v>
      </c>
      <c r="N34" s="56" t="n">
        <v>3</v>
      </c>
      <c r="Q34" s="57" t="inlineStr">
        <is>
          <t>Occ</t>
        </is>
      </c>
      <c r="U34" s="58" t="n">
        <v>1584</v>
      </c>
      <c r="V34" s="58" t="n">
        <v>1310</v>
      </c>
      <c r="W34" s="58" t="n">
        <v>0</v>
      </c>
      <c r="X34" s="58" t="n">
        <v>0</v>
      </c>
      <c r="Y34" s="58" t="n">
        <v>0</v>
      </c>
      <c r="Z34" s="59" t="n">
        <v>45268</v>
      </c>
      <c r="AA34" s="59" t="n">
        <v>46118</v>
      </c>
      <c r="AB34" s="59" t="n">
        <v>46488</v>
      </c>
    </row>
    <row r="35">
      <c r="D35" s="36" t="inlineStr">
        <is>
          <t>Eagles Eyrie</t>
        </is>
      </c>
      <c r="E35" s="54" t="inlineStr">
        <is>
          <t>2435 N Peterson Ct-1</t>
        </is>
      </c>
      <c r="F35" s="54" t="inlineStr">
        <is>
          <t>3x3 Townhouse</t>
        </is>
      </c>
      <c r="G35" s="54" t="inlineStr">
        <is>
          <t>3x3 Townhouse</t>
        </is>
      </c>
      <c r="K35" s="36" t="inlineStr">
        <is>
          <t>Dailey, Emma</t>
        </is>
      </c>
      <c r="L35" s="55" t="n">
        <v>1600</v>
      </c>
      <c r="M35" s="56" t="n">
        <v>3</v>
      </c>
      <c r="N35" s="56" t="n">
        <v>3</v>
      </c>
      <c r="Q35" s="57" t="inlineStr">
        <is>
          <t>Occ</t>
        </is>
      </c>
      <c r="U35" s="58" t="n">
        <v>1584</v>
      </c>
      <c r="V35" s="58" t="n">
        <v>1488</v>
      </c>
      <c r="W35" s="58" t="n">
        <v>0</v>
      </c>
      <c r="X35" s="58" t="n">
        <v>0</v>
      </c>
      <c r="Y35" s="58" t="n">
        <v>0</v>
      </c>
      <c r="Z35" s="59" t="n">
        <v>41365</v>
      </c>
      <c r="AA35" s="59" t="n">
        <v>46118</v>
      </c>
      <c r="AB35" s="59" t="n">
        <v>46488</v>
      </c>
    </row>
    <row r="36">
      <c r="D36" s="36" t="inlineStr">
        <is>
          <t>Eagles Eyrie</t>
        </is>
      </c>
      <c r="E36" s="54" t="inlineStr">
        <is>
          <t>2436 Eagles Eyrie-3</t>
        </is>
      </c>
      <c r="F36" s="54" t="inlineStr">
        <is>
          <t>2x2</t>
        </is>
      </c>
      <c r="G36" s="54" t="inlineStr">
        <is>
          <t>2x2</t>
        </is>
      </c>
      <c r="K36" s="36" t="inlineStr">
        <is>
          <t>MeNefee, Marian</t>
        </is>
      </c>
      <c r="L36" s="55" t="n">
        <v>1300</v>
      </c>
      <c r="M36" s="56" t="n">
        <v>2</v>
      </c>
      <c r="N36" s="56" t="n">
        <v>2</v>
      </c>
      <c r="Q36" s="57" t="inlineStr">
        <is>
          <t>Occ</t>
        </is>
      </c>
      <c r="U36" s="58" t="n">
        <v>1205</v>
      </c>
      <c r="V36" s="58" t="n">
        <v>1159</v>
      </c>
      <c r="W36" s="58" t="n">
        <v>0</v>
      </c>
      <c r="X36" s="58" t="n">
        <v>0</v>
      </c>
      <c r="Y36" s="58" t="n">
        <v>0</v>
      </c>
      <c r="Z36" s="59" t="n">
        <v>42552</v>
      </c>
      <c r="AA36" s="59" t="n">
        <v>46209</v>
      </c>
      <c r="AB36" s="59" t="n">
        <v>46579</v>
      </c>
    </row>
    <row r="37">
      <c r="D37" s="36" t="inlineStr">
        <is>
          <t>Eagles Eyrie</t>
        </is>
      </c>
      <c r="E37" s="54" t="inlineStr">
        <is>
          <t>2436 Eagles Eyrie-4</t>
        </is>
      </c>
      <c r="F37" s="54" t="inlineStr">
        <is>
          <t>2x2</t>
        </is>
      </c>
      <c r="G37" s="54" t="inlineStr">
        <is>
          <t>2x2</t>
        </is>
      </c>
      <c r="K37" s="36" t="inlineStr">
        <is>
          <t>Exum, Connor</t>
        </is>
      </c>
      <c r="L37" s="55" t="n">
        <v>1300</v>
      </c>
      <c r="M37" s="56" t="n">
        <v>2</v>
      </c>
      <c r="N37" s="56" t="n">
        <v>2</v>
      </c>
      <c r="Q37" s="57" t="inlineStr">
        <is>
          <t>Occ</t>
        </is>
      </c>
      <c r="U37" s="58" t="n">
        <v>1205</v>
      </c>
      <c r="V37" s="58" t="n">
        <v>1173</v>
      </c>
      <c r="W37" s="58" t="n">
        <v>0</v>
      </c>
      <c r="X37" s="58" t="n">
        <v>0</v>
      </c>
      <c r="Y37" s="58" t="n">
        <v>0</v>
      </c>
      <c r="Z37" s="59" t="n">
        <v>45751</v>
      </c>
      <c r="AA37" s="59" t="n">
        <v>46153</v>
      </c>
      <c r="AB37" s="59" t="n">
        <v>46523</v>
      </c>
    </row>
    <row r="38">
      <c r="D38" s="36" t="inlineStr">
        <is>
          <t>Eagles Eyrie</t>
        </is>
      </c>
      <c r="E38" s="54" t="inlineStr">
        <is>
          <t>2436 Eagles Eyrie-5</t>
        </is>
      </c>
      <c r="F38" s="54" t="inlineStr">
        <is>
          <t>2x2</t>
        </is>
      </c>
      <c r="G38" s="54" t="inlineStr">
        <is>
          <t>2x2</t>
        </is>
      </c>
      <c r="K38" s="36" t="inlineStr">
        <is>
          <t>Quispe Mendoza, Elvira</t>
        </is>
      </c>
      <c r="L38" s="55" t="n">
        <v>1300</v>
      </c>
      <c r="M38" s="56" t="n">
        <v>2</v>
      </c>
      <c r="N38" s="56" t="n">
        <v>2</v>
      </c>
      <c r="Q38" s="57" t="inlineStr">
        <is>
          <t>Occ</t>
        </is>
      </c>
      <c r="U38" s="58" t="n">
        <v>1280</v>
      </c>
      <c r="V38" s="58" t="n">
        <v>1252</v>
      </c>
      <c r="W38" s="58" t="n">
        <v>0</v>
      </c>
      <c r="X38" s="58" t="n">
        <v>0</v>
      </c>
      <c r="Y38" s="58" t="n">
        <v>0</v>
      </c>
      <c r="Z38" s="59" t="n">
        <v>46164</v>
      </c>
      <c r="AA38" s="59" t="n">
        <v>46164</v>
      </c>
      <c r="AB38" s="59" t="n">
        <v>46467</v>
      </c>
    </row>
    <row r="39">
      <c r="D39" s="36" t="inlineStr">
        <is>
          <t>Eagles Eyrie</t>
        </is>
      </c>
      <c r="E39" s="54" t="inlineStr">
        <is>
          <t>2436 Eagles Eyrie-6</t>
        </is>
      </c>
      <c r="F39" s="54" t="inlineStr">
        <is>
          <t>2x2</t>
        </is>
      </c>
      <c r="G39" s="54" t="inlineStr">
        <is>
          <t>2x2</t>
        </is>
      </c>
      <c r="K39" s="36" t="inlineStr">
        <is>
          <t>Hetherington, Emma</t>
        </is>
      </c>
      <c r="L39" s="55" t="n">
        <v>1300</v>
      </c>
      <c r="M39" s="56" t="n">
        <v>2</v>
      </c>
      <c r="N39" s="56" t="n">
        <v>2</v>
      </c>
      <c r="Q39" s="57" t="inlineStr">
        <is>
          <t>Occ</t>
        </is>
      </c>
      <c r="U39" s="58" t="n">
        <v>1205</v>
      </c>
      <c r="V39" s="58" t="n">
        <v>1174</v>
      </c>
      <c r="W39" s="58" t="n">
        <v>0</v>
      </c>
      <c r="X39" s="58" t="n">
        <v>0</v>
      </c>
      <c r="Y39" s="58" t="n">
        <v>0</v>
      </c>
      <c r="Z39" s="59" t="n">
        <v>44957</v>
      </c>
      <c r="AA39" s="59" t="n">
        <v>46266</v>
      </c>
      <c r="AB39" s="59" t="n">
        <v>46635</v>
      </c>
    </row>
    <row r="40">
      <c r="D40" s="36" t="inlineStr">
        <is>
          <t>Eagles Eyrie</t>
        </is>
      </c>
      <c r="E40" s="54" t="inlineStr">
        <is>
          <t>2437 Idlewylde Ct-1</t>
        </is>
      </c>
      <c r="F40" s="54" t="inlineStr">
        <is>
          <t>2x2 Townhouse</t>
        </is>
      </c>
      <c r="G40" s="54" t="inlineStr">
        <is>
          <t>2x2 Townhouse</t>
        </is>
      </c>
      <c r="K40" s="36" t="inlineStr">
        <is>
          <t>Busam, Byron</t>
        </is>
      </c>
      <c r="L40" s="55" t="n">
        <v>1300</v>
      </c>
      <c r="M40" s="56" t="n">
        <v>2</v>
      </c>
      <c r="N40" s="56" t="n">
        <v>2</v>
      </c>
      <c r="Q40" s="57" t="inlineStr">
        <is>
          <t>Occ</t>
        </is>
      </c>
      <c r="U40" s="58" t="n">
        <v>1319</v>
      </c>
      <c r="V40" s="58" t="n">
        <v>1229</v>
      </c>
      <c r="W40" s="58" t="n">
        <v>0</v>
      </c>
      <c r="X40" s="58" t="n">
        <v>0</v>
      </c>
      <c r="Y40" s="58" t="n">
        <v>0</v>
      </c>
      <c r="Z40" s="59" t="n">
        <v>44958</v>
      </c>
      <c r="AA40" s="59" t="n">
        <v>46146</v>
      </c>
      <c r="AB40" s="59" t="n">
        <v>46516</v>
      </c>
    </row>
    <row r="41">
      <c r="D41" s="36" t="inlineStr">
        <is>
          <t>Eagles Eyrie</t>
        </is>
      </c>
      <c r="E41" s="54" t="inlineStr">
        <is>
          <t>2437 N Peterson Ct-1</t>
        </is>
      </c>
      <c r="F41" s="54" t="inlineStr">
        <is>
          <t>2x2 Townhouse</t>
        </is>
      </c>
      <c r="G41" s="54" t="inlineStr">
        <is>
          <t>2x2 Townhouse</t>
        </is>
      </c>
      <c r="K41" s="36" t="inlineStr">
        <is>
          <t>Blincoe, Ray</t>
        </is>
      </c>
      <c r="L41" s="55" t="n">
        <v>1300</v>
      </c>
      <c r="M41" s="56" t="n">
        <v>2</v>
      </c>
      <c r="N41" s="56" t="n">
        <v>2</v>
      </c>
      <c r="Q41" s="57" t="inlineStr">
        <is>
          <t>Occ</t>
        </is>
      </c>
      <c r="U41" s="58" t="n">
        <v>1319</v>
      </c>
      <c r="V41" s="58" t="n">
        <v>1300</v>
      </c>
      <c r="W41" s="58" t="n">
        <v>0</v>
      </c>
      <c r="X41" s="58" t="n">
        <v>0</v>
      </c>
      <c r="Y41" s="58" t="n">
        <v>0</v>
      </c>
      <c r="Z41" s="59" t="n">
        <v>45481</v>
      </c>
      <c r="AA41" s="59" t="n">
        <v>46209</v>
      </c>
      <c r="AB41" s="59" t="n">
        <v>46579</v>
      </c>
    </row>
    <row r="42">
      <c r="D42" s="36" t="inlineStr">
        <is>
          <t>Eagles Eyrie</t>
        </is>
      </c>
      <c r="E42" s="54" t="inlineStr">
        <is>
          <t>2438 Eagles Eyrie-1</t>
        </is>
      </c>
      <c r="F42" s="54" t="inlineStr">
        <is>
          <t>2x2</t>
        </is>
      </c>
      <c r="G42" s="54" t="inlineStr">
        <is>
          <t>2x2</t>
        </is>
      </c>
      <c r="K42" s="36" t="inlineStr">
        <is>
          <t>Wakeland, Sally</t>
        </is>
      </c>
      <c r="L42" s="55" t="n">
        <v>1300</v>
      </c>
      <c r="M42" s="56" t="n">
        <v>2</v>
      </c>
      <c r="N42" s="56" t="n">
        <v>2</v>
      </c>
      <c r="Q42" s="57" t="inlineStr">
        <is>
          <t>Occ</t>
        </is>
      </c>
      <c r="U42" s="58" t="n">
        <v>1330</v>
      </c>
      <c r="V42" s="58" t="n">
        <v>1394</v>
      </c>
      <c r="W42" s="58" t="n">
        <v>0</v>
      </c>
      <c r="X42" s="58" t="n">
        <v>0</v>
      </c>
      <c r="Y42" s="58" t="n">
        <v>0</v>
      </c>
      <c r="Z42" s="59" t="n">
        <v>46043</v>
      </c>
      <c r="AA42" s="59" t="n">
        <v>46043</v>
      </c>
      <c r="AB42" s="59" t="n">
        <v>46411</v>
      </c>
    </row>
    <row r="43">
      <c r="D43" s="36" t="inlineStr">
        <is>
          <t>Eagles Eyrie</t>
        </is>
      </c>
      <c r="E43" s="54" t="inlineStr">
        <is>
          <t>2438 Eagles Eyrie-2</t>
        </is>
      </c>
      <c r="F43" s="54" t="inlineStr">
        <is>
          <t>2x2</t>
        </is>
      </c>
      <c r="G43" s="54" t="inlineStr">
        <is>
          <t>2x2</t>
        </is>
      </c>
      <c r="K43" s="36" t="inlineStr">
        <is>
          <t>Gallini, Andrew</t>
        </is>
      </c>
      <c r="L43" s="55" t="n">
        <v>1300</v>
      </c>
      <c r="M43" s="56" t="n">
        <v>2</v>
      </c>
      <c r="N43" s="56" t="n">
        <v>2</v>
      </c>
      <c r="Q43" s="57" t="inlineStr">
        <is>
          <t>Occ</t>
        </is>
      </c>
      <c r="U43" s="58" t="n">
        <v>1405</v>
      </c>
      <c r="V43" s="58" t="n">
        <v>1245</v>
      </c>
      <c r="W43" s="58" t="n">
        <v>0</v>
      </c>
      <c r="X43" s="58" t="n">
        <v>0</v>
      </c>
      <c r="Y43" s="58" t="n">
        <v>0</v>
      </c>
      <c r="Z43" s="59" t="n">
        <v>46044</v>
      </c>
      <c r="AA43" s="59" t="n">
        <v>46044</v>
      </c>
      <c r="AB43" s="59" t="n">
        <v>46411</v>
      </c>
    </row>
    <row r="44">
      <c r="D44" s="36" t="inlineStr">
        <is>
          <t>Eagles Eyrie</t>
        </is>
      </c>
      <c r="E44" s="54" t="inlineStr">
        <is>
          <t>2439 Idlewylde Ct-1</t>
        </is>
      </c>
      <c r="F44" s="54" t="inlineStr">
        <is>
          <t>3x3 Townhouse</t>
        </is>
      </c>
      <c r="G44" s="54" t="inlineStr">
        <is>
          <t>3x3 Townhouse</t>
        </is>
      </c>
      <c r="K44" s="36" t="inlineStr">
        <is>
          <t>Knox, Donte</t>
        </is>
      </c>
      <c r="L44" s="55" t="n">
        <v>1600</v>
      </c>
      <c r="M44" s="56" t="n">
        <v>3</v>
      </c>
      <c r="N44" s="56" t="n">
        <v>3</v>
      </c>
      <c r="Q44" s="57" t="inlineStr">
        <is>
          <t>Occ</t>
        </is>
      </c>
      <c r="U44" s="58" t="n">
        <v>1709</v>
      </c>
      <c r="V44" s="58" t="n">
        <v>1614</v>
      </c>
      <c r="W44" s="58" t="n">
        <v>0</v>
      </c>
      <c r="X44" s="58" t="n">
        <v>0</v>
      </c>
      <c r="Y44" s="58" t="n">
        <v>0</v>
      </c>
      <c r="Z44" s="59" t="n">
        <v>46031</v>
      </c>
      <c r="AA44" s="59" t="n">
        <v>46031</v>
      </c>
      <c r="AB44" s="59" t="n">
        <v>46579</v>
      </c>
    </row>
    <row r="45">
      <c r="D45" s="36" t="inlineStr">
        <is>
          <t>Eagles Eyrie</t>
        </is>
      </c>
      <c r="E45" s="54" t="inlineStr">
        <is>
          <t>2439 N Peterson Ct-1</t>
        </is>
      </c>
      <c r="F45" s="54" t="inlineStr">
        <is>
          <t>3x3 Townhouse</t>
        </is>
      </c>
      <c r="G45" s="54" t="inlineStr">
        <is>
          <t>3x3 Townhouse</t>
        </is>
      </c>
      <c r="K45" s="36" t="inlineStr">
        <is>
          <t>Poignard-Schaffer, Bernita</t>
        </is>
      </c>
      <c r="L45" s="55" t="n">
        <v>1600</v>
      </c>
      <c r="M45" s="56" t="n">
        <v>3</v>
      </c>
      <c r="N45" s="56" t="n">
        <v>3</v>
      </c>
      <c r="Q45" s="57" t="inlineStr">
        <is>
          <t>Occ</t>
        </is>
      </c>
      <c r="U45" s="58" t="n">
        <v>1584</v>
      </c>
      <c r="V45" s="58" t="n">
        <v>1465</v>
      </c>
      <c r="W45" s="58" t="n">
        <v>0</v>
      </c>
      <c r="X45" s="58" t="n">
        <v>0</v>
      </c>
      <c r="Y45" s="58" t="n">
        <v>0</v>
      </c>
      <c r="Z45" s="59" t="n">
        <v>45401</v>
      </c>
      <c r="AA45" s="59" t="n">
        <v>46146</v>
      </c>
      <c r="AB45" s="59" t="n">
        <v>46516</v>
      </c>
    </row>
    <row r="46">
      <c r="D46" s="36" t="inlineStr">
        <is>
          <t>Eagles Eyrie</t>
        </is>
      </c>
      <c r="E46" s="54" t="inlineStr">
        <is>
          <t>2440 Eagles Eyrie-3</t>
        </is>
      </c>
      <c r="F46" s="54" t="inlineStr">
        <is>
          <t>2x2</t>
        </is>
      </c>
      <c r="G46" s="54" t="inlineStr">
        <is>
          <t>2x2</t>
        </is>
      </c>
      <c r="K46" s="36" t="inlineStr">
        <is>
          <t>McDonald, Damen</t>
        </is>
      </c>
      <c r="L46" s="55" t="n">
        <v>1300</v>
      </c>
      <c r="M46" s="56" t="n">
        <v>2</v>
      </c>
      <c r="N46" s="56" t="n">
        <v>2</v>
      </c>
      <c r="Q46" s="57" t="inlineStr">
        <is>
          <t>Occ</t>
        </is>
      </c>
      <c r="U46" s="58" t="n">
        <v>1205</v>
      </c>
      <c r="V46" s="58" t="n">
        <v>1188</v>
      </c>
      <c r="W46" s="58" t="n">
        <v>0</v>
      </c>
      <c r="X46" s="58" t="n">
        <v>0</v>
      </c>
      <c r="Y46" s="58" t="n">
        <v>0</v>
      </c>
      <c r="Z46" s="59" t="n">
        <v>44252</v>
      </c>
      <c r="AA46" s="59" t="n">
        <v>46230</v>
      </c>
      <c r="AB46" s="59" t="n">
        <v>46446</v>
      </c>
    </row>
    <row r="47">
      <c r="D47" s="36" t="inlineStr">
        <is>
          <t>Eagles Eyrie</t>
        </is>
      </c>
      <c r="E47" s="54" t="inlineStr">
        <is>
          <t>2440 Eagles Eyrie-4</t>
        </is>
      </c>
      <c r="F47" s="54" t="inlineStr">
        <is>
          <t>2x2</t>
        </is>
      </c>
      <c r="G47" s="54" t="inlineStr">
        <is>
          <t>2x2</t>
        </is>
      </c>
      <c r="K47" s="36" t="inlineStr">
        <is>
          <t>White, Tateka</t>
        </is>
      </c>
      <c r="L47" s="55" t="n">
        <v>1300</v>
      </c>
      <c r="M47" s="56" t="n">
        <v>2</v>
      </c>
      <c r="N47" s="56" t="n">
        <v>2</v>
      </c>
      <c r="Q47" s="57" t="inlineStr">
        <is>
          <t>Occ</t>
        </is>
      </c>
      <c r="U47" s="58" t="n">
        <v>1205</v>
      </c>
      <c r="V47" s="58" t="n">
        <v>1151</v>
      </c>
      <c r="W47" s="58" t="n">
        <v>0</v>
      </c>
      <c r="X47" s="58" t="n">
        <v>0</v>
      </c>
      <c r="Y47" s="58" t="n">
        <v>0</v>
      </c>
      <c r="Z47" s="59" t="n">
        <v>42777</v>
      </c>
      <c r="AA47" s="59" t="n">
        <v>46181</v>
      </c>
      <c r="AB47" s="59" t="n">
        <v>46551</v>
      </c>
    </row>
    <row r="48">
      <c r="D48" s="36" t="inlineStr">
        <is>
          <t>Eagles Eyrie</t>
        </is>
      </c>
      <c r="E48" s="54" t="inlineStr">
        <is>
          <t>2440 Eagles Eyrie-5</t>
        </is>
      </c>
      <c r="F48" s="54" t="inlineStr">
        <is>
          <t>2x2</t>
        </is>
      </c>
      <c r="G48" s="54" t="inlineStr">
        <is>
          <t>2x2</t>
        </is>
      </c>
      <c r="K48" s="36" t="inlineStr">
        <is>
          <t>Harper, Kenyetta</t>
        </is>
      </c>
      <c r="L48" s="55" t="n">
        <v>1300</v>
      </c>
      <c r="M48" s="56" t="n">
        <v>2</v>
      </c>
      <c r="N48" s="56" t="n">
        <v>2</v>
      </c>
      <c r="Q48" s="57" t="inlineStr">
        <is>
          <t>Occ</t>
        </is>
      </c>
      <c r="U48" s="58" t="n">
        <v>1280</v>
      </c>
      <c r="V48" s="58" t="n">
        <v>1215</v>
      </c>
      <c r="W48" s="58" t="n">
        <v>0</v>
      </c>
      <c r="X48" s="58" t="n">
        <v>0</v>
      </c>
      <c r="Y48" s="58" t="n">
        <v>0</v>
      </c>
      <c r="Z48" s="59" t="n">
        <v>45608</v>
      </c>
      <c r="AA48" s="59" t="n">
        <v>45971</v>
      </c>
      <c r="AB48" s="59" t="n">
        <v>46516</v>
      </c>
    </row>
    <row r="49">
      <c r="D49" s="36" t="inlineStr">
        <is>
          <t>Eagles Eyrie</t>
        </is>
      </c>
      <c r="E49" s="54" t="inlineStr">
        <is>
          <t>2440 Eagles Eyrie-6</t>
        </is>
      </c>
      <c r="F49" s="54" t="inlineStr">
        <is>
          <t>2x2</t>
        </is>
      </c>
      <c r="G49" s="54" t="inlineStr">
        <is>
          <t>2x2</t>
        </is>
      </c>
      <c r="K49" s="36" t="inlineStr">
        <is>
          <t>Catron, Michael</t>
        </is>
      </c>
      <c r="L49" s="55" t="n">
        <v>1300</v>
      </c>
      <c r="M49" s="56" t="n">
        <v>2</v>
      </c>
      <c r="N49" s="56" t="n">
        <v>2</v>
      </c>
      <c r="Q49" s="57" t="inlineStr">
        <is>
          <t>Occ</t>
        </is>
      </c>
      <c r="U49" s="58" t="n">
        <v>1280</v>
      </c>
      <c r="V49" s="58" t="n">
        <v>1263</v>
      </c>
      <c r="W49" s="58" t="n">
        <v>0</v>
      </c>
      <c r="X49" s="58" t="n">
        <v>0</v>
      </c>
      <c r="Y49" s="58" t="n">
        <v>0</v>
      </c>
      <c r="Z49" s="59" t="n">
        <v>45891</v>
      </c>
      <c r="AA49" s="59" t="n">
        <v>46258</v>
      </c>
      <c r="AB49" s="59" t="n">
        <v>46628</v>
      </c>
    </row>
    <row r="50">
      <c r="D50" s="36" t="inlineStr">
        <is>
          <t>Eagles Eyrie</t>
        </is>
      </c>
      <c r="E50" s="54" t="inlineStr">
        <is>
          <t>2441 Idlewylde Ct-1</t>
        </is>
      </c>
      <c r="F50" s="54" t="inlineStr">
        <is>
          <t>2x2 Townhouse</t>
        </is>
      </c>
      <c r="G50" s="54" t="inlineStr">
        <is>
          <t>2x2 Townhouse</t>
        </is>
      </c>
      <c r="K50" s="36" t="inlineStr">
        <is>
          <t>Dyke, Samuel</t>
        </is>
      </c>
      <c r="L50" s="55" t="n">
        <v>1300</v>
      </c>
      <c r="M50" s="56" t="n">
        <v>2</v>
      </c>
      <c r="N50" s="56" t="n">
        <v>2</v>
      </c>
      <c r="Q50" s="57" t="inlineStr">
        <is>
          <t>Occ</t>
        </is>
      </c>
      <c r="U50" s="58" t="n">
        <v>1394</v>
      </c>
      <c r="V50" s="58" t="n">
        <v>1285</v>
      </c>
      <c r="W50" s="58" t="n">
        <v>0</v>
      </c>
      <c r="X50" s="58" t="n">
        <v>0</v>
      </c>
      <c r="Y50" s="58" t="n">
        <v>0</v>
      </c>
      <c r="Z50" s="59" t="n">
        <v>46151</v>
      </c>
      <c r="AA50" s="59" t="n">
        <v>46151</v>
      </c>
      <c r="AB50" s="59" t="n">
        <v>46516</v>
      </c>
    </row>
    <row r="51">
      <c r="D51" s="36" t="inlineStr">
        <is>
          <t>Eagles Eyrie</t>
        </is>
      </c>
      <c r="E51" s="54" t="inlineStr">
        <is>
          <t>2441 N Peterson Ct-1</t>
        </is>
      </c>
      <c r="F51" s="54" t="inlineStr">
        <is>
          <t>2x2 Townhouse</t>
        </is>
      </c>
      <c r="G51" s="54" t="inlineStr">
        <is>
          <t>2x2 Townhouse</t>
        </is>
      </c>
      <c r="K51" s="36" t="inlineStr">
        <is>
          <t>Price, Latosha</t>
        </is>
      </c>
      <c r="L51" s="55" t="n">
        <v>1300</v>
      </c>
      <c r="M51" s="56" t="n">
        <v>2</v>
      </c>
      <c r="N51" s="56" t="n">
        <v>2</v>
      </c>
      <c r="Q51" s="57" t="inlineStr">
        <is>
          <t>Occ</t>
        </is>
      </c>
      <c r="U51" s="58" t="n">
        <v>1319</v>
      </c>
      <c r="V51" s="58" t="n">
        <v>1328</v>
      </c>
      <c r="W51" s="58" t="n">
        <v>0</v>
      </c>
      <c r="X51" s="58" t="n">
        <v>0</v>
      </c>
      <c r="Y51" s="58" t="n">
        <v>0</v>
      </c>
      <c r="Z51" s="59" t="n">
        <v>45380</v>
      </c>
      <c r="AA51" s="59" t="n">
        <v>46118</v>
      </c>
      <c r="AB51" s="59" t="n">
        <v>46488</v>
      </c>
    </row>
    <row r="52">
      <c r="D52" s="36" t="inlineStr">
        <is>
          <t>Eagles Eyrie</t>
        </is>
      </c>
      <c r="E52" s="54" t="inlineStr">
        <is>
          <t>2443 Idlewylde Ct-1</t>
        </is>
      </c>
      <c r="F52" s="54" t="inlineStr">
        <is>
          <t>3x3 Townhouse</t>
        </is>
      </c>
      <c r="G52" s="54" t="inlineStr">
        <is>
          <t>3x3 Townhouse</t>
        </is>
      </c>
      <c r="K52" s="36" t="inlineStr">
        <is>
          <t>Washington, Samantha</t>
        </is>
      </c>
      <c r="L52" s="55" t="n">
        <v>1600</v>
      </c>
      <c r="M52" s="56" t="n">
        <v>3</v>
      </c>
      <c r="N52" s="56" t="n">
        <v>3</v>
      </c>
      <c r="Q52" s="57" t="inlineStr">
        <is>
          <t>Occ</t>
        </is>
      </c>
      <c r="U52" s="58" t="n">
        <v>1584</v>
      </c>
      <c r="V52" s="58" t="n">
        <v>1386</v>
      </c>
      <c r="W52" s="58" t="n">
        <v>0</v>
      </c>
      <c r="X52" s="58" t="n">
        <v>0</v>
      </c>
      <c r="Y52" s="58" t="n">
        <v>0</v>
      </c>
      <c r="Z52" s="59" t="n">
        <v>45293</v>
      </c>
      <c r="AA52" s="59" t="n">
        <v>46204</v>
      </c>
      <c r="AB52" s="59" t="n">
        <v>46544</v>
      </c>
    </row>
    <row r="53">
      <c r="D53" s="36" t="inlineStr">
        <is>
          <t>Eagles Eyrie</t>
        </is>
      </c>
      <c r="E53" s="54" t="inlineStr">
        <is>
          <t>2443 N Peterson Ct-1</t>
        </is>
      </c>
      <c r="F53" s="54" t="inlineStr">
        <is>
          <t>3x3 Townhouse</t>
        </is>
      </c>
      <c r="G53" s="54" t="inlineStr">
        <is>
          <t>3x3 Townhouse</t>
        </is>
      </c>
      <c r="K53" s="36" t="inlineStr">
        <is>
          <t>Satterwhite, Joshua</t>
        </is>
      </c>
      <c r="L53" s="55" t="n">
        <v>1600</v>
      </c>
      <c r="M53" s="56" t="n">
        <v>3</v>
      </c>
      <c r="N53" s="56" t="n">
        <v>3</v>
      </c>
      <c r="Q53" s="57" t="inlineStr">
        <is>
          <t>Occ</t>
        </is>
      </c>
      <c r="U53" s="58" t="n">
        <v>1659</v>
      </c>
      <c r="V53" s="58" t="n">
        <v>1769</v>
      </c>
      <c r="W53" s="58" t="n">
        <v>0</v>
      </c>
      <c r="X53" s="58" t="n">
        <v>0</v>
      </c>
      <c r="Y53" s="58" t="n">
        <v>0</v>
      </c>
      <c r="Z53" s="59" t="n">
        <v>45778</v>
      </c>
      <c r="AA53" s="59" t="n">
        <v>46181</v>
      </c>
      <c r="AB53" s="59" t="n">
        <v>46551</v>
      </c>
    </row>
    <row r="54">
      <c r="D54" s="36" t="inlineStr">
        <is>
          <t>Eagles Eyrie</t>
        </is>
      </c>
      <c r="E54" s="54" t="inlineStr">
        <is>
          <t>2445 Idlewylde Ct-1</t>
        </is>
      </c>
      <c r="F54" s="54" t="inlineStr">
        <is>
          <t>2x2 Townhouse</t>
        </is>
      </c>
      <c r="G54" s="54" t="inlineStr">
        <is>
          <t>2x2 Townhouse</t>
        </is>
      </c>
      <c r="K54" s="36" t="inlineStr">
        <is>
          <t>Vinson, Clarissa</t>
        </is>
      </c>
      <c r="L54" s="55" t="n">
        <v>1300</v>
      </c>
      <c r="M54" s="56" t="n">
        <v>2</v>
      </c>
      <c r="N54" s="56" t="n">
        <v>2</v>
      </c>
      <c r="Q54" s="57" t="inlineStr">
        <is>
          <t>Occ</t>
        </is>
      </c>
      <c r="U54" s="58" t="n">
        <v>1394</v>
      </c>
      <c r="V54" s="58" t="n">
        <v>1217</v>
      </c>
      <c r="W54" s="58" t="n">
        <v>0</v>
      </c>
      <c r="X54" s="58" t="n">
        <v>0</v>
      </c>
      <c r="Y54" s="58" t="n">
        <v>0</v>
      </c>
      <c r="Z54" s="59" t="n">
        <v>46141</v>
      </c>
      <c r="AA54" s="59" t="n">
        <v>46140</v>
      </c>
      <c r="AB54" s="59" t="n">
        <v>46509</v>
      </c>
    </row>
    <row r="55">
      <c r="D55" s="36" t="inlineStr">
        <is>
          <t>Eagles Eyrie</t>
        </is>
      </c>
      <c r="E55" s="54" t="inlineStr">
        <is>
          <t>2445 N Peterson Ct-1</t>
        </is>
      </c>
      <c r="F55" s="54" t="inlineStr">
        <is>
          <t>2x2 Townhouse</t>
        </is>
      </c>
      <c r="G55" s="54" t="inlineStr">
        <is>
          <t>2x2 Townhouse</t>
        </is>
      </c>
      <c r="K55" s="36" t="inlineStr">
        <is>
          <t>Marshall, Macy</t>
        </is>
      </c>
      <c r="L55" s="55" t="n">
        <v>1300</v>
      </c>
      <c r="M55" s="56" t="n">
        <v>2</v>
      </c>
      <c r="N55" s="56" t="n">
        <v>2</v>
      </c>
      <c r="Q55" s="57" t="inlineStr">
        <is>
          <t>Occ</t>
        </is>
      </c>
      <c r="U55" s="58" t="n">
        <v>1319</v>
      </c>
      <c r="V55" s="58" t="n">
        <v>1275</v>
      </c>
      <c r="W55" s="58" t="n">
        <v>0</v>
      </c>
      <c r="X55" s="58" t="n">
        <v>0</v>
      </c>
      <c r="Y55" s="58" t="n">
        <v>0</v>
      </c>
      <c r="Z55" s="59" t="n">
        <v>38596</v>
      </c>
      <c r="AA55" s="59" t="n">
        <v>45931</v>
      </c>
      <c r="AB55" s="59" t="n">
        <v>46299</v>
      </c>
    </row>
    <row r="56">
      <c r="D56" s="36" t="inlineStr">
        <is>
          <t>Eagles Eyrie</t>
        </is>
      </c>
      <c r="E56" s="54" t="inlineStr">
        <is>
          <t>2447 Idlewylde Ct-1</t>
        </is>
      </c>
      <c r="F56" s="54" t="inlineStr">
        <is>
          <t>3x3 Townhouse</t>
        </is>
      </c>
      <c r="G56" s="54" t="inlineStr">
        <is>
          <t>3x3 Townhouse</t>
        </is>
      </c>
      <c r="K56" s="36" t="inlineStr">
        <is>
          <t>Mitchell, Vanda</t>
        </is>
      </c>
      <c r="L56" s="55" t="n">
        <v>1600</v>
      </c>
      <c r="M56" s="56" t="n">
        <v>3</v>
      </c>
      <c r="N56" s="56" t="n">
        <v>3</v>
      </c>
      <c r="Q56" s="57" t="inlineStr">
        <is>
          <t>Occ</t>
        </is>
      </c>
      <c r="U56" s="58" t="n">
        <v>1709</v>
      </c>
      <c r="V56" s="58" t="n">
        <v>1600</v>
      </c>
      <c r="W56" s="58" t="n">
        <v>0</v>
      </c>
      <c r="X56" s="58" t="n">
        <v>0</v>
      </c>
      <c r="Y56" s="58" t="n">
        <v>0</v>
      </c>
      <c r="Z56" s="59" t="n">
        <v>45985</v>
      </c>
      <c r="AA56" s="59" t="n">
        <v>45985</v>
      </c>
      <c r="AB56" s="59" t="n">
        <v>46474</v>
      </c>
    </row>
    <row r="57">
      <c r="D57" s="36" t="inlineStr">
        <is>
          <t>Eagles Eyrie</t>
        </is>
      </c>
      <c r="E57" s="54" t="inlineStr">
        <is>
          <t>2447 N Peterson Ct-1</t>
        </is>
      </c>
      <c r="F57" s="54" t="inlineStr">
        <is>
          <t>3x3 Townhouse</t>
        </is>
      </c>
      <c r="G57" s="54" t="inlineStr">
        <is>
          <t>3x3 Townhouse</t>
        </is>
      </c>
      <c r="K57" s="36" t="inlineStr">
        <is>
          <t>Vacant</t>
        </is>
      </c>
      <c r="L57" s="55" t="n">
        <v>1600</v>
      </c>
      <c r="M57" s="56" t="n">
        <v>3</v>
      </c>
      <c r="N57" s="56" t="n">
        <v>3</v>
      </c>
      <c r="Q57" s="57" t="inlineStr">
        <is>
          <t>Vac</t>
        </is>
      </c>
      <c r="U57" s="58" t="n">
        <v>1776</v>
      </c>
      <c r="V57" s="58" t="n">
        <v>0</v>
      </c>
      <c r="W57" s="58" t="n">
        <v>0</v>
      </c>
      <c r="X57" s="58" t="n">
        <v>0</v>
      </c>
      <c r="Y57" s="58" t="n">
        <v>0</v>
      </c>
    </row>
    <row r="58">
      <c r="D58" s="36" t="inlineStr">
        <is>
          <t>Eagles Eyrie</t>
        </is>
      </c>
      <c r="E58" s="54" t="inlineStr">
        <is>
          <t>2449 Idlewylde Ct-1</t>
        </is>
      </c>
      <c r="F58" s="54" t="inlineStr">
        <is>
          <t>2x2 Townhouse</t>
        </is>
      </c>
      <c r="G58" s="54" t="inlineStr">
        <is>
          <t>2x2 Townhouse</t>
        </is>
      </c>
      <c r="K58" s="36" t="inlineStr">
        <is>
          <t>Shellman, Termaine</t>
        </is>
      </c>
      <c r="L58" s="55" t="n">
        <v>1300</v>
      </c>
      <c r="M58" s="56" t="n">
        <v>2</v>
      </c>
      <c r="N58" s="56" t="n">
        <v>2</v>
      </c>
      <c r="Q58" s="57" t="inlineStr">
        <is>
          <t>Occ</t>
        </is>
      </c>
      <c r="U58" s="58" t="n">
        <v>1319</v>
      </c>
      <c r="V58" s="58" t="n">
        <v>1275</v>
      </c>
      <c r="W58" s="58" t="n">
        <v>0</v>
      </c>
      <c r="X58" s="58" t="n">
        <v>0</v>
      </c>
      <c r="Y58" s="58" t="n">
        <v>0</v>
      </c>
      <c r="Z58" s="59" t="n">
        <v>41713</v>
      </c>
      <c r="AA58" s="59" t="n">
        <v>45931</v>
      </c>
      <c r="AB58" s="59" t="n">
        <v>46299</v>
      </c>
    </row>
    <row r="59">
      <c r="D59" s="36" t="inlineStr">
        <is>
          <t>Eagles Eyrie</t>
        </is>
      </c>
      <c r="E59" s="54" t="inlineStr">
        <is>
          <t>2449 N Peterson Ct-1</t>
        </is>
      </c>
      <c r="F59" s="54" t="inlineStr">
        <is>
          <t>2x2 Townhouse</t>
        </is>
      </c>
      <c r="G59" s="54" t="inlineStr">
        <is>
          <t>2x2 Townhouse</t>
        </is>
      </c>
      <c r="K59" s="36" t="inlineStr">
        <is>
          <t>Lillie, Amelia</t>
        </is>
      </c>
      <c r="L59" s="55" t="n">
        <v>1300</v>
      </c>
      <c r="M59" s="56" t="n">
        <v>2</v>
      </c>
      <c r="N59" s="56" t="n">
        <v>2</v>
      </c>
      <c r="Q59" s="57" t="inlineStr">
        <is>
          <t>Occ</t>
        </is>
      </c>
      <c r="U59" s="58" t="n">
        <v>1319</v>
      </c>
      <c r="V59" s="58" t="n">
        <v>1360</v>
      </c>
      <c r="W59" s="58" t="n">
        <v>0</v>
      </c>
      <c r="X59" s="58" t="n">
        <v>0</v>
      </c>
      <c r="Y59" s="58" t="n">
        <v>0</v>
      </c>
      <c r="Z59" s="59" t="n">
        <v>45427</v>
      </c>
      <c r="AA59" s="59" t="n">
        <v>46174</v>
      </c>
      <c r="AB59" s="59" t="n">
        <v>46390</v>
      </c>
    </row>
    <row r="60">
      <c r="D60" s="36" t="inlineStr">
        <is>
          <t>Eagles Eyrie</t>
        </is>
      </c>
      <c r="E60" s="54" t="inlineStr">
        <is>
          <t>2451 Idlewylde Ct-1</t>
        </is>
      </c>
      <c r="F60" s="54" t="inlineStr">
        <is>
          <t>3x3 Townhouse</t>
        </is>
      </c>
      <c r="G60" s="54" t="inlineStr">
        <is>
          <t>3x3 Townhouse</t>
        </is>
      </c>
      <c r="K60" s="36" t="inlineStr">
        <is>
          <t>Holliger, Ethen</t>
        </is>
      </c>
      <c r="L60" s="55" t="n">
        <v>1600</v>
      </c>
      <c r="M60" s="56" t="n">
        <v>3</v>
      </c>
      <c r="N60" s="56" t="n">
        <v>3</v>
      </c>
      <c r="Q60" s="57" t="inlineStr">
        <is>
          <t>Occ</t>
        </is>
      </c>
      <c r="U60" s="58" t="n">
        <v>1659</v>
      </c>
      <c r="V60" s="58" t="n">
        <v>1572</v>
      </c>
      <c r="W60" s="58" t="n">
        <v>0</v>
      </c>
      <c r="X60" s="58" t="n">
        <v>0</v>
      </c>
      <c r="Y60" s="58" t="n">
        <v>0</v>
      </c>
      <c r="Z60" s="59" t="n">
        <v>46189</v>
      </c>
      <c r="AA60" s="59" t="n">
        <v>46189</v>
      </c>
      <c r="AB60" s="59" t="n">
        <v>46558</v>
      </c>
    </row>
    <row r="61">
      <c r="D61" s="36" t="inlineStr">
        <is>
          <t>Eagles Eyrie</t>
        </is>
      </c>
      <c r="E61" s="54" t="inlineStr">
        <is>
          <t>2451 N Peterson Ct-1</t>
        </is>
      </c>
      <c r="F61" s="54" t="inlineStr">
        <is>
          <t>3x3 Townhouse</t>
        </is>
      </c>
      <c r="G61" s="54" t="inlineStr">
        <is>
          <t>3x3 Townhouse</t>
        </is>
      </c>
      <c r="K61" s="36" t="inlineStr">
        <is>
          <t>Caplinger, Holden</t>
        </is>
      </c>
      <c r="L61" s="55" t="n">
        <v>1600</v>
      </c>
      <c r="M61" s="56" t="n">
        <v>3</v>
      </c>
      <c r="N61" s="56" t="n">
        <v>3</v>
      </c>
      <c r="Q61" s="57" t="inlineStr">
        <is>
          <t>Occ</t>
        </is>
      </c>
      <c r="U61" s="58" t="n">
        <v>1584</v>
      </c>
      <c r="V61" s="58" t="n">
        <v>1734</v>
      </c>
      <c r="W61" s="58" t="n">
        <v>0</v>
      </c>
      <c r="X61" s="58" t="n">
        <v>0</v>
      </c>
      <c r="Y61" s="58" t="n">
        <v>0</v>
      </c>
      <c r="Z61" s="59" t="n">
        <v>45821</v>
      </c>
      <c r="AA61" s="59" t="n">
        <v>46188</v>
      </c>
      <c r="AB61" s="59" t="n">
        <v>46558</v>
      </c>
    </row>
    <row r="62">
      <c r="D62" s="36" t="inlineStr">
        <is>
          <t>Eagles Eyrie</t>
        </is>
      </c>
      <c r="E62" s="54" t="inlineStr">
        <is>
          <t>2453 Idlewylde Ct-1</t>
        </is>
      </c>
      <c r="F62" s="54" t="inlineStr">
        <is>
          <t>2x2 Townhouse</t>
        </is>
      </c>
      <c r="G62" s="54" t="inlineStr">
        <is>
          <t>2x2 Townhouse</t>
        </is>
      </c>
      <c r="K62" s="36" t="inlineStr">
        <is>
          <t>Mitchell, LaTesha</t>
        </is>
      </c>
      <c r="L62" s="55" t="n">
        <v>1300</v>
      </c>
      <c r="M62" s="56" t="n">
        <v>2</v>
      </c>
      <c r="N62" s="56" t="n">
        <v>2</v>
      </c>
      <c r="Q62" s="57" t="inlineStr">
        <is>
          <t>Occ</t>
        </is>
      </c>
      <c r="U62" s="58" t="n">
        <v>1719</v>
      </c>
      <c r="V62" s="58" t="n">
        <v>1682</v>
      </c>
      <c r="W62" s="58" t="n">
        <v>0</v>
      </c>
      <c r="X62" s="58" t="n">
        <v>0</v>
      </c>
      <c r="Y62" s="58" t="n">
        <v>0</v>
      </c>
      <c r="Z62" s="59" t="n">
        <v>46256</v>
      </c>
      <c r="AA62" s="59" t="n">
        <v>46256</v>
      </c>
      <c r="AB62" s="59" t="n">
        <v>46621</v>
      </c>
    </row>
    <row r="63">
      <c r="D63" s="36" t="inlineStr">
        <is>
          <t>Eagles Eyrie</t>
        </is>
      </c>
      <c r="E63" s="54" t="inlineStr">
        <is>
          <t>2453 N Peterson Ct-1</t>
        </is>
      </c>
      <c r="F63" s="54" t="inlineStr">
        <is>
          <t>2x2 Townhouse</t>
        </is>
      </c>
      <c r="G63" s="54" t="inlineStr">
        <is>
          <t>2x2 Townhouse</t>
        </is>
      </c>
      <c r="K63" s="36" t="inlineStr">
        <is>
          <t>Bucklew, Keith</t>
        </is>
      </c>
      <c r="L63" s="55" t="n">
        <v>1300</v>
      </c>
      <c r="M63" s="56" t="n">
        <v>2</v>
      </c>
      <c r="N63" s="56" t="n">
        <v>2</v>
      </c>
      <c r="Q63" s="57" t="inlineStr">
        <is>
          <t>Occ</t>
        </is>
      </c>
      <c r="U63" s="58" t="n">
        <v>1319</v>
      </c>
      <c r="V63" s="58" t="n">
        <v>1168</v>
      </c>
      <c r="W63" s="58" t="n">
        <v>0</v>
      </c>
      <c r="X63" s="58" t="n">
        <v>0</v>
      </c>
      <c r="Y63" s="58" t="n">
        <v>0</v>
      </c>
      <c r="Z63" s="59" t="n">
        <v>44224</v>
      </c>
      <c r="AA63" s="59" t="n">
        <v>46146</v>
      </c>
      <c r="AB63" s="59" t="n">
        <v>46516</v>
      </c>
    </row>
    <row r="64">
      <c r="D64" s="36" t="inlineStr">
        <is>
          <t>Eagles Eyrie</t>
        </is>
      </c>
      <c r="E64" s="54" t="inlineStr">
        <is>
          <t>2455 Idlewylde Ct-1</t>
        </is>
      </c>
      <c r="F64" s="54" t="inlineStr">
        <is>
          <t>3x3 Townhouse</t>
        </is>
      </c>
      <c r="G64" s="54" t="inlineStr">
        <is>
          <t>3x3 Townhouse</t>
        </is>
      </c>
      <c r="K64" s="36" t="inlineStr">
        <is>
          <t>Vacant</t>
        </is>
      </c>
      <c r="L64" s="55" t="n">
        <v>1600</v>
      </c>
      <c r="M64" s="56" t="n">
        <v>3</v>
      </c>
      <c r="N64" s="56" t="n">
        <v>3</v>
      </c>
      <c r="Q64" s="57" t="inlineStr">
        <is>
          <t>Vac</t>
        </is>
      </c>
      <c r="U64" s="58" t="n">
        <v>1776</v>
      </c>
      <c r="V64" s="58" t="n">
        <v>0</v>
      </c>
      <c r="W64" s="58" t="n">
        <v>0</v>
      </c>
      <c r="X64" s="58" t="n">
        <v>0</v>
      </c>
      <c r="Y64" s="58" t="n">
        <v>0</v>
      </c>
    </row>
    <row r="65">
      <c r="D65" s="36" t="inlineStr">
        <is>
          <t>Eagles Eyrie</t>
        </is>
      </c>
      <c r="E65" s="54" t="inlineStr">
        <is>
          <t>2455 N Peterson Ct-1</t>
        </is>
      </c>
      <c r="F65" s="54" t="inlineStr">
        <is>
          <t>3x3 Townhouse</t>
        </is>
      </c>
      <c r="G65" s="54" t="inlineStr">
        <is>
          <t>3x3 Townhouse</t>
        </is>
      </c>
      <c r="K65" s="36" t="inlineStr">
        <is>
          <t>Sanz, Douglas</t>
        </is>
      </c>
      <c r="L65" s="55" t="n">
        <v>1600</v>
      </c>
      <c r="M65" s="56" t="n">
        <v>3</v>
      </c>
      <c r="N65" s="56" t="n">
        <v>3</v>
      </c>
      <c r="Q65" s="57" t="inlineStr">
        <is>
          <t>Occ</t>
        </is>
      </c>
      <c r="U65" s="58" t="n">
        <v>1659</v>
      </c>
      <c r="V65" s="58" t="n">
        <v>1576</v>
      </c>
      <c r="W65" s="58" t="n">
        <v>0</v>
      </c>
      <c r="X65" s="58" t="n">
        <v>0</v>
      </c>
      <c r="Y65" s="58" t="n">
        <v>0</v>
      </c>
      <c r="Z65" s="59" t="n">
        <v>46202</v>
      </c>
      <c r="AA65" s="59" t="n">
        <v>46202</v>
      </c>
      <c r="AB65" s="59" t="n">
        <v>46537</v>
      </c>
    </row>
    <row r="66">
      <c r="D66" s="36" t="inlineStr">
        <is>
          <t>Eagles Eyrie</t>
        </is>
      </c>
      <c r="E66" s="54" t="inlineStr">
        <is>
          <t>2457 Idlewylde Ct-1</t>
        </is>
      </c>
      <c r="F66" s="54" t="inlineStr">
        <is>
          <t>2x2 Townhouse</t>
        </is>
      </c>
      <c r="G66" s="54" t="inlineStr">
        <is>
          <t>2x2 Townhouse</t>
        </is>
      </c>
      <c r="K66" s="36" t="inlineStr">
        <is>
          <t>Anthony, Hunter</t>
        </is>
      </c>
      <c r="L66" s="55" t="n">
        <v>1300</v>
      </c>
      <c r="M66" s="56" t="n">
        <v>2</v>
      </c>
      <c r="N66" s="56" t="n">
        <v>2</v>
      </c>
      <c r="Q66" s="57" t="inlineStr">
        <is>
          <t>Occ</t>
        </is>
      </c>
      <c r="U66" s="58" t="n">
        <v>1394</v>
      </c>
      <c r="V66" s="58" t="n">
        <v>1299</v>
      </c>
      <c r="W66" s="58" t="n">
        <v>0</v>
      </c>
      <c r="X66" s="58" t="n">
        <v>0</v>
      </c>
      <c r="Y66" s="58" t="n">
        <v>0</v>
      </c>
      <c r="Z66" s="59" t="n">
        <v>46143</v>
      </c>
      <c r="AA66" s="59" t="n">
        <v>46143</v>
      </c>
      <c r="AB66" s="59" t="n">
        <v>46509</v>
      </c>
    </row>
    <row r="67">
      <c r="D67" s="36" t="inlineStr">
        <is>
          <t>Eagles Eyrie</t>
        </is>
      </c>
      <c r="E67" s="54" t="inlineStr">
        <is>
          <t>2457 N Peterson Ct-1</t>
        </is>
      </c>
      <c r="F67" s="54" t="inlineStr">
        <is>
          <t>2x2 Townhouse</t>
        </is>
      </c>
      <c r="G67" s="54" t="inlineStr">
        <is>
          <t>2x2 Townhouse</t>
        </is>
      </c>
      <c r="K67" s="36" t="inlineStr">
        <is>
          <t>Gutgsell, Ashley</t>
        </is>
      </c>
      <c r="L67" s="55" t="n">
        <v>1300</v>
      </c>
      <c r="M67" s="56" t="n">
        <v>2</v>
      </c>
      <c r="N67" s="56" t="n">
        <v>2</v>
      </c>
      <c r="Q67" s="57" t="inlineStr">
        <is>
          <t>Occ</t>
        </is>
      </c>
      <c r="U67" s="58" t="n">
        <v>1319</v>
      </c>
      <c r="V67" s="58" t="n">
        <v>1315</v>
      </c>
      <c r="W67" s="58" t="n">
        <v>0</v>
      </c>
      <c r="X67" s="58" t="n">
        <v>0</v>
      </c>
      <c r="Y67" s="58" t="n">
        <v>0</v>
      </c>
      <c r="Z67" s="59" t="n">
        <v>45404</v>
      </c>
      <c r="AA67" s="59" t="n">
        <v>46146</v>
      </c>
      <c r="AB67" s="59" t="n">
        <v>46516</v>
      </c>
    </row>
    <row r="68">
      <c r="D68" s="36" t="inlineStr">
        <is>
          <t>Eagles Eyrie</t>
        </is>
      </c>
      <c r="E68" s="54" t="inlineStr">
        <is>
          <t>2459 Idlewylde Ct-1</t>
        </is>
      </c>
      <c r="F68" s="54" t="inlineStr">
        <is>
          <t>3x3 Townhouse</t>
        </is>
      </c>
      <c r="G68" s="54" t="inlineStr">
        <is>
          <t>3x3 Townhouse</t>
        </is>
      </c>
      <c r="K68" s="36" t="inlineStr">
        <is>
          <t>Sullivan, Nicholas</t>
        </is>
      </c>
      <c r="L68" s="55" t="n">
        <v>1600</v>
      </c>
      <c r="M68" s="56" t="n">
        <v>3</v>
      </c>
      <c r="N68" s="56" t="n">
        <v>3</v>
      </c>
      <c r="Q68" s="57" t="inlineStr">
        <is>
          <t>Occ</t>
        </is>
      </c>
      <c r="U68" s="58" t="n">
        <v>1659</v>
      </c>
      <c r="V68" s="58" t="n">
        <v>1150</v>
      </c>
      <c r="W68" s="58" t="n">
        <v>0</v>
      </c>
      <c r="X68" s="58" t="n">
        <v>0</v>
      </c>
      <c r="Y68" s="58" t="n">
        <v>0</v>
      </c>
      <c r="Z68" s="59" t="n">
        <v>45975</v>
      </c>
      <c r="AA68" s="59" t="n">
        <v>45975</v>
      </c>
      <c r="AB68" s="59" t="n">
        <v>46404</v>
      </c>
    </row>
    <row r="69">
      <c r="D69" s="36" t="inlineStr">
        <is>
          <t>Eagles Eyrie</t>
        </is>
      </c>
      <c r="E69" s="54" t="inlineStr">
        <is>
          <t>2459 N Peterson Ct-1</t>
        </is>
      </c>
      <c r="F69" s="54" t="inlineStr">
        <is>
          <t>3x3 Townhouse</t>
        </is>
      </c>
      <c r="G69" s="54" t="inlineStr">
        <is>
          <t>3x3 Townhouse</t>
        </is>
      </c>
      <c r="K69" s="36" t="inlineStr">
        <is>
          <t>Mueller, Jake</t>
        </is>
      </c>
      <c r="L69" s="55" t="n">
        <v>1600</v>
      </c>
      <c r="M69" s="56" t="n">
        <v>3</v>
      </c>
      <c r="N69" s="56" t="n">
        <v>3</v>
      </c>
      <c r="Q69" s="57" t="inlineStr">
        <is>
          <t>Occ</t>
        </is>
      </c>
      <c r="U69" s="58" t="n">
        <v>1584</v>
      </c>
      <c r="V69" s="58" t="n">
        <v>1494</v>
      </c>
      <c r="W69" s="58" t="n">
        <v>0</v>
      </c>
      <c r="X69" s="58" t="n">
        <v>0</v>
      </c>
      <c r="Y69" s="58" t="n">
        <v>0</v>
      </c>
      <c r="Z69" s="59" t="n">
        <v>45443</v>
      </c>
      <c r="AA69" s="59" t="n">
        <v>46175</v>
      </c>
      <c r="AB69" s="59" t="n">
        <v>46544</v>
      </c>
    </row>
    <row r="70">
      <c r="D70" s="36" t="inlineStr">
        <is>
          <t>Eagles Eyrie</t>
        </is>
      </c>
      <c r="E70" s="54" t="inlineStr">
        <is>
          <t>2461 Idlewylde Ct-1</t>
        </is>
      </c>
      <c r="F70" s="54" t="inlineStr">
        <is>
          <t>2x2 Townhouse</t>
        </is>
      </c>
      <c r="G70" s="54" t="inlineStr">
        <is>
          <t>2x2 Townhouse</t>
        </is>
      </c>
      <c r="K70" s="36" t="inlineStr">
        <is>
          <t>Vacant</t>
        </is>
      </c>
      <c r="L70" s="55" t="n">
        <v>1300</v>
      </c>
      <c r="M70" s="56" t="n">
        <v>2</v>
      </c>
      <c r="N70" s="56" t="n">
        <v>2</v>
      </c>
      <c r="Q70" s="57" t="inlineStr">
        <is>
          <t>Vac</t>
        </is>
      </c>
      <c r="U70" s="58" t="n">
        <v>1304</v>
      </c>
      <c r="V70" s="58" t="n">
        <v>0</v>
      </c>
      <c r="W70" s="58" t="n">
        <v>0</v>
      </c>
      <c r="X70" s="58" t="n">
        <v>0</v>
      </c>
      <c r="Y70" s="58" t="n">
        <v>0</v>
      </c>
    </row>
    <row r="71">
      <c r="D71" s="36" t="inlineStr">
        <is>
          <t>Eagles Eyrie</t>
        </is>
      </c>
      <c r="E71" s="54" t="inlineStr">
        <is>
          <t>2461 N Peterson Ct-1</t>
        </is>
      </c>
      <c r="F71" s="54" t="inlineStr">
        <is>
          <t>2x2 Townhouse</t>
        </is>
      </c>
      <c r="G71" s="54" t="inlineStr">
        <is>
          <t>2x2 Townhouse</t>
        </is>
      </c>
      <c r="K71" s="36" t="inlineStr">
        <is>
          <t>Vacant</t>
        </is>
      </c>
      <c r="L71" s="55" t="n">
        <v>1300</v>
      </c>
      <c r="M71" s="56" t="n">
        <v>2</v>
      </c>
      <c r="N71" s="56" t="n">
        <v>2</v>
      </c>
      <c r="Q71" s="57" t="inlineStr">
        <is>
          <t>Vac</t>
        </is>
      </c>
      <c r="U71" s="58" t="n">
        <v>1304</v>
      </c>
      <c r="V71" s="58" t="n">
        <v>0</v>
      </c>
      <c r="W71" s="58" t="n">
        <v>0</v>
      </c>
      <c r="X71" s="58" t="n">
        <v>0</v>
      </c>
      <c r="Y71" s="58" t="n">
        <v>0</v>
      </c>
    </row>
    <row r="72">
      <c r="D72" s="36" t="inlineStr">
        <is>
          <t>Eagles Eyrie</t>
        </is>
      </c>
      <c r="E72" s="54" t="inlineStr">
        <is>
          <t>2463 Idlewylde Ct-1</t>
        </is>
      </c>
      <c r="F72" s="54" t="inlineStr">
        <is>
          <t>3x3 Townhouse</t>
        </is>
      </c>
      <c r="G72" s="54" t="inlineStr">
        <is>
          <t>3x3 Townhouse</t>
        </is>
      </c>
      <c r="K72" s="36" t="inlineStr">
        <is>
          <t>Holloway, Kyle</t>
        </is>
      </c>
      <c r="L72" s="55" t="n">
        <v>1600</v>
      </c>
      <c r="M72" s="56" t="n">
        <v>3</v>
      </c>
      <c r="N72" s="56" t="n">
        <v>3</v>
      </c>
      <c r="Q72" s="57" t="inlineStr">
        <is>
          <t>Occ</t>
        </is>
      </c>
      <c r="U72" s="58" t="n">
        <v>1584</v>
      </c>
      <c r="V72" s="58" t="n">
        <v>1535</v>
      </c>
      <c r="W72" s="58" t="n">
        <v>0</v>
      </c>
      <c r="X72" s="58" t="n">
        <v>0</v>
      </c>
      <c r="Y72" s="58" t="n">
        <v>0</v>
      </c>
      <c r="Z72" s="59" t="n">
        <v>45488</v>
      </c>
      <c r="AA72" s="59" t="n">
        <v>46209</v>
      </c>
      <c r="AB72" s="59" t="n">
        <v>46579</v>
      </c>
    </row>
    <row r="73">
      <c r="D73" s="36" t="inlineStr">
        <is>
          <t>Eagles Eyrie</t>
        </is>
      </c>
      <c r="E73" s="54" t="inlineStr">
        <is>
          <t>2463 N Peterson Ct-1</t>
        </is>
      </c>
      <c r="F73" s="54" t="inlineStr">
        <is>
          <t>3x3 Townhouse</t>
        </is>
      </c>
      <c r="G73" s="54" t="inlineStr">
        <is>
          <t>3x3 Townhouse</t>
        </is>
      </c>
      <c r="K73" s="36" t="inlineStr">
        <is>
          <t>Krystofiak, Caden</t>
        </is>
      </c>
      <c r="L73" s="55" t="n">
        <v>1600</v>
      </c>
      <c r="M73" s="56" t="n">
        <v>3</v>
      </c>
      <c r="N73" s="56" t="n">
        <v>3</v>
      </c>
      <c r="Q73" s="57" t="inlineStr">
        <is>
          <t>Occ</t>
        </is>
      </c>
      <c r="U73" s="58" t="n">
        <v>1659</v>
      </c>
      <c r="V73" s="58" t="n">
        <v>1700</v>
      </c>
      <c r="W73" s="58" t="n">
        <v>0</v>
      </c>
      <c r="X73" s="58" t="n">
        <v>0</v>
      </c>
      <c r="Y73" s="58" t="n">
        <v>0</v>
      </c>
      <c r="Z73" s="59" t="n">
        <v>45810</v>
      </c>
      <c r="AA73" s="59" t="n">
        <v>46181</v>
      </c>
      <c r="AB73" s="59" t="n">
        <v>46551</v>
      </c>
    </row>
    <row r="74">
      <c r="D74" s="36" t="inlineStr">
        <is>
          <t>Eagles Eyrie</t>
        </is>
      </c>
      <c r="E74" s="54" t="inlineStr">
        <is>
          <t>2465 Idlewylde Ct-1</t>
        </is>
      </c>
      <c r="F74" s="54" t="inlineStr">
        <is>
          <t>2x2 Townhouse</t>
        </is>
      </c>
      <c r="G74" s="54" t="inlineStr">
        <is>
          <t>2x2 Townhouse</t>
        </is>
      </c>
      <c r="K74" s="36" t="inlineStr">
        <is>
          <t>Pugh, Jamie</t>
        </is>
      </c>
      <c r="L74" s="55" t="n">
        <v>1300</v>
      </c>
      <c r="M74" s="56" t="n">
        <v>2</v>
      </c>
      <c r="N74" s="56" t="n">
        <v>2</v>
      </c>
      <c r="Q74" s="57" t="inlineStr">
        <is>
          <t>Occ</t>
        </is>
      </c>
      <c r="U74" s="58" t="n">
        <v>1394</v>
      </c>
      <c r="V74" s="58" t="n">
        <v>1355</v>
      </c>
      <c r="W74" s="58" t="n">
        <v>0</v>
      </c>
      <c r="X74" s="58" t="n">
        <v>0</v>
      </c>
      <c r="Y74" s="58" t="n">
        <v>0</v>
      </c>
      <c r="Z74" s="59" t="n">
        <v>46171</v>
      </c>
      <c r="AA74" s="59" t="n">
        <v>46171</v>
      </c>
      <c r="AB74" s="59" t="n">
        <v>46537</v>
      </c>
    </row>
    <row r="75">
      <c r="D75" s="36" t="inlineStr">
        <is>
          <t>Eagles Eyrie</t>
        </is>
      </c>
      <c r="E75" s="54" t="inlineStr">
        <is>
          <t>2465 N Peterson Ct-1</t>
        </is>
      </c>
      <c r="F75" s="54" t="inlineStr">
        <is>
          <t>2x2 Townhouse</t>
        </is>
      </c>
      <c r="G75" s="54" t="inlineStr">
        <is>
          <t>2x2 Townhouse</t>
        </is>
      </c>
      <c r="K75" s="36" t="inlineStr">
        <is>
          <t>Dunn, Makayla</t>
        </is>
      </c>
      <c r="L75" s="55" t="n">
        <v>1300</v>
      </c>
      <c r="M75" s="56" t="n">
        <v>2</v>
      </c>
      <c r="N75" s="56" t="n">
        <v>2</v>
      </c>
      <c r="Q75" s="57" t="inlineStr">
        <is>
          <t>Occ</t>
        </is>
      </c>
      <c r="U75" s="58" t="n">
        <v>1394</v>
      </c>
      <c r="V75" s="58" t="n">
        <v>1370</v>
      </c>
      <c r="W75" s="58" t="n">
        <v>0</v>
      </c>
      <c r="X75" s="58" t="n">
        <v>0</v>
      </c>
      <c r="Y75" s="58" t="n">
        <v>0</v>
      </c>
      <c r="Z75" s="59" t="n">
        <v>45938</v>
      </c>
      <c r="AA75" s="59" t="n">
        <v>45938</v>
      </c>
      <c r="AB75" s="59" t="n">
        <v>46488</v>
      </c>
    </row>
    <row r="76">
      <c r="D76" s="36" t="inlineStr">
        <is>
          <t>Eagles Eyrie</t>
        </is>
      </c>
      <c r="E76" s="54" t="inlineStr">
        <is>
          <t>2467 Idlewylde Ct-1</t>
        </is>
      </c>
      <c r="F76" s="54" t="inlineStr">
        <is>
          <t>3x3 Townhouse</t>
        </is>
      </c>
      <c r="G76" s="54" t="inlineStr">
        <is>
          <t>3x3 Townhouse</t>
        </is>
      </c>
      <c r="K76" s="36" t="inlineStr">
        <is>
          <t>Bickers, Jason</t>
        </is>
      </c>
      <c r="L76" s="55" t="n">
        <v>1600</v>
      </c>
      <c r="M76" s="56" t="n">
        <v>3</v>
      </c>
      <c r="N76" s="56" t="n">
        <v>3</v>
      </c>
      <c r="Q76" s="57" t="inlineStr">
        <is>
          <t>Occ</t>
        </is>
      </c>
      <c r="U76" s="58" t="n">
        <v>1584</v>
      </c>
      <c r="V76" s="58" t="n">
        <v>1494</v>
      </c>
      <c r="W76" s="58" t="n">
        <v>0</v>
      </c>
      <c r="X76" s="58" t="n">
        <v>0</v>
      </c>
      <c r="Y76" s="58" t="n">
        <v>0</v>
      </c>
      <c r="Z76" s="59" t="n">
        <v>45418</v>
      </c>
      <c r="AA76" s="59" t="n">
        <v>46174</v>
      </c>
      <c r="AB76" s="59" t="n">
        <v>46544</v>
      </c>
    </row>
    <row r="77">
      <c r="D77" s="36" t="inlineStr">
        <is>
          <t>Eagles Eyrie</t>
        </is>
      </c>
      <c r="E77" s="54" t="inlineStr">
        <is>
          <t>2467 N Peterson Ct-1</t>
        </is>
      </c>
      <c r="F77" s="54" t="inlineStr">
        <is>
          <t>3x3 Townhouse</t>
        </is>
      </c>
      <c r="G77" s="54" t="inlineStr">
        <is>
          <t>3x3 Townhouse</t>
        </is>
      </c>
      <c r="K77" s="36" t="inlineStr">
        <is>
          <t>Frank, Sean</t>
        </is>
      </c>
      <c r="L77" s="55" t="n">
        <v>1600</v>
      </c>
      <c r="M77" s="56" t="n">
        <v>3</v>
      </c>
      <c r="N77" s="56" t="n">
        <v>3</v>
      </c>
      <c r="Q77" s="57" t="inlineStr">
        <is>
          <t>Occ</t>
        </is>
      </c>
      <c r="U77" s="58" t="n">
        <v>1584</v>
      </c>
      <c r="V77" s="58" t="n">
        <v>1494</v>
      </c>
      <c r="W77" s="58" t="n">
        <v>0</v>
      </c>
      <c r="X77" s="58" t="n">
        <v>0</v>
      </c>
      <c r="Y77" s="58" t="n">
        <v>0</v>
      </c>
      <c r="Z77" s="59" t="n">
        <v>45408</v>
      </c>
      <c r="AA77" s="59" t="n">
        <v>46146</v>
      </c>
      <c r="AB77" s="59" t="n">
        <v>46362</v>
      </c>
    </row>
    <row r="78">
      <c r="D78" s="36" t="inlineStr">
        <is>
          <t>Eagles Eyrie</t>
        </is>
      </c>
      <c r="E78" s="54" t="inlineStr">
        <is>
          <t>2469 Idlewylde Ct-1</t>
        </is>
      </c>
      <c r="F78" s="54" t="inlineStr">
        <is>
          <t>2x2 Townhouse</t>
        </is>
      </c>
      <c r="G78" s="54" t="inlineStr">
        <is>
          <t>2x2 Townhouse</t>
        </is>
      </c>
      <c r="K78" s="36" t="inlineStr">
        <is>
          <t>Lanier, Philip</t>
        </is>
      </c>
      <c r="L78" s="55" t="n">
        <v>1300</v>
      </c>
      <c r="M78" s="56" t="n">
        <v>2</v>
      </c>
      <c r="N78" s="56" t="n">
        <v>2</v>
      </c>
      <c r="Q78" s="57" t="inlineStr">
        <is>
          <t>Occ</t>
        </is>
      </c>
      <c r="U78" s="58" t="n">
        <v>1319</v>
      </c>
      <c r="V78" s="58" t="n">
        <v>1300</v>
      </c>
      <c r="W78" s="58" t="n">
        <v>0</v>
      </c>
      <c r="X78" s="58" t="n">
        <v>0</v>
      </c>
      <c r="Y78" s="58" t="n">
        <v>0</v>
      </c>
      <c r="Z78" s="59" t="n">
        <v>43313</v>
      </c>
      <c r="AA78" s="59" t="n">
        <v>46209</v>
      </c>
      <c r="AB78" s="59" t="n">
        <v>46579</v>
      </c>
    </row>
    <row r="79">
      <c r="D79" s="36" t="inlineStr">
        <is>
          <t>Eagles Eyrie</t>
        </is>
      </c>
      <c r="E79" s="54" t="inlineStr">
        <is>
          <t>2469 N Peterson Ct-1</t>
        </is>
      </c>
      <c r="F79" s="54" t="inlineStr">
        <is>
          <t>2x2 Townhouse</t>
        </is>
      </c>
      <c r="G79" s="54" t="inlineStr">
        <is>
          <t>2x2 Townhouse</t>
        </is>
      </c>
      <c r="K79" s="36" t="inlineStr">
        <is>
          <t>Caldwell, James</t>
        </is>
      </c>
      <c r="L79" s="55" t="n">
        <v>1300</v>
      </c>
      <c r="M79" s="56" t="n">
        <v>2</v>
      </c>
      <c r="N79" s="56" t="n">
        <v>2</v>
      </c>
      <c r="Q79" s="57" t="inlineStr">
        <is>
          <t>Occ</t>
        </is>
      </c>
      <c r="U79" s="58" t="n">
        <v>1444</v>
      </c>
      <c r="V79" s="58" t="n">
        <v>1575</v>
      </c>
      <c r="W79" s="58" t="n">
        <v>0</v>
      </c>
      <c r="X79" s="58" t="n">
        <v>0</v>
      </c>
      <c r="Y79" s="58" t="n">
        <v>0</v>
      </c>
      <c r="Z79" s="59" t="n">
        <v>46188</v>
      </c>
      <c r="AA79" s="59" t="n">
        <v>46188</v>
      </c>
      <c r="AB79" s="59" t="n">
        <v>46558</v>
      </c>
    </row>
    <row r="80">
      <c r="D80" s="36" t="inlineStr">
        <is>
          <t>Eagles Eyrie</t>
        </is>
      </c>
      <c r="E80" s="54" t="inlineStr">
        <is>
          <t>2471 Idlewylde Ct-1</t>
        </is>
      </c>
      <c r="F80" s="54" t="inlineStr">
        <is>
          <t>3x3 Townhouse</t>
        </is>
      </c>
      <c r="G80" s="54" t="inlineStr">
        <is>
          <t>3x3 Townhouse</t>
        </is>
      </c>
      <c r="K80" s="36" t="inlineStr">
        <is>
          <t>Johnson, Christopher</t>
        </is>
      </c>
      <c r="L80" s="55" t="n">
        <v>1600</v>
      </c>
      <c r="M80" s="56" t="n">
        <v>3</v>
      </c>
      <c r="N80" s="56" t="n">
        <v>3</v>
      </c>
      <c r="Q80" s="57" t="inlineStr">
        <is>
          <t>Occ</t>
        </is>
      </c>
      <c r="U80" s="58" t="n">
        <v>1584</v>
      </c>
      <c r="V80" s="58" t="n">
        <v>1555</v>
      </c>
      <c r="W80" s="58" t="n">
        <v>0</v>
      </c>
      <c r="X80" s="58" t="n">
        <v>0</v>
      </c>
      <c r="Y80" s="58" t="n">
        <v>0</v>
      </c>
      <c r="Z80" s="59" t="n">
        <v>43503</v>
      </c>
      <c r="AA80" s="59" t="n">
        <v>46174</v>
      </c>
      <c r="AB80" s="59" t="n">
        <v>46390</v>
      </c>
    </row>
    <row r="81">
      <c r="D81" s="36" t="inlineStr">
        <is>
          <t>Eagles Eyrie</t>
        </is>
      </c>
      <c r="E81" s="54" t="inlineStr">
        <is>
          <t>2471 N Peterson Ct-1</t>
        </is>
      </c>
      <c r="F81" s="54" t="inlineStr">
        <is>
          <t>3x3 Townhouse</t>
        </is>
      </c>
      <c r="G81" s="54" t="inlineStr">
        <is>
          <t>3x3 Townhouse</t>
        </is>
      </c>
      <c r="K81" s="36" t="inlineStr">
        <is>
          <t>DeVuono, Joseph</t>
        </is>
      </c>
      <c r="L81" s="55" t="n">
        <v>1600</v>
      </c>
      <c r="M81" s="56" t="n">
        <v>3</v>
      </c>
      <c r="N81" s="56" t="n">
        <v>3</v>
      </c>
      <c r="Q81" s="57" t="inlineStr">
        <is>
          <t>Occ</t>
        </is>
      </c>
      <c r="U81" s="58" t="n">
        <v>1584</v>
      </c>
      <c r="V81" s="58" t="n">
        <v>1361</v>
      </c>
      <c r="W81" s="58" t="n">
        <v>0</v>
      </c>
      <c r="X81" s="58" t="n">
        <v>0</v>
      </c>
      <c r="Y81" s="58" t="n">
        <v>0</v>
      </c>
      <c r="Z81" s="59" t="n">
        <v>45380</v>
      </c>
      <c r="AA81" s="59" t="n">
        <v>46118</v>
      </c>
      <c r="AB81" s="59" t="n">
        <v>46488</v>
      </c>
    </row>
    <row r="82">
      <c r="D82" s="36" t="inlineStr">
        <is>
          <t>Eagles Eyrie</t>
        </is>
      </c>
      <c r="E82" s="54" t="inlineStr">
        <is>
          <t>2473 Idlewylde Ct-1</t>
        </is>
      </c>
      <c r="F82" s="54" t="inlineStr">
        <is>
          <t>2x2 Townhouse</t>
        </is>
      </c>
      <c r="G82" s="54" t="inlineStr">
        <is>
          <t>2x2 Townhouse</t>
        </is>
      </c>
      <c r="K82" s="36" t="inlineStr">
        <is>
          <t>Vacant</t>
        </is>
      </c>
      <c r="L82" s="55" t="n">
        <v>1300</v>
      </c>
      <c r="M82" s="56" t="n">
        <v>2</v>
      </c>
      <c r="N82" s="56" t="n">
        <v>2</v>
      </c>
      <c r="Q82" s="57" t="inlineStr">
        <is>
          <t>Vac</t>
        </is>
      </c>
      <c r="U82" s="58" t="n">
        <v>1304</v>
      </c>
      <c r="V82" s="58" t="n">
        <v>0</v>
      </c>
      <c r="W82" s="58" t="n">
        <v>0</v>
      </c>
      <c r="X82" s="58" t="n">
        <v>0</v>
      </c>
      <c r="Y82" s="58" t="n">
        <v>0</v>
      </c>
    </row>
    <row r="83">
      <c r="D83" s="36" t="inlineStr">
        <is>
          <t>Eagles Eyrie</t>
        </is>
      </c>
      <c r="E83" s="54" t="inlineStr">
        <is>
          <t>2473 N Peterson Ct-1</t>
        </is>
      </c>
      <c r="F83" s="54" t="inlineStr">
        <is>
          <t>2x2 Townhouse</t>
        </is>
      </c>
      <c r="G83" s="54" t="inlineStr">
        <is>
          <t>2x2 Townhouse</t>
        </is>
      </c>
      <c r="K83" s="36" t="inlineStr">
        <is>
          <t>Chamberlain, Damon</t>
        </is>
      </c>
      <c r="L83" s="55" t="n">
        <v>1300</v>
      </c>
      <c r="M83" s="56" t="n">
        <v>2</v>
      </c>
      <c r="N83" s="56" t="n">
        <v>2</v>
      </c>
      <c r="Q83" s="57" t="inlineStr">
        <is>
          <t>Occ</t>
        </is>
      </c>
      <c r="U83" s="58" t="n">
        <v>1449</v>
      </c>
      <c r="V83" s="58" t="n">
        <v>1332</v>
      </c>
      <c r="W83" s="58" t="n">
        <v>0</v>
      </c>
      <c r="X83" s="58" t="n">
        <v>0</v>
      </c>
      <c r="Y83" s="58" t="n">
        <v>0</v>
      </c>
      <c r="Z83" s="59" t="n">
        <v>45576</v>
      </c>
      <c r="AA83" s="59" t="n">
        <v>45962</v>
      </c>
      <c r="AB83" s="59" t="n">
        <v>46299</v>
      </c>
    </row>
    <row r="84">
      <c r="D84" s="36" t="inlineStr">
        <is>
          <t>Eagles Eyrie</t>
        </is>
      </c>
      <c r="E84" s="54" t="inlineStr">
        <is>
          <t>2475 Idlewylde Ct-1</t>
        </is>
      </c>
      <c r="F84" s="54" t="inlineStr">
        <is>
          <t>3x3 Townhouse</t>
        </is>
      </c>
      <c r="G84" s="54" t="inlineStr">
        <is>
          <t>3x3 Townhouse</t>
        </is>
      </c>
      <c r="K84" s="36" t="inlineStr">
        <is>
          <t>Pennington, Raejon</t>
        </is>
      </c>
      <c r="L84" s="55" t="n">
        <v>1600</v>
      </c>
      <c r="M84" s="56" t="n">
        <v>3</v>
      </c>
      <c r="N84" s="56" t="n">
        <v>3</v>
      </c>
      <c r="Q84" s="57" t="inlineStr">
        <is>
          <t>Occ</t>
        </is>
      </c>
      <c r="U84" s="58" t="n">
        <v>1659</v>
      </c>
      <c r="V84" s="58" t="n">
        <v>1564</v>
      </c>
      <c r="W84" s="58" t="n">
        <v>0</v>
      </c>
      <c r="X84" s="58" t="n">
        <v>0</v>
      </c>
      <c r="Y84" s="58" t="n">
        <v>0</v>
      </c>
      <c r="Z84" s="59" t="n">
        <v>46025</v>
      </c>
      <c r="AA84" s="59" t="n">
        <v>46025</v>
      </c>
      <c r="AB84" s="59" t="n">
        <v>46572</v>
      </c>
    </row>
    <row r="85">
      <c r="D85" s="36" t="inlineStr">
        <is>
          <t>Eagles Eyrie</t>
        </is>
      </c>
      <c r="E85" s="54" t="inlineStr">
        <is>
          <t>2475 N Peterson Ct-1</t>
        </is>
      </c>
      <c r="F85" s="54" t="inlineStr">
        <is>
          <t>3x3 Townhouse</t>
        </is>
      </c>
      <c r="G85" s="54" t="inlineStr">
        <is>
          <t>3x3 Townhouse</t>
        </is>
      </c>
      <c r="K85" s="36" t="inlineStr">
        <is>
          <t>Saul, Ryan</t>
        </is>
      </c>
      <c r="L85" s="55" t="n">
        <v>1600</v>
      </c>
      <c r="M85" s="56" t="n">
        <v>3</v>
      </c>
      <c r="N85" s="56" t="n">
        <v>3</v>
      </c>
      <c r="Q85" s="57" t="inlineStr">
        <is>
          <t>Occ</t>
        </is>
      </c>
      <c r="U85" s="58" t="n">
        <v>1584</v>
      </c>
      <c r="V85" s="58" t="n">
        <v>1489</v>
      </c>
      <c r="W85" s="58" t="n">
        <v>0</v>
      </c>
      <c r="X85" s="58" t="n">
        <v>0</v>
      </c>
      <c r="Y85" s="58" t="n">
        <v>0</v>
      </c>
      <c r="Z85" s="59" t="n">
        <v>45197</v>
      </c>
      <c r="AA85" s="59" t="n">
        <v>46023</v>
      </c>
      <c r="AB85" s="59" t="n">
        <v>46481</v>
      </c>
    </row>
    <row r="86">
      <c r="D86" s="36" t="inlineStr">
        <is>
          <t>Eagles Eyrie</t>
        </is>
      </c>
      <c r="E86" s="54" t="inlineStr">
        <is>
          <t>2477 N Peterson Ct-1</t>
        </is>
      </c>
      <c r="F86" s="54" t="inlineStr">
        <is>
          <t>2x2 Townhouse</t>
        </is>
      </c>
      <c r="G86" s="54" t="inlineStr">
        <is>
          <t>2x2 Townhouse</t>
        </is>
      </c>
      <c r="K86" s="36" t="inlineStr">
        <is>
          <t>Suraba, Jake</t>
        </is>
      </c>
      <c r="L86" s="55" t="n">
        <v>1300</v>
      </c>
      <c r="M86" s="56" t="n">
        <v>2</v>
      </c>
      <c r="N86" s="56" t="n">
        <v>2</v>
      </c>
      <c r="Q86" s="57" t="inlineStr">
        <is>
          <t>Occ</t>
        </is>
      </c>
      <c r="U86" s="58" t="n">
        <v>1444</v>
      </c>
      <c r="V86" s="58" t="n">
        <v>1402</v>
      </c>
      <c r="W86" s="58" t="n">
        <v>0</v>
      </c>
      <c r="X86" s="58" t="n">
        <v>0</v>
      </c>
      <c r="Y86" s="58" t="n">
        <v>0</v>
      </c>
      <c r="Z86" s="59" t="n">
        <v>45792</v>
      </c>
      <c r="AA86" s="59" t="n">
        <v>46160</v>
      </c>
      <c r="AB86" s="59" t="n">
        <v>46495</v>
      </c>
    </row>
    <row r="87">
      <c r="D87" s="36" t="inlineStr">
        <is>
          <t>Eagles Eyrie</t>
        </is>
      </c>
      <c r="E87" s="54" t="inlineStr">
        <is>
          <t>2479 N Peterson Ct-1</t>
        </is>
      </c>
      <c r="F87" s="54" t="inlineStr">
        <is>
          <t>3x3 Townhouse</t>
        </is>
      </c>
      <c r="G87" s="54" t="inlineStr">
        <is>
          <t>3x3 Townhouse</t>
        </is>
      </c>
      <c r="K87" s="36" t="inlineStr">
        <is>
          <t>Gregory, Scott</t>
        </is>
      </c>
      <c r="L87" s="55" t="n">
        <v>1600</v>
      </c>
      <c r="M87" s="56" t="n">
        <v>3</v>
      </c>
      <c r="N87" s="56" t="n">
        <v>3</v>
      </c>
      <c r="Q87" s="57" t="inlineStr">
        <is>
          <t>Occ</t>
        </is>
      </c>
      <c r="U87" s="58" t="n">
        <v>1584</v>
      </c>
      <c r="V87" s="58" t="n">
        <v>1466</v>
      </c>
      <c r="W87" s="58" t="n">
        <v>0</v>
      </c>
      <c r="X87" s="58" t="n">
        <v>0</v>
      </c>
      <c r="Y87" s="58" t="n">
        <v>0</v>
      </c>
      <c r="Z87" s="59" t="n">
        <v>41836</v>
      </c>
      <c r="AA87" s="59" t="n">
        <v>46054</v>
      </c>
      <c r="AB87" s="59" t="n">
        <v>46418</v>
      </c>
    </row>
    <row r="88">
      <c r="C88" s="60" t="inlineStr">
        <is>
          <t>Total / Wtd. Average</t>
        </is>
      </c>
      <c r="D88" s="61" t="n"/>
      <c r="E88" s="61" t="n"/>
      <c r="F88" s="61" t="n"/>
      <c r="G88" s="62" t="n">
        <v>80</v>
      </c>
      <c r="H88" s="61" t="n"/>
      <c r="I88" s="61" t="n"/>
      <c r="J88" s="61" t="n"/>
      <c r="K88" s="61" t="n"/>
      <c r="L88" s="63" t="n">
        <v>112400</v>
      </c>
      <c r="M88" s="61" t="n"/>
      <c r="N88" s="61" t="n"/>
      <c r="O88" s="61" t="n"/>
      <c r="P88" s="61" t="n"/>
      <c r="Q88" s="61" t="n"/>
      <c r="R88" s="61" t="n"/>
      <c r="S88" s="61" t="n"/>
      <c r="T88" s="61" t="n"/>
      <c r="U88" s="64" t="n">
        <v>113883</v>
      </c>
      <c r="V88" s="64" t="n">
        <v>100522</v>
      </c>
      <c r="W88" s="64" t="n">
        <v>0</v>
      </c>
      <c r="X88" s="64" t="n">
        <v>0</v>
      </c>
      <c r="Y88" s="64" t="n">
        <v>0</v>
      </c>
      <c r="Z88" s="61" t="n"/>
      <c r="AA88" s="61" t="n"/>
      <c r="AB88" s="61" t="n"/>
      <c r="AC88" s="61" t="n"/>
      <c r="AD88" s="61" t="n"/>
      <c r="AE88" s="65" t="n">
        <v>0</v>
      </c>
      <c r="AF88" s="65" t="n">
        <v>0</v>
      </c>
      <c r="AG88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Y111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2x2</t>
        </is>
      </c>
      <c r="D5" s="72" t="inlineStr">
        <is>
          <t>2x2</t>
        </is>
      </c>
      <c r="E5" s="73" t="n">
        <v>2</v>
      </c>
      <c r="F5" s="74" t="n">
        <v>2</v>
      </c>
      <c r="G5" s="73" t="inlineStr">
        <is>
          <t>No</t>
        </is>
      </c>
      <c r="H5" s="75">
        <f>COUNTIFS($D$32:$D$111,$C5)</f>
        <v/>
      </c>
      <c r="I5" s="75">
        <f>COUNTIFS($D$32:$D$111,$C5,$C$32:$C$111,"Occ")+COUNTIFS($D$32:$D$111,$C5,$C$32:$C$111,"Admin")+COUNTIFS($D$32:$D$111,$C5,$C$32:$C$111,"Down")+COUNTIFS($D$32:$D$111,$C5,$C$32:$C$111,"Super")+COUNTIFS($D$32:$D$111,$C5,$C$32:$C$111,"Model")</f>
        <v/>
      </c>
      <c r="J5" s="75">
        <f>COUNTIFS($D$32:$D$111,$C5,$C$32:$C$111,"Vac")</f>
        <v/>
      </c>
      <c r="K5" s="75">
        <f>IFERROR(AVERAGEIFS($J$32:$J$111,$D$32:$D$111,$C5),"n/a")</f>
        <v/>
      </c>
      <c r="L5" s="75">
        <f>SUMIFS($J$32:$J$111,$D$32:$D$111,$C5)</f>
        <v/>
      </c>
      <c r="M5" s="75">
        <f>SUMIFS($J$32:$J$111,$D$32:$D$111,$C5,$C$32:$C$111,"Occ")+SUMIFS($J$32:$J$111,$D$32:$D$111,$C5,$C$32:$C$111,"Admin")+SUMIFS($J$32:$J$111,$D$32:$D$111,$C5,$C$32:$C$111,"Down")+SUMIFS($J$32:$J$111,$D$32:$D$111,$C5,$C$32:$C$111,"Super")+SUMIFS($J$32:$J$111,$D$32:$D$111,$C5,$C$32:$C$111,"Model")</f>
        <v/>
      </c>
      <c r="N5" s="75">
        <f>SUMIFS($J$32:$J$111,$D$32:$D$111,$C5,$C$32:$C$111,"Vac")</f>
        <v/>
      </c>
      <c r="O5" s="75">
        <f>SUMIFS($L$32:$L$111,$D$32:$D$111,$C5)</f>
        <v/>
      </c>
      <c r="P5" s="75">
        <f>SUMIFS($M$32:$M$111,$D$32:$D$111,$C5)</f>
        <v/>
      </c>
      <c r="Q5" s="75">
        <f>SUMIFS($R$32:$R$111,$D$32:$D$111,$C5)</f>
        <v/>
      </c>
      <c r="R5" s="75">
        <f>SUMIFS($S$32:$S$111,$D$32:$D$111,$C5)</f>
        <v/>
      </c>
      <c r="S5" s="75">
        <f>SUMIFS($T$32:$T$111,$D$32:$D$111,$C5)</f>
        <v/>
      </c>
    </row>
    <row r="6">
      <c r="C6" s="71" t="inlineStr">
        <is>
          <t>2x2 Townhouse</t>
        </is>
      </c>
      <c r="D6" s="72" t="inlineStr">
        <is>
          <t>2x2 Townhouse</t>
        </is>
      </c>
      <c r="E6" s="73" t="n">
        <v>2</v>
      </c>
      <c r="F6" s="74" t="n">
        <v>2</v>
      </c>
      <c r="G6" s="73" t="inlineStr">
        <is>
          <t>No</t>
        </is>
      </c>
      <c r="H6" s="75">
        <f>COUNTIFS($D$32:$D$111,$C6)</f>
        <v/>
      </c>
      <c r="I6" s="75">
        <f>COUNTIFS($D$32:$D$111,$C6,$C$32:$C$111,"Occ")+COUNTIFS($D$32:$D$111,$C6,$C$32:$C$111,"Admin")+COUNTIFS($D$32:$D$111,$C6,$C$32:$C$111,"Down")+COUNTIFS($D$32:$D$111,$C6,$C$32:$C$111,"Super")+COUNTIFS($D$32:$D$111,$C6,$C$32:$C$111,"Model")</f>
        <v/>
      </c>
      <c r="J6" s="75">
        <f>COUNTIFS($D$32:$D$111,$C6,$C$32:$C$111,"Vac")</f>
        <v/>
      </c>
      <c r="K6" s="75">
        <f>IFERROR(AVERAGEIFS($J$32:$J$111,$D$32:$D$111,$C6),"n/a")</f>
        <v/>
      </c>
      <c r="L6" s="75">
        <f>SUMIFS($J$32:$J$111,$D$32:$D$111,$C6)</f>
        <v/>
      </c>
      <c r="M6" s="75">
        <f>SUMIFS($J$32:$J$111,$D$32:$D$111,$C6,$C$32:$C$111,"Occ")+SUMIFS($J$32:$J$111,$D$32:$D$111,$C6,$C$32:$C$111,"Admin")+SUMIFS($J$32:$J$111,$D$32:$D$111,$C6,$C$32:$C$111,"Down")+SUMIFS($J$32:$J$111,$D$32:$D$111,$C6,$C$32:$C$111,"Super")+SUMIFS($J$32:$J$111,$D$32:$D$111,$C6,$C$32:$C$111,"Model")</f>
        <v/>
      </c>
      <c r="N6" s="75">
        <f>SUMIFS($J$32:$J$111,$D$32:$D$111,$C6,$C$32:$C$111,"Vac")</f>
        <v/>
      </c>
      <c r="O6" s="75">
        <f>SUMIFS($L$32:$L$111,$D$32:$D$111,$C6)</f>
        <v/>
      </c>
      <c r="P6" s="75">
        <f>SUMIFS($M$32:$M$111,$D$32:$D$111,$C6)</f>
        <v/>
      </c>
      <c r="Q6" s="75">
        <f>SUMIFS($R$32:$R$111,$D$32:$D$111,$C6)</f>
        <v/>
      </c>
      <c r="R6" s="75">
        <f>SUMIFS($S$32:$S$111,$D$32:$D$111,$C6)</f>
        <v/>
      </c>
      <c r="S6" s="75">
        <f>SUMIFS($T$32:$T$111,$D$32:$D$111,$C6)</f>
        <v/>
      </c>
    </row>
    <row r="7">
      <c r="C7" s="71" t="inlineStr">
        <is>
          <t>3x3 Townhouse</t>
        </is>
      </c>
      <c r="D7" s="72" t="inlineStr">
        <is>
          <t>3x3 Townhouse</t>
        </is>
      </c>
      <c r="E7" s="73" t="n">
        <v>3</v>
      </c>
      <c r="F7" s="74" t="n">
        <v>3</v>
      </c>
      <c r="G7" s="73" t="inlineStr">
        <is>
          <t>No</t>
        </is>
      </c>
      <c r="H7" s="75">
        <f>COUNTIFS($D$32:$D$111,$C7)</f>
        <v/>
      </c>
      <c r="I7" s="75">
        <f>COUNTIFS($D$32:$D$111,$C7,$C$32:$C$111,"Occ")+COUNTIFS($D$32:$D$111,$C7,$C$32:$C$111,"Admin")+COUNTIFS($D$32:$D$111,$C7,$C$32:$C$111,"Down")+COUNTIFS($D$32:$D$111,$C7,$C$32:$C$111,"Super")+COUNTIFS($D$32:$D$111,$C7,$C$32:$C$111,"Model")</f>
        <v/>
      </c>
      <c r="J7" s="75">
        <f>COUNTIFS($D$32:$D$111,$C7,$C$32:$C$111,"Vac")</f>
        <v/>
      </c>
      <c r="K7" s="75">
        <f>IFERROR(AVERAGEIFS($J$32:$J$111,$D$32:$D$111,$C7),"n/a")</f>
        <v/>
      </c>
      <c r="L7" s="75">
        <f>SUMIFS($J$32:$J$111,$D$32:$D$111,$C7)</f>
        <v/>
      </c>
      <c r="M7" s="75">
        <f>SUMIFS($J$32:$J$111,$D$32:$D$111,$C7,$C$32:$C$111,"Occ")+SUMIFS($J$32:$J$111,$D$32:$D$111,$C7,$C$32:$C$111,"Admin")+SUMIFS($J$32:$J$111,$D$32:$D$111,$C7,$C$32:$C$111,"Down")+SUMIFS($J$32:$J$111,$D$32:$D$111,$C7,$C$32:$C$111,"Super")+SUMIFS($J$32:$J$111,$D$32:$D$111,$C7,$C$32:$C$111,"Model")</f>
        <v/>
      </c>
      <c r="N7" s="75">
        <f>SUMIFS($J$32:$J$111,$D$32:$D$111,$C7,$C$32:$C$111,"Vac")</f>
        <v/>
      </c>
      <c r="O7" s="75">
        <f>SUMIFS($L$32:$L$111,$D$32:$D$111,$C7)</f>
        <v/>
      </c>
      <c r="P7" s="75">
        <f>SUMIFS($M$32:$M$111,$D$32:$D$111,$C7)</f>
        <v/>
      </c>
      <c r="Q7" s="75">
        <f>SUMIFS($R$32:$R$111,$D$32:$D$111,$C7)</f>
        <v/>
      </c>
      <c r="R7" s="75">
        <f>SUMIFS($S$32:$S$111,$D$32:$D$111,$C7)</f>
        <v/>
      </c>
      <c r="S7" s="75">
        <f>SUMIFS($T$32:$T$111,$D$32:$D$111,$C7)</f>
        <v/>
      </c>
    </row>
    <row r="8">
      <c r="C8" s="68" t="inlineStr">
        <is>
          <t>Totals</t>
        </is>
      </c>
      <c r="H8" s="76">
        <f>SUM(H5:H7)</f>
        <v/>
      </c>
      <c r="I8" s="76">
        <f>SUM(I5:I7)</f>
        <v/>
      </c>
      <c r="J8" s="76">
        <f>SUM(J5:J7)</f>
        <v/>
      </c>
      <c r="L8" s="76">
        <f>SUM(L5:L7)</f>
        <v/>
      </c>
      <c r="M8" s="76">
        <f>SUM(M5:M7)</f>
        <v/>
      </c>
      <c r="N8" s="76">
        <f>SUM(N5:N7)</f>
        <v/>
      </c>
      <c r="O8" s="76">
        <f>SUM(O5:O7)</f>
        <v/>
      </c>
      <c r="P8" s="76">
        <f>SUM(P5:P7)</f>
        <v/>
      </c>
      <c r="Q8" s="76">
        <f>SUM(Q5:Q7)</f>
        <v/>
      </c>
      <c r="R8" s="76">
        <f>SUM(R5:R7)</f>
        <v/>
      </c>
      <c r="S8" s="76">
        <f>SUM(S5:S7)</f>
        <v/>
      </c>
    </row>
    <row r="9">
      <c r="C9" s="68" t="inlineStr">
        <is>
          <t>%</t>
        </is>
      </c>
      <c r="I9" s="77">
        <f>I8/$H$8</f>
        <v/>
      </c>
      <c r="J9" s="77">
        <f>J8/$H$8</f>
        <v/>
      </c>
      <c r="M9" s="77">
        <f>IFERROR(M8/$L$8,"n/a")</f>
        <v/>
      </c>
      <c r="N9" s="77">
        <f>IFERROR(N8/$L$8,"n/a")</f>
        <v/>
      </c>
    </row>
    <row r="13">
      <c r="C13" s="78" t="inlineStr">
        <is>
          <t>Notes:</t>
        </is>
      </c>
    </row>
    <row r="14">
      <c r="C14" s="78" t="inlineStr">
        <is>
          <t>1. Vacant units market rent is the per-unit market/asking rent from the source.</t>
        </is>
      </c>
    </row>
    <row r="15">
      <c r="C15" s="78" t="inlineStr">
        <is>
          <t>2. BD/BA count is from the Unit Type mapping above (edit the yellow cells to adjust).</t>
        </is>
      </c>
    </row>
    <row r="20">
      <c r="C20" s="78" t="inlineStr">
        <is>
          <t>Property Name</t>
        </is>
      </c>
      <c r="D20" s="78" t="inlineStr">
        <is>
          <t>Eagles Eyrie</t>
        </is>
      </c>
    </row>
    <row r="21">
      <c r="C21" s="78" t="inlineStr">
        <is>
          <t>Rent Roll Date</t>
        </is>
      </c>
      <c r="D21" s="79" t="n">
        <v>46275</v>
      </c>
    </row>
    <row r="30">
      <c r="Y30" s="67" t="inlineStr">
        <is>
          <t>Rent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</row>
    <row r="32">
      <c r="A32" s="72">
        <f>$D$20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INDEX($C$5:$C$7,MATCH(I32,$D$5:$D$7,0))</f>
        <v/>
      </c>
      <c r="E32" s="72">
        <f>INDEX($E$5:$E$7,MATCH(D32,$C$5:$C$7,0))</f>
        <v/>
      </c>
      <c r="F32" s="72">
        <f>INDEX($F$5:$F$7,MATCH(D32,$C$5:$C$7,0))</f>
        <v/>
      </c>
      <c r="G32" s="72">
        <f>INDEX($G$5:$G$7,MATCH(D32,$C$5:$C$7,0))</f>
        <v/>
      </c>
      <c r="H32" s="72" t="inlineStr">
        <is>
          <t>2421 N Peterson Ct-1</t>
        </is>
      </c>
      <c r="I32" s="72" t="inlineStr">
        <is>
          <t>2x2 Townhouse</t>
        </is>
      </c>
      <c r="J32" s="80" t="n">
        <v>1300</v>
      </c>
      <c r="K32" s="72" t="inlineStr">
        <is>
          <t>Price, Ally</t>
        </is>
      </c>
      <c r="L32" s="81" t="n">
        <v>1394</v>
      </c>
      <c r="M32" s="81">
        <f>Y32</f>
        <v/>
      </c>
      <c r="N32" s="82" t="n">
        <v>46164</v>
      </c>
      <c r="O32" s="82" t="n">
        <v>46164</v>
      </c>
      <c r="P32" s="82" t="n">
        <v>46530</v>
      </c>
      <c r="R32" s="81" t="n">
        <v>0</v>
      </c>
      <c r="S32" s="81" t="n">
        <v>0</v>
      </c>
      <c r="T32" s="81" t="n">
        <v>0</v>
      </c>
      <c r="Y32" s="81" t="n">
        <v>1367</v>
      </c>
    </row>
    <row r="33">
      <c r="A33" s="72">
        <f>$D$20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INDEX($C$5:$C$7,MATCH(I33,$D$5:$D$7,0))</f>
        <v/>
      </c>
      <c r="E33" s="72">
        <f>INDEX($E$5:$E$7,MATCH(D33,$C$5:$C$7,0))</f>
        <v/>
      </c>
      <c r="F33" s="72">
        <f>INDEX($F$5:$F$7,MATCH(D33,$C$5:$C$7,0))</f>
        <v/>
      </c>
      <c r="G33" s="72">
        <f>INDEX($G$5:$G$7,MATCH(D33,$C$5:$C$7,0))</f>
        <v/>
      </c>
      <c r="H33" s="72" t="inlineStr">
        <is>
          <t>2423 N Peterson Ct-1</t>
        </is>
      </c>
      <c r="I33" s="72" t="inlineStr">
        <is>
          <t>3x3 Townhouse</t>
        </is>
      </c>
      <c r="J33" s="80" t="n">
        <v>1600</v>
      </c>
      <c r="K33" s="72" t="inlineStr">
        <is>
          <t>Winn, Sterling</t>
        </is>
      </c>
      <c r="L33" s="81" t="n">
        <v>1584</v>
      </c>
      <c r="M33" s="81">
        <f>Y33</f>
        <v/>
      </c>
      <c r="N33" s="82" t="n">
        <v>45355</v>
      </c>
      <c r="O33" s="82" t="n">
        <v>46118</v>
      </c>
      <c r="P33" s="82" t="n">
        <v>46488</v>
      </c>
      <c r="R33" s="81" t="n">
        <v>0</v>
      </c>
      <c r="S33" s="81" t="n">
        <v>0</v>
      </c>
      <c r="T33" s="81" t="n">
        <v>0</v>
      </c>
      <c r="Y33" s="81" t="n">
        <v>1525</v>
      </c>
    </row>
    <row r="34">
      <c r="A34" s="72">
        <f>$D$20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INDEX($C$5:$C$7,MATCH(I34,$D$5:$D$7,0))</f>
        <v/>
      </c>
      <c r="E34" s="72">
        <f>INDEX($E$5:$E$7,MATCH(D34,$C$5:$C$7,0))</f>
        <v/>
      </c>
      <c r="F34" s="72">
        <f>INDEX($F$5:$F$7,MATCH(D34,$C$5:$C$7,0))</f>
        <v/>
      </c>
      <c r="G34" s="72">
        <f>INDEX($G$5:$G$7,MATCH(D34,$C$5:$C$7,0))</f>
        <v/>
      </c>
      <c r="H34" s="72" t="inlineStr">
        <is>
          <t>2425 Idlewylde Ct-1</t>
        </is>
      </c>
      <c r="I34" s="72" t="inlineStr">
        <is>
          <t>2x2 Townhouse</t>
        </is>
      </c>
      <c r="J34" s="80" t="n">
        <v>1300</v>
      </c>
      <c r="K34" s="72" t="inlineStr">
        <is>
          <t>harris, shonna</t>
        </is>
      </c>
      <c r="L34" s="81" t="n">
        <v>1394</v>
      </c>
      <c r="M34" s="81">
        <f>Y34</f>
        <v/>
      </c>
      <c r="N34" s="82" t="n">
        <v>45930</v>
      </c>
      <c r="O34" s="82" t="n">
        <v>45930</v>
      </c>
      <c r="P34" s="82" t="n">
        <v>46481</v>
      </c>
      <c r="R34" s="81" t="n">
        <v>0</v>
      </c>
      <c r="S34" s="81" t="n">
        <v>0</v>
      </c>
      <c r="T34" s="81" t="n">
        <v>0</v>
      </c>
      <c r="Y34" s="81" t="n">
        <v>1375</v>
      </c>
    </row>
    <row r="35">
      <c r="A35" s="72">
        <f>$D$20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INDEX($C$5:$C$7,MATCH(I35,$D$5:$D$7,0))</f>
        <v/>
      </c>
      <c r="E35" s="72">
        <f>INDEX($E$5:$E$7,MATCH(D35,$C$5:$C$7,0))</f>
        <v/>
      </c>
      <c r="F35" s="72">
        <f>INDEX($F$5:$F$7,MATCH(D35,$C$5:$C$7,0))</f>
        <v/>
      </c>
      <c r="G35" s="72">
        <f>INDEX($G$5:$G$7,MATCH(D35,$C$5:$C$7,0))</f>
        <v/>
      </c>
      <c r="H35" s="72" t="inlineStr">
        <is>
          <t>2425 N Peterson Ct-1</t>
        </is>
      </c>
      <c r="I35" s="72" t="inlineStr">
        <is>
          <t>2x2 Townhouse</t>
        </is>
      </c>
      <c r="J35" s="80" t="n">
        <v>1300</v>
      </c>
      <c r="K35" s="72" t="inlineStr">
        <is>
          <t>Adams, David</t>
        </is>
      </c>
      <c r="L35" s="81" t="n">
        <v>1394</v>
      </c>
      <c r="M35" s="81">
        <f>Y35</f>
        <v/>
      </c>
      <c r="N35" s="82" t="n">
        <v>46269</v>
      </c>
      <c r="O35" s="82" t="n">
        <v>46269</v>
      </c>
      <c r="P35" s="82" t="n">
        <v>46635</v>
      </c>
      <c r="R35" s="81" t="n">
        <v>0</v>
      </c>
      <c r="S35" s="81" t="n">
        <v>0</v>
      </c>
      <c r="T35" s="81" t="n">
        <v>0</v>
      </c>
      <c r="Y35" s="81" t="n">
        <v>1304</v>
      </c>
    </row>
    <row r="36">
      <c r="A36" s="72">
        <f>$D$20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INDEX($C$5:$C$7,MATCH(I36,$D$5:$D$7,0))</f>
        <v/>
      </c>
      <c r="E36" s="72">
        <f>INDEX($E$5:$E$7,MATCH(D36,$C$5:$C$7,0))</f>
        <v/>
      </c>
      <c r="F36" s="72">
        <f>INDEX($F$5:$F$7,MATCH(D36,$C$5:$C$7,0))</f>
        <v/>
      </c>
      <c r="G36" s="72">
        <f>INDEX($G$5:$G$7,MATCH(D36,$C$5:$C$7,0))</f>
        <v/>
      </c>
      <c r="H36" s="72" t="inlineStr">
        <is>
          <t>2426 Eagles Eyrie-1</t>
        </is>
      </c>
      <c r="I36" s="72" t="inlineStr">
        <is>
          <t>2x2</t>
        </is>
      </c>
      <c r="J36" s="80" t="n">
        <v>1300</v>
      </c>
      <c r="K36" s="72" t="inlineStr">
        <is>
          <t>Stelly, Joshua</t>
        </is>
      </c>
      <c r="L36" s="81" t="n">
        <v>1205</v>
      </c>
      <c r="M36" s="81">
        <f>Y36</f>
        <v/>
      </c>
      <c r="N36" s="82" t="n">
        <v>44974</v>
      </c>
      <c r="O36" s="82" t="n">
        <v>46181</v>
      </c>
      <c r="P36" s="82" t="n">
        <v>46551</v>
      </c>
      <c r="R36" s="81" t="n">
        <v>0</v>
      </c>
      <c r="S36" s="81" t="n">
        <v>0</v>
      </c>
      <c r="T36" s="81" t="n">
        <v>0</v>
      </c>
      <c r="Y36" s="81" t="n">
        <v>1123</v>
      </c>
    </row>
    <row r="37">
      <c r="A37" s="72">
        <f>$D$20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INDEX($C$5:$C$7,MATCH(I37,$D$5:$D$7,0))</f>
        <v/>
      </c>
      <c r="E37" s="72">
        <f>INDEX($E$5:$E$7,MATCH(D37,$C$5:$C$7,0))</f>
        <v/>
      </c>
      <c r="F37" s="72">
        <f>INDEX($F$5:$F$7,MATCH(D37,$C$5:$C$7,0))</f>
        <v/>
      </c>
      <c r="G37" s="72">
        <f>INDEX($G$5:$G$7,MATCH(D37,$C$5:$C$7,0))</f>
        <v/>
      </c>
      <c r="H37" s="72" t="inlineStr">
        <is>
          <t>2426 Eagles Eyrie-2</t>
        </is>
      </c>
      <c r="I37" s="72" t="inlineStr">
        <is>
          <t>2x2</t>
        </is>
      </c>
      <c r="J37" s="80" t="n">
        <v>1300</v>
      </c>
      <c r="K37" s="72" t="inlineStr">
        <is>
          <t>Dennis, Dymond</t>
        </is>
      </c>
      <c r="L37" s="81" t="n">
        <v>1280</v>
      </c>
      <c r="M37" s="81">
        <f>Y37</f>
        <v/>
      </c>
      <c r="N37" s="82" t="n">
        <v>46218</v>
      </c>
      <c r="O37" s="82" t="n">
        <v>46218</v>
      </c>
      <c r="P37" s="82" t="n">
        <v>46586</v>
      </c>
      <c r="R37" s="81" t="n">
        <v>0</v>
      </c>
      <c r="S37" s="81" t="n">
        <v>0</v>
      </c>
      <c r="T37" s="81" t="n">
        <v>0</v>
      </c>
      <c r="Y37" s="81" t="n">
        <v>1292</v>
      </c>
    </row>
    <row r="38">
      <c r="A38" s="72">
        <f>$D$20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INDEX($C$5:$C$7,MATCH(I38,$D$5:$D$7,0))</f>
        <v/>
      </c>
      <c r="E38" s="72">
        <f>INDEX($E$5:$E$7,MATCH(D38,$C$5:$C$7,0))</f>
        <v/>
      </c>
      <c r="F38" s="72">
        <f>INDEX($F$5:$F$7,MATCH(D38,$C$5:$C$7,0))</f>
        <v/>
      </c>
      <c r="G38" s="72">
        <f>INDEX($G$5:$G$7,MATCH(D38,$C$5:$C$7,0))</f>
        <v/>
      </c>
      <c r="H38" s="72" t="inlineStr">
        <is>
          <t>2427 Idlewylde Ct-1</t>
        </is>
      </c>
      <c r="I38" s="72" t="inlineStr">
        <is>
          <t>3x3 Townhouse</t>
        </is>
      </c>
      <c r="J38" s="80" t="n">
        <v>1600</v>
      </c>
      <c r="K38" s="72" t="inlineStr">
        <is>
          <t>Maynor, Franklin</t>
        </is>
      </c>
      <c r="L38" s="81" t="n">
        <v>1584</v>
      </c>
      <c r="M38" s="81">
        <f>Y38</f>
        <v/>
      </c>
      <c r="N38" s="82" t="n">
        <v>42266</v>
      </c>
      <c r="O38" s="82" t="n">
        <v>45931</v>
      </c>
      <c r="P38" s="82" t="n">
        <v>46299</v>
      </c>
      <c r="R38" s="81" t="n">
        <v>0</v>
      </c>
      <c r="S38" s="81" t="n">
        <v>0</v>
      </c>
      <c r="T38" s="81" t="n">
        <v>0</v>
      </c>
      <c r="Y38" s="81" t="n">
        <v>1405</v>
      </c>
    </row>
    <row r="39">
      <c r="A39" s="72">
        <f>$D$20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INDEX($C$5:$C$7,MATCH(I39,$D$5:$D$7,0))</f>
        <v/>
      </c>
      <c r="E39" s="72">
        <f>INDEX($E$5:$E$7,MATCH(D39,$C$5:$C$7,0))</f>
        <v/>
      </c>
      <c r="F39" s="72">
        <f>INDEX($F$5:$F$7,MATCH(D39,$C$5:$C$7,0))</f>
        <v/>
      </c>
      <c r="G39" s="72">
        <f>INDEX($G$5:$G$7,MATCH(D39,$C$5:$C$7,0))</f>
        <v/>
      </c>
      <c r="H39" s="72" t="inlineStr">
        <is>
          <t>2427 N Peterson Ct-1</t>
        </is>
      </c>
      <c r="I39" s="72" t="inlineStr">
        <is>
          <t>3x3 Townhouse</t>
        </is>
      </c>
      <c r="J39" s="80" t="n">
        <v>1600</v>
      </c>
      <c r="K39" s="72" t="inlineStr">
        <is>
          <t>Rowan, Kaleb</t>
        </is>
      </c>
      <c r="L39" s="81" t="n">
        <v>1784</v>
      </c>
      <c r="M39" s="81">
        <f>Y39</f>
        <v/>
      </c>
      <c r="N39" s="82" t="n">
        <v>46241</v>
      </c>
      <c r="O39" s="82" t="n">
        <v>46241</v>
      </c>
      <c r="P39" s="82" t="n">
        <v>46607</v>
      </c>
      <c r="R39" s="81" t="n">
        <v>0</v>
      </c>
      <c r="S39" s="81" t="n">
        <v>0</v>
      </c>
      <c r="T39" s="81" t="n">
        <v>0</v>
      </c>
      <c r="Y39" s="81" t="n">
        <v>1776</v>
      </c>
    </row>
    <row r="40">
      <c r="A40" s="72">
        <f>$D$20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INDEX($C$5:$C$7,MATCH(I40,$D$5:$D$7,0))</f>
        <v/>
      </c>
      <c r="E40" s="72">
        <f>INDEX($E$5:$E$7,MATCH(D40,$C$5:$C$7,0))</f>
        <v/>
      </c>
      <c r="F40" s="72">
        <f>INDEX($F$5:$F$7,MATCH(D40,$C$5:$C$7,0))</f>
        <v/>
      </c>
      <c r="G40" s="72">
        <f>INDEX($G$5:$G$7,MATCH(D40,$C$5:$C$7,0))</f>
        <v/>
      </c>
      <c r="H40" s="72" t="inlineStr">
        <is>
          <t>2428 Eagles Eyrie-3</t>
        </is>
      </c>
      <c r="I40" s="72" t="inlineStr">
        <is>
          <t>2x2</t>
        </is>
      </c>
      <c r="J40" s="80" t="n">
        <v>1300</v>
      </c>
      <c r="K40" s="72" t="inlineStr">
        <is>
          <t>Hagerman, Maureen</t>
        </is>
      </c>
      <c r="L40" s="81" t="n">
        <v>1205</v>
      </c>
      <c r="M40" s="81">
        <f>Y40</f>
        <v/>
      </c>
      <c r="N40" s="82" t="n">
        <v>42686</v>
      </c>
      <c r="O40" s="82" t="n">
        <v>45992</v>
      </c>
      <c r="P40" s="82" t="n">
        <v>46418</v>
      </c>
      <c r="R40" s="81" t="n">
        <v>0</v>
      </c>
      <c r="S40" s="81" t="n">
        <v>0</v>
      </c>
      <c r="T40" s="81" t="n">
        <v>0</v>
      </c>
      <c r="Y40" s="81" t="n">
        <v>1140</v>
      </c>
    </row>
    <row r="41">
      <c r="A41" s="72">
        <f>$D$20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INDEX($C$5:$C$7,MATCH(I41,$D$5:$D$7,0))</f>
        <v/>
      </c>
      <c r="E41" s="72">
        <f>INDEX($E$5:$E$7,MATCH(D41,$C$5:$C$7,0))</f>
        <v/>
      </c>
      <c r="F41" s="72">
        <f>INDEX($F$5:$F$7,MATCH(D41,$C$5:$C$7,0))</f>
        <v/>
      </c>
      <c r="G41" s="72">
        <f>INDEX($G$5:$G$7,MATCH(D41,$C$5:$C$7,0))</f>
        <v/>
      </c>
      <c r="H41" s="72" t="inlineStr">
        <is>
          <t>2428 Eagles Eyrie-4</t>
        </is>
      </c>
      <c r="I41" s="72" t="inlineStr">
        <is>
          <t>2x2</t>
        </is>
      </c>
      <c r="J41" s="80" t="n">
        <v>1300</v>
      </c>
      <c r="K41" s="72" t="inlineStr">
        <is>
          <t>Hart, Patricia</t>
        </is>
      </c>
      <c r="L41" s="81" t="n">
        <v>1205</v>
      </c>
      <c r="M41" s="81">
        <f>Y41</f>
        <v/>
      </c>
      <c r="N41" s="82" t="n">
        <v>44151</v>
      </c>
      <c r="O41" s="82" t="n">
        <v>45992</v>
      </c>
      <c r="P41" s="82" t="n">
        <v>46418</v>
      </c>
      <c r="R41" s="81" t="n">
        <v>0</v>
      </c>
      <c r="S41" s="81" t="n">
        <v>0</v>
      </c>
      <c r="T41" s="81" t="n">
        <v>0</v>
      </c>
      <c r="Y41" s="81" t="n">
        <v>1139</v>
      </c>
    </row>
    <row r="42">
      <c r="A42" s="72">
        <f>$D$20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INDEX($C$5:$C$7,MATCH(I42,$D$5:$D$7,0))</f>
        <v/>
      </c>
      <c r="E42" s="72">
        <f>INDEX($E$5:$E$7,MATCH(D42,$C$5:$C$7,0))</f>
        <v/>
      </c>
      <c r="F42" s="72">
        <f>INDEX($F$5:$F$7,MATCH(D42,$C$5:$C$7,0))</f>
        <v/>
      </c>
      <c r="G42" s="72">
        <f>INDEX($G$5:$G$7,MATCH(D42,$C$5:$C$7,0))</f>
        <v/>
      </c>
      <c r="H42" s="72" t="inlineStr">
        <is>
          <t>2428 Eagles Eyrie-5</t>
        </is>
      </c>
      <c r="I42" s="72" t="inlineStr">
        <is>
          <t>2x2</t>
        </is>
      </c>
      <c r="J42" s="80" t="n">
        <v>1300</v>
      </c>
      <c r="K42" s="72" t="inlineStr">
        <is>
          <t>Cole, Latasha</t>
        </is>
      </c>
      <c r="L42" s="81" t="n">
        <v>1255</v>
      </c>
      <c r="M42" s="81">
        <f>Y42</f>
        <v/>
      </c>
      <c r="N42" s="82" t="n">
        <v>44420</v>
      </c>
      <c r="O42" s="82" t="n">
        <v>46209</v>
      </c>
      <c r="P42" s="82" t="n">
        <v>46579</v>
      </c>
      <c r="R42" s="81" t="n">
        <v>0</v>
      </c>
      <c r="S42" s="81" t="n">
        <v>0</v>
      </c>
      <c r="T42" s="81" t="n">
        <v>0</v>
      </c>
      <c r="Y42" s="81" t="n">
        <v>1276</v>
      </c>
    </row>
    <row r="43">
      <c r="A43" s="72">
        <f>$D$20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INDEX($C$5:$C$7,MATCH(I43,$D$5:$D$7,0))</f>
        <v/>
      </c>
      <c r="E43" s="72">
        <f>INDEX($E$5:$E$7,MATCH(D43,$C$5:$C$7,0))</f>
        <v/>
      </c>
      <c r="F43" s="72">
        <f>INDEX($F$5:$F$7,MATCH(D43,$C$5:$C$7,0))</f>
        <v/>
      </c>
      <c r="G43" s="72">
        <f>INDEX($G$5:$G$7,MATCH(D43,$C$5:$C$7,0))</f>
        <v/>
      </c>
      <c r="H43" s="72" t="inlineStr">
        <is>
          <t>2428 Eagles Eyrie-6</t>
        </is>
      </c>
      <c r="I43" s="72" t="inlineStr">
        <is>
          <t>2x2</t>
        </is>
      </c>
      <c r="J43" s="80" t="n">
        <v>1300</v>
      </c>
      <c r="K43" s="72" t="inlineStr">
        <is>
          <t>Brown, Termell</t>
        </is>
      </c>
      <c r="L43" s="81" t="n">
        <v>1280</v>
      </c>
      <c r="M43" s="81">
        <f>Y43</f>
        <v/>
      </c>
      <c r="N43" s="82" t="n">
        <v>46148</v>
      </c>
      <c r="O43" s="82" t="n">
        <v>46148</v>
      </c>
      <c r="P43" s="82" t="n">
        <v>46488</v>
      </c>
      <c r="R43" s="81" t="n">
        <v>0</v>
      </c>
      <c r="S43" s="81" t="n">
        <v>0</v>
      </c>
      <c r="T43" s="81" t="n">
        <v>0</v>
      </c>
      <c r="Y43" s="81" t="n">
        <v>1214</v>
      </c>
    </row>
    <row r="44">
      <c r="A44" s="72">
        <f>$D$20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INDEX($C$5:$C$7,MATCH(I44,$D$5:$D$7,0))</f>
        <v/>
      </c>
      <c r="E44" s="72">
        <f>INDEX($E$5:$E$7,MATCH(D44,$C$5:$C$7,0))</f>
        <v/>
      </c>
      <c r="F44" s="72">
        <f>INDEX($F$5:$F$7,MATCH(D44,$C$5:$C$7,0))</f>
        <v/>
      </c>
      <c r="G44" s="72">
        <f>INDEX($G$5:$G$7,MATCH(D44,$C$5:$C$7,0))</f>
        <v/>
      </c>
      <c r="H44" s="72" t="inlineStr">
        <is>
          <t>2429 Idlewylde Ct-1</t>
        </is>
      </c>
      <c r="I44" s="72" t="inlineStr">
        <is>
          <t>2x2 Townhouse</t>
        </is>
      </c>
      <c r="J44" s="80" t="n">
        <v>1300</v>
      </c>
      <c r="K44" s="72" t="inlineStr">
        <is>
          <t>haney, rose</t>
        </is>
      </c>
      <c r="L44" s="81" t="n">
        <v>1394</v>
      </c>
      <c r="M44" s="81">
        <f>Y44</f>
        <v/>
      </c>
      <c r="N44" s="82" t="n">
        <v>46251</v>
      </c>
      <c r="O44" s="82" t="n">
        <v>46251</v>
      </c>
      <c r="P44" s="82" t="n">
        <v>46621</v>
      </c>
      <c r="R44" s="81" t="n">
        <v>0</v>
      </c>
      <c r="S44" s="81" t="n">
        <v>0</v>
      </c>
      <c r="T44" s="81" t="n">
        <v>0</v>
      </c>
      <c r="Y44" s="81" t="n">
        <v>1295</v>
      </c>
    </row>
    <row r="45">
      <c r="A45" s="72">
        <f>$D$20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INDEX($C$5:$C$7,MATCH(I45,$D$5:$D$7,0))</f>
        <v/>
      </c>
      <c r="E45" s="72">
        <f>INDEX($E$5:$E$7,MATCH(D45,$C$5:$C$7,0))</f>
        <v/>
      </c>
      <c r="F45" s="72">
        <f>INDEX($F$5:$F$7,MATCH(D45,$C$5:$C$7,0))</f>
        <v/>
      </c>
      <c r="G45" s="72">
        <f>INDEX($G$5:$G$7,MATCH(D45,$C$5:$C$7,0))</f>
        <v/>
      </c>
      <c r="H45" s="72" t="inlineStr">
        <is>
          <t>2429 N Peterson Ct-1</t>
        </is>
      </c>
      <c r="I45" s="72" t="inlineStr">
        <is>
          <t>2x2 Townhouse</t>
        </is>
      </c>
      <c r="J45" s="80" t="n">
        <v>1300</v>
      </c>
      <c r="K45" s="72" t="inlineStr">
        <is>
          <t>Outland, Bradley</t>
        </is>
      </c>
      <c r="L45" s="81" t="n">
        <v>1319</v>
      </c>
      <c r="M45" s="81">
        <f>Y45</f>
        <v/>
      </c>
      <c r="N45" s="82" t="n">
        <v>45429</v>
      </c>
      <c r="O45" s="82" t="n">
        <v>46174</v>
      </c>
      <c r="P45" s="82" t="n">
        <v>46544</v>
      </c>
      <c r="R45" s="81" t="n">
        <v>0</v>
      </c>
      <c r="S45" s="81" t="n">
        <v>0</v>
      </c>
      <c r="T45" s="81" t="n">
        <v>0</v>
      </c>
      <c r="Y45" s="81" t="n">
        <v>1300</v>
      </c>
    </row>
    <row r="46">
      <c r="A46" s="72">
        <f>$D$20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INDEX($C$5:$C$7,MATCH(I46,$D$5:$D$7,0))</f>
        <v/>
      </c>
      <c r="E46" s="72">
        <f>INDEX($E$5:$E$7,MATCH(D46,$C$5:$C$7,0))</f>
        <v/>
      </c>
      <c r="F46" s="72">
        <f>INDEX($F$5:$F$7,MATCH(D46,$C$5:$C$7,0))</f>
        <v/>
      </c>
      <c r="G46" s="72">
        <f>INDEX($G$5:$G$7,MATCH(D46,$C$5:$C$7,0))</f>
        <v/>
      </c>
      <c r="H46" s="72" t="inlineStr">
        <is>
          <t>2430 Eagles Eyrie-1</t>
        </is>
      </c>
      <c r="I46" s="72" t="inlineStr">
        <is>
          <t>2x2</t>
        </is>
      </c>
      <c r="J46" s="80" t="n">
        <v>1300</v>
      </c>
      <c r="K46" s="72" t="inlineStr">
        <is>
          <t>Capossela, David</t>
        </is>
      </c>
      <c r="L46" s="81" t="n">
        <v>1205</v>
      </c>
      <c r="M46" s="81">
        <f>Y46</f>
        <v/>
      </c>
      <c r="N46" s="82" t="n">
        <v>44407</v>
      </c>
      <c r="O46" s="82" t="n">
        <v>46209</v>
      </c>
      <c r="P46" s="82" t="n">
        <v>46579</v>
      </c>
      <c r="R46" s="81" t="n">
        <v>0</v>
      </c>
      <c r="S46" s="81" t="n">
        <v>0</v>
      </c>
      <c r="T46" s="81" t="n">
        <v>0</v>
      </c>
      <c r="Y46" s="81" t="n">
        <v>1126</v>
      </c>
    </row>
    <row r="47">
      <c r="A47" s="72">
        <f>$D$20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INDEX($C$5:$C$7,MATCH(I47,$D$5:$D$7,0))</f>
        <v/>
      </c>
      <c r="E47" s="72">
        <f>INDEX($E$5:$E$7,MATCH(D47,$C$5:$C$7,0))</f>
        <v/>
      </c>
      <c r="F47" s="72">
        <f>INDEX($F$5:$F$7,MATCH(D47,$C$5:$C$7,0))</f>
        <v/>
      </c>
      <c r="G47" s="72">
        <f>INDEX($G$5:$G$7,MATCH(D47,$C$5:$C$7,0))</f>
        <v/>
      </c>
      <c r="H47" s="72" t="inlineStr">
        <is>
          <t>2430 Eagles Eyrie-2</t>
        </is>
      </c>
      <c r="I47" s="72" t="inlineStr">
        <is>
          <t>2x2</t>
        </is>
      </c>
      <c r="J47" s="80" t="n">
        <v>1300</v>
      </c>
      <c r="K47" s="72" t="inlineStr">
        <is>
          <t>Cash, Alexis</t>
        </is>
      </c>
      <c r="L47" s="81" t="n">
        <v>1205</v>
      </c>
      <c r="M47" s="81">
        <f>Y47</f>
        <v/>
      </c>
      <c r="N47" s="82" t="n">
        <v>45170</v>
      </c>
      <c r="O47" s="82" t="n">
        <v>46209</v>
      </c>
      <c r="P47" s="82" t="n">
        <v>46579</v>
      </c>
      <c r="R47" s="81" t="n">
        <v>0</v>
      </c>
      <c r="S47" s="81" t="n">
        <v>0</v>
      </c>
      <c r="T47" s="81" t="n">
        <v>0</v>
      </c>
      <c r="Y47" s="81" t="n">
        <v>1180</v>
      </c>
    </row>
    <row r="48">
      <c r="A48" s="72">
        <f>$D$20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INDEX($C$5:$C$7,MATCH(I48,$D$5:$D$7,0))</f>
        <v/>
      </c>
      <c r="E48" s="72">
        <f>INDEX($E$5:$E$7,MATCH(D48,$C$5:$C$7,0))</f>
        <v/>
      </c>
      <c r="F48" s="72">
        <f>INDEX($F$5:$F$7,MATCH(D48,$C$5:$C$7,0))</f>
        <v/>
      </c>
      <c r="G48" s="72">
        <f>INDEX($G$5:$G$7,MATCH(D48,$C$5:$C$7,0))</f>
        <v/>
      </c>
      <c r="H48" s="72" t="inlineStr">
        <is>
          <t>2431 Idlewylde Ct-1</t>
        </is>
      </c>
      <c r="I48" s="72" t="inlineStr">
        <is>
          <t>3x3 Townhouse</t>
        </is>
      </c>
      <c r="J48" s="80" t="n">
        <v>1600</v>
      </c>
      <c r="K48" s="72" t="inlineStr">
        <is>
          <t>Smith, Tyrone</t>
        </is>
      </c>
      <c r="L48" s="81" t="n">
        <v>1525</v>
      </c>
      <c r="M48" s="81">
        <f>Y48</f>
        <v/>
      </c>
      <c r="N48" s="82" t="n">
        <v>44393</v>
      </c>
      <c r="O48" s="82" t="n">
        <v>45962</v>
      </c>
      <c r="P48" s="82" t="n">
        <v>46299</v>
      </c>
      <c r="R48" s="81" t="n">
        <v>0</v>
      </c>
      <c r="S48" s="81" t="n">
        <v>0</v>
      </c>
      <c r="T48" s="81" t="n">
        <v>0</v>
      </c>
      <c r="Y48" s="81" t="n">
        <v>1465</v>
      </c>
    </row>
    <row r="49">
      <c r="A49" s="72">
        <f>$D$20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INDEX($C$5:$C$7,MATCH(I49,$D$5:$D$7,0))</f>
        <v/>
      </c>
      <c r="E49" s="72">
        <f>INDEX($E$5:$E$7,MATCH(D49,$C$5:$C$7,0))</f>
        <v/>
      </c>
      <c r="F49" s="72">
        <f>INDEX($F$5:$F$7,MATCH(D49,$C$5:$C$7,0))</f>
        <v/>
      </c>
      <c r="G49" s="72">
        <f>INDEX($G$5:$G$7,MATCH(D49,$C$5:$C$7,0))</f>
        <v/>
      </c>
      <c r="H49" s="72" t="inlineStr">
        <is>
          <t>2431 N Peterson Ct-1</t>
        </is>
      </c>
      <c r="I49" s="72" t="inlineStr">
        <is>
          <t>3x3 Townhouse</t>
        </is>
      </c>
      <c r="J49" s="80" t="n">
        <v>1600</v>
      </c>
      <c r="K49" s="72" t="inlineStr">
        <is>
          <t>Vance, James</t>
        </is>
      </c>
      <c r="L49" s="81" t="n">
        <v>1584</v>
      </c>
      <c r="M49" s="81">
        <f>Y49</f>
        <v/>
      </c>
      <c r="N49" s="82" t="n">
        <v>45177</v>
      </c>
      <c r="O49" s="82" t="n">
        <v>45931</v>
      </c>
      <c r="P49" s="82" t="n">
        <v>46299</v>
      </c>
      <c r="R49" s="81" t="n">
        <v>0</v>
      </c>
      <c r="S49" s="81" t="n">
        <v>0</v>
      </c>
      <c r="T49" s="81" t="n">
        <v>0</v>
      </c>
      <c r="Y49" s="81" t="n">
        <v>1405</v>
      </c>
    </row>
    <row r="50">
      <c r="A50" s="83">
        <f>$D$20</f>
        <v/>
      </c>
      <c r="B50" s="83">
        <f>B49+1</f>
        <v/>
      </c>
      <c r="C50" s="83">
        <f>IF(K50="Vacant","Vac",IF(K50="Model","Model",IF(K50="Admin","Admin",IF(K50="Down","Down",IF(K50="Super","Super","Occ")))))</f>
        <v/>
      </c>
      <c r="D50" s="83">
        <f>INDEX($C$5:$C$7,MATCH(I50,$D$5:$D$7,0))</f>
        <v/>
      </c>
      <c r="E50" s="83">
        <f>INDEX($E$5:$E$7,MATCH(D50,$C$5:$C$7,0))</f>
        <v/>
      </c>
      <c r="F50" s="83">
        <f>INDEX($F$5:$F$7,MATCH(D50,$C$5:$C$7,0))</f>
        <v/>
      </c>
      <c r="G50" s="83">
        <f>INDEX($G$5:$G$7,MATCH(D50,$C$5:$C$7,0))</f>
        <v/>
      </c>
      <c r="H50" s="83" t="inlineStr">
        <is>
          <t>2432 Eagles Eyrie-3</t>
        </is>
      </c>
      <c r="I50" s="83" t="inlineStr">
        <is>
          <t>2x2</t>
        </is>
      </c>
      <c r="J50" s="84" t="n">
        <v>1300</v>
      </c>
      <c r="K50" s="83" t="inlineStr">
        <is>
          <t>Vacant</t>
        </is>
      </c>
      <c r="L50" s="85" t="n">
        <v>1174</v>
      </c>
      <c r="M50" s="85">
        <f>Y50</f>
        <v/>
      </c>
      <c r="N50" s="86" t="n"/>
      <c r="O50" s="86" t="n"/>
      <c r="P50" s="86" t="n"/>
      <c r="Q50" s="86" t="n"/>
      <c r="R50" s="85" t="n">
        <v>0</v>
      </c>
      <c r="S50" s="85" t="n">
        <v>0</v>
      </c>
      <c r="T50" s="85" t="n">
        <v>0</v>
      </c>
      <c r="U50" s="86" t="n"/>
      <c r="V50" s="86" t="n"/>
      <c r="W50" s="86" t="n"/>
      <c r="X50" s="86" t="n"/>
      <c r="Y50" s="85" t="n">
        <v>0</v>
      </c>
    </row>
    <row r="51">
      <c r="A51" s="72">
        <f>$D$20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INDEX($C$5:$C$7,MATCH(I51,$D$5:$D$7,0))</f>
        <v/>
      </c>
      <c r="E51" s="72">
        <f>INDEX($E$5:$E$7,MATCH(D51,$C$5:$C$7,0))</f>
        <v/>
      </c>
      <c r="F51" s="72">
        <f>INDEX($F$5:$F$7,MATCH(D51,$C$5:$C$7,0))</f>
        <v/>
      </c>
      <c r="G51" s="72">
        <f>INDEX($G$5:$G$7,MATCH(D51,$C$5:$C$7,0))</f>
        <v/>
      </c>
      <c r="H51" s="72" t="inlineStr">
        <is>
          <t>2432 Eagles Eyrie-4</t>
        </is>
      </c>
      <c r="I51" s="72" t="inlineStr">
        <is>
          <t>2x2</t>
        </is>
      </c>
      <c r="J51" s="80" t="n">
        <v>1300</v>
      </c>
      <c r="K51" s="72" t="inlineStr">
        <is>
          <t>Fenner, Chris</t>
        </is>
      </c>
      <c r="L51" s="81" t="n">
        <v>1255</v>
      </c>
      <c r="M51" s="81">
        <f>Y51</f>
        <v/>
      </c>
      <c r="N51" s="82" t="n">
        <v>45702</v>
      </c>
      <c r="O51" s="82" t="n">
        <v>46160</v>
      </c>
      <c r="P51" s="82" t="n">
        <v>46530</v>
      </c>
      <c r="R51" s="81" t="n">
        <v>0</v>
      </c>
      <c r="S51" s="81" t="n">
        <v>0</v>
      </c>
      <c r="T51" s="81" t="n">
        <v>0</v>
      </c>
      <c r="Y51" s="81" t="n">
        <v>1180</v>
      </c>
    </row>
    <row r="52">
      <c r="A52" s="72">
        <f>$D$20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INDEX($C$5:$C$7,MATCH(I52,$D$5:$D$7,0))</f>
        <v/>
      </c>
      <c r="E52" s="72">
        <f>INDEX($E$5:$E$7,MATCH(D52,$C$5:$C$7,0))</f>
        <v/>
      </c>
      <c r="F52" s="72">
        <f>INDEX($F$5:$F$7,MATCH(D52,$C$5:$C$7,0))</f>
        <v/>
      </c>
      <c r="G52" s="72">
        <f>INDEX($G$5:$G$7,MATCH(D52,$C$5:$C$7,0))</f>
        <v/>
      </c>
      <c r="H52" s="72" t="inlineStr">
        <is>
          <t>2432 Eagles Eyrie-5</t>
        </is>
      </c>
      <c r="I52" s="72" t="inlineStr">
        <is>
          <t>2x2</t>
        </is>
      </c>
      <c r="J52" s="80" t="n">
        <v>1300</v>
      </c>
      <c r="K52" s="72" t="inlineStr">
        <is>
          <t>Davis, Junion</t>
        </is>
      </c>
      <c r="L52" s="81" t="n">
        <v>1205</v>
      </c>
      <c r="M52" s="81">
        <f>Y52</f>
        <v/>
      </c>
      <c r="N52" s="82" t="n">
        <v>45772</v>
      </c>
      <c r="O52" s="82" t="n">
        <v>46146</v>
      </c>
      <c r="P52" s="82" t="n">
        <v>46516</v>
      </c>
      <c r="R52" s="81" t="n">
        <v>0</v>
      </c>
      <c r="S52" s="81" t="n">
        <v>0</v>
      </c>
      <c r="T52" s="81" t="n">
        <v>0</v>
      </c>
      <c r="Y52" s="81" t="n">
        <v>1154</v>
      </c>
    </row>
    <row r="53">
      <c r="A53" s="72">
        <f>$D$20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INDEX($C$5:$C$7,MATCH(I53,$D$5:$D$7,0))</f>
        <v/>
      </c>
      <c r="E53" s="72">
        <f>INDEX($E$5:$E$7,MATCH(D53,$C$5:$C$7,0))</f>
        <v/>
      </c>
      <c r="F53" s="72">
        <f>INDEX($F$5:$F$7,MATCH(D53,$C$5:$C$7,0))</f>
        <v/>
      </c>
      <c r="G53" s="72">
        <f>INDEX($G$5:$G$7,MATCH(D53,$C$5:$C$7,0))</f>
        <v/>
      </c>
      <c r="H53" s="72" t="inlineStr">
        <is>
          <t>2432 Eagles Eyrie-6</t>
        </is>
      </c>
      <c r="I53" s="72" t="inlineStr">
        <is>
          <t>2x2</t>
        </is>
      </c>
      <c r="J53" s="80" t="n">
        <v>1300</v>
      </c>
      <c r="K53" s="72" t="inlineStr">
        <is>
          <t>Bohn, Noah</t>
        </is>
      </c>
      <c r="L53" s="81" t="n">
        <v>1330</v>
      </c>
      <c r="M53" s="81">
        <f>Y53</f>
        <v/>
      </c>
      <c r="N53" s="82" t="n">
        <v>45915</v>
      </c>
      <c r="O53" s="82" t="n">
        <v>45915</v>
      </c>
      <c r="P53" s="82" t="n">
        <v>46285</v>
      </c>
      <c r="R53" s="81" t="n">
        <v>0</v>
      </c>
      <c r="S53" s="81" t="n">
        <v>0</v>
      </c>
      <c r="T53" s="81" t="n">
        <v>0</v>
      </c>
      <c r="Y53" s="81" t="n">
        <v>1309</v>
      </c>
    </row>
    <row r="54">
      <c r="A54" s="72">
        <f>$D$20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INDEX($C$5:$C$7,MATCH(I54,$D$5:$D$7,0))</f>
        <v/>
      </c>
      <c r="E54" s="72">
        <f>INDEX($E$5:$E$7,MATCH(D54,$C$5:$C$7,0))</f>
        <v/>
      </c>
      <c r="F54" s="72">
        <f>INDEX($F$5:$F$7,MATCH(D54,$C$5:$C$7,0))</f>
        <v/>
      </c>
      <c r="G54" s="72">
        <f>INDEX($G$5:$G$7,MATCH(D54,$C$5:$C$7,0))</f>
        <v/>
      </c>
      <c r="H54" s="72" t="inlineStr">
        <is>
          <t>2433 Idlewylde Ct-1</t>
        </is>
      </c>
      <c r="I54" s="72" t="inlineStr">
        <is>
          <t>2x2 Townhouse</t>
        </is>
      </c>
      <c r="J54" s="80" t="n">
        <v>1300</v>
      </c>
      <c r="K54" s="72" t="inlineStr">
        <is>
          <t>Ghramm, Malia</t>
        </is>
      </c>
      <c r="L54" s="81" t="n">
        <v>1394</v>
      </c>
      <c r="M54" s="81">
        <f>Y54</f>
        <v/>
      </c>
      <c r="N54" s="82" t="n">
        <v>45992</v>
      </c>
      <c r="O54" s="82" t="n">
        <v>45992</v>
      </c>
      <c r="P54" s="82" t="n">
        <v>46299</v>
      </c>
      <c r="R54" s="81" t="n">
        <v>0</v>
      </c>
      <c r="S54" s="81" t="n">
        <v>0</v>
      </c>
      <c r="T54" s="81" t="n">
        <v>0</v>
      </c>
      <c r="Y54" s="81" t="n">
        <v>1385</v>
      </c>
    </row>
    <row r="55">
      <c r="A55" s="72">
        <f>$D$20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INDEX($C$5:$C$7,MATCH(I55,$D$5:$D$7,0))</f>
        <v/>
      </c>
      <c r="E55" s="72">
        <f>INDEX($E$5:$E$7,MATCH(D55,$C$5:$C$7,0))</f>
        <v/>
      </c>
      <c r="F55" s="72">
        <f>INDEX($F$5:$F$7,MATCH(D55,$C$5:$C$7,0))</f>
        <v/>
      </c>
      <c r="G55" s="72">
        <f>INDEX($G$5:$G$7,MATCH(D55,$C$5:$C$7,0))</f>
        <v/>
      </c>
      <c r="H55" s="72" t="inlineStr">
        <is>
          <t>2433 N Peterson Ct-1</t>
        </is>
      </c>
      <c r="I55" s="72" t="inlineStr">
        <is>
          <t>2x2 Townhouse</t>
        </is>
      </c>
      <c r="J55" s="80" t="n">
        <v>1300</v>
      </c>
      <c r="K55" s="72" t="inlineStr">
        <is>
          <t>Tarbis, Evan</t>
        </is>
      </c>
      <c r="L55" s="81" t="n">
        <v>1319</v>
      </c>
      <c r="M55" s="81">
        <f>Y55</f>
        <v/>
      </c>
      <c r="N55" s="82" t="n">
        <v>44927</v>
      </c>
      <c r="O55" s="82" t="n">
        <v>46118</v>
      </c>
      <c r="P55" s="82" t="n">
        <v>46488</v>
      </c>
      <c r="R55" s="81" t="n">
        <v>0</v>
      </c>
      <c r="S55" s="81" t="n">
        <v>0</v>
      </c>
      <c r="T55" s="81" t="n">
        <v>0</v>
      </c>
      <c r="Y55" s="81" t="n">
        <v>1278</v>
      </c>
    </row>
    <row r="56">
      <c r="A56" s="72">
        <f>$D$20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INDEX($C$5:$C$7,MATCH(I56,$D$5:$D$7,0))</f>
        <v/>
      </c>
      <c r="E56" s="72">
        <f>INDEX($E$5:$E$7,MATCH(D56,$C$5:$C$7,0))</f>
        <v/>
      </c>
      <c r="F56" s="72">
        <f>INDEX($F$5:$F$7,MATCH(D56,$C$5:$C$7,0))</f>
        <v/>
      </c>
      <c r="G56" s="72">
        <f>INDEX($G$5:$G$7,MATCH(D56,$C$5:$C$7,0))</f>
        <v/>
      </c>
      <c r="H56" s="72" t="inlineStr">
        <is>
          <t>2434 Eagles Eyrie-1</t>
        </is>
      </c>
      <c r="I56" s="72" t="inlineStr">
        <is>
          <t>2x2</t>
        </is>
      </c>
      <c r="J56" s="80" t="n">
        <v>1300</v>
      </c>
      <c r="K56" s="72" t="inlineStr">
        <is>
          <t>Wilbers, Seth</t>
        </is>
      </c>
      <c r="L56" s="81" t="n">
        <v>1280</v>
      </c>
      <c r="M56" s="81">
        <f>Y56</f>
        <v/>
      </c>
      <c r="N56" s="82" t="n">
        <v>46130</v>
      </c>
      <c r="O56" s="82" t="n">
        <v>46130</v>
      </c>
      <c r="P56" s="82" t="n">
        <v>46467</v>
      </c>
      <c r="R56" s="81" t="n">
        <v>0</v>
      </c>
      <c r="S56" s="81" t="n">
        <v>0</v>
      </c>
      <c r="T56" s="81" t="n">
        <v>0</v>
      </c>
      <c r="Y56" s="81" t="n">
        <v>1253</v>
      </c>
    </row>
    <row r="57">
      <c r="A57" s="72">
        <f>$D$20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INDEX($C$5:$C$7,MATCH(I57,$D$5:$D$7,0))</f>
        <v/>
      </c>
      <c r="E57" s="72">
        <f>INDEX($E$5:$E$7,MATCH(D57,$C$5:$C$7,0))</f>
        <v/>
      </c>
      <c r="F57" s="72">
        <f>INDEX($F$5:$F$7,MATCH(D57,$C$5:$C$7,0))</f>
        <v/>
      </c>
      <c r="G57" s="72">
        <f>INDEX($G$5:$G$7,MATCH(D57,$C$5:$C$7,0))</f>
        <v/>
      </c>
      <c r="H57" s="72" t="inlineStr">
        <is>
          <t>2434 Eagles Eyrie-2</t>
        </is>
      </c>
      <c r="I57" s="72" t="inlineStr">
        <is>
          <t>2x2</t>
        </is>
      </c>
      <c r="J57" s="80" t="n">
        <v>1300</v>
      </c>
      <c r="K57" s="72" t="inlineStr">
        <is>
          <t>Zinious, John</t>
        </is>
      </c>
      <c r="L57" s="81" t="n">
        <v>1205</v>
      </c>
      <c r="M57" s="81">
        <f>Y57</f>
        <v/>
      </c>
      <c r="N57" s="82" t="n">
        <v>44435</v>
      </c>
      <c r="O57" s="82" t="n">
        <v>46209</v>
      </c>
      <c r="P57" s="82" t="n">
        <v>46579</v>
      </c>
      <c r="R57" s="81" t="n">
        <v>0</v>
      </c>
      <c r="S57" s="81" t="n">
        <v>0</v>
      </c>
      <c r="T57" s="81" t="n">
        <v>0</v>
      </c>
      <c r="Y57" s="81" t="n">
        <v>1159</v>
      </c>
    </row>
    <row r="58">
      <c r="A58" s="72">
        <f>$D$20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INDEX($C$5:$C$7,MATCH(I58,$D$5:$D$7,0))</f>
        <v/>
      </c>
      <c r="E58" s="72">
        <f>INDEX($E$5:$E$7,MATCH(D58,$C$5:$C$7,0))</f>
        <v/>
      </c>
      <c r="F58" s="72">
        <f>INDEX($F$5:$F$7,MATCH(D58,$C$5:$C$7,0))</f>
        <v/>
      </c>
      <c r="G58" s="72">
        <f>INDEX($G$5:$G$7,MATCH(D58,$C$5:$C$7,0))</f>
        <v/>
      </c>
      <c r="H58" s="72" t="inlineStr">
        <is>
          <t>2435 Idlewylde Ct-1</t>
        </is>
      </c>
      <c r="I58" s="72" t="inlineStr">
        <is>
          <t>3x3 Townhouse</t>
        </is>
      </c>
      <c r="J58" s="80" t="n">
        <v>1600</v>
      </c>
      <c r="K58" s="72" t="inlineStr">
        <is>
          <t>McCray, William</t>
        </is>
      </c>
      <c r="L58" s="81" t="n">
        <v>1584</v>
      </c>
      <c r="M58" s="81">
        <f>Y58</f>
        <v/>
      </c>
      <c r="N58" s="82" t="n">
        <v>45268</v>
      </c>
      <c r="O58" s="82" t="n">
        <v>46118</v>
      </c>
      <c r="P58" s="82" t="n">
        <v>46488</v>
      </c>
      <c r="R58" s="81" t="n">
        <v>0</v>
      </c>
      <c r="S58" s="81" t="n">
        <v>0</v>
      </c>
      <c r="T58" s="81" t="n">
        <v>0</v>
      </c>
      <c r="Y58" s="81" t="n">
        <v>1310</v>
      </c>
    </row>
    <row r="59">
      <c r="A59" s="72">
        <f>$D$20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INDEX($C$5:$C$7,MATCH(I59,$D$5:$D$7,0))</f>
        <v/>
      </c>
      <c r="E59" s="72">
        <f>INDEX($E$5:$E$7,MATCH(D59,$C$5:$C$7,0))</f>
        <v/>
      </c>
      <c r="F59" s="72">
        <f>INDEX($F$5:$F$7,MATCH(D59,$C$5:$C$7,0))</f>
        <v/>
      </c>
      <c r="G59" s="72">
        <f>INDEX($G$5:$G$7,MATCH(D59,$C$5:$C$7,0))</f>
        <v/>
      </c>
      <c r="H59" s="72" t="inlineStr">
        <is>
          <t>2435 N Peterson Ct-1</t>
        </is>
      </c>
      <c r="I59" s="72" t="inlineStr">
        <is>
          <t>3x3 Townhouse</t>
        </is>
      </c>
      <c r="J59" s="80" t="n">
        <v>1600</v>
      </c>
      <c r="K59" s="72" t="inlineStr">
        <is>
          <t>Dailey, Emma</t>
        </is>
      </c>
      <c r="L59" s="81" t="n">
        <v>1584</v>
      </c>
      <c r="M59" s="81">
        <f>Y59</f>
        <v/>
      </c>
      <c r="N59" s="82" t="n">
        <v>41365</v>
      </c>
      <c r="O59" s="82" t="n">
        <v>46118</v>
      </c>
      <c r="P59" s="82" t="n">
        <v>46488</v>
      </c>
      <c r="R59" s="81" t="n">
        <v>0</v>
      </c>
      <c r="S59" s="81" t="n">
        <v>0</v>
      </c>
      <c r="T59" s="81" t="n">
        <v>0</v>
      </c>
      <c r="Y59" s="81" t="n">
        <v>1488</v>
      </c>
    </row>
    <row r="60">
      <c r="A60" s="72">
        <f>$D$20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INDEX($C$5:$C$7,MATCH(I60,$D$5:$D$7,0))</f>
        <v/>
      </c>
      <c r="E60" s="72">
        <f>INDEX($E$5:$E$7,MATCH(D60,$C$5:$C$7,0))</f>
        <v/>
      </c>
      <c r="F60" s="72">
        <f>INDEX($F$5:$F$7,MATCH(D60,$C$5:$C$7,0))</f>
        <v/>
      </c>
      <c r="G60" s="72">
        <f>INDEX($G$5:$G$7,MATCH(D60,$C$5:$C$7,0))</f>
        <v/>
      </c>
      <c r="H60" s="72" t="inlineStr">
        <is>
          <t>2436 Eagles Eyrie-3</t>
        </is>
      </c>
      <c r="I60" s="72" t="inlineStr">
        <is>
          <t>2x2</t>
        </is>
      </c>
      <c r="J60" s="80" t="n">
        <v>1300</v>
      </c>
      <c r="K60" s="72" t="inlineStr">
        <is>
          <t>MeNefee, Marian</t>
        </is>
      </c>
      <c r="L60" s="81" t="n">
        <v>1205</v>
      </c>
      <c r="M60" s="81">
        <f>Y60</f>
        <v/>
      </c>
      <c r="N60" s="82" t="n">
        <v>42552</v>
      </c>
      <c r="O60" s="82" t="n">
        <v>46209</v>
      </c>
      <c r="P60" s="82" t="n">
        <v>46579</v>
      </c>
      <c r="R60" s="81" t="n">
        <v>0</v>
      </c>
      <c r="S60" s="81" t="n">
        <v>0</v>
      </c>
      <c r="T60" s="81" t="n">
        <v>0</v>
      </c>
      <c r="Y60" s="81" t="n">
        <v>1159</v>
      </c>
    </row>
    <row r="61">
      <c r="A61" s="72">
        <f>$D$20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INDEX($C$5:$C$7,MATCH(I61,$D$5:$D$7,0))</f>
        <v/>
      </c>
      <c r="E61" s="72">
        <f>INDEX($E$5:$E$7,MATCH(D61,$C$5:$C$7,0))</f>
        <v/>
      </c>
      <c r="F61" s="72">
        <f>INDEX($F$5:$F$7,MATCH(D61,$C$5:$C$7,0))</f>
        <v/>
      </c>
      <c r="G61" s="72">
        <f>INDEX($G$5:$G$7,MATCH(D61,$C$5:$C$7,0))</f>
        <v/>
      </c>
      <c r="H61" s="72" t="inlineStr">
        <is>
          <t>2436 Eagles Eyrie-4</t>
        </is>
      </c>
      <c r="I61" s="72" t="inlineStr">
        <is>
          <t>2x2</t>
        </is>
      </c>
      <c r="J61" s="80" t="n">
        <v>1300</v>
      </c>
      <c r="K61" s="72" t="inlineStr">
        <is>
          <t>Exum, Connor</t>
        </is>
      </c>
      <c r="L61" s="81" t="n">
        <v>1205</v>
      </c>
      <c r="M61" s="81">
        <f>Y61</f>
        <v/>
      </c>
      <c r="N61" s="82" t="n">
        <v>45751</v>
      </c>
      <c r="O61" s="82" t="n">
        <v>46153</v>
      </c>
      <c r="P61" s="82" t="n">
        <v>46523</v>
      </c>
      <c r="R61" s="81" t="n">
        <v>0</v>
      </c>
      <c r="S61" s="81" t="n">
        <v>0</v>
      </c>
      <c r="T61" s="81" t="n">
        <v>0</v>
      </c>
      <c r="Y61" s="81" t="n">
        <v>1173</v>
      </c>
    </row>
    <row r="62">
      <c r="A62" s="72">
        <f>$D$20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INDEX($C$5:$C$7,MATCH(I62,$D$5:$D$7,0))</f>
        <v/>
      </c>
      <c r="E62" s="72">
        <f>INDEX($E$5:$E$7,MATCH(D62,$C$5:$C$7,0))</f>
        <v/>
      </c>
      <c r="F62" s="72">
        <f>INDEX($F$5:$F$7,MATCH(D62,$C$5:$C$7,0))</f>
        <v/>
      </c>
      <c r="G62" s="72">
        <f>INDEX($G$5:$G$7,MATCH(D62,$C$5:$C$7,0))</f>
        <v/>
      </c>
      <c r="H62" s="72" t="inlineStr">
        <is>
          <t>2436 Eagles Eyrie-5</t>
        </is>
      </c>
      <c r="I62" s="72" t="inlineStr">
        <is>
          <t>2x2</t>
        </is>
      </c>
      <c r="J62" s="80" t="n">
        <v>1300</v>
      </c>
      <c r="K62" s="72" t="inlineStr">
        <is>
          <t>Quispe Mendoza, Elvira</t>
        </is>
      </c>
      <c r="L62" s="81" t="n">
        <v>1280</v>
      </c>
      <c r="M62" s="81">
        <f>Y62</f>
        <v/>
      </c>
      <c r="N62" s="82" t="n">
        <v>46164</v>
      </c>
      <c r="O62" s="82" t="n">
        <v>46164</v>
      </c>
      <c r="P62" s="82" t="n">
        <v>46467</v>
      </c>
      <c r="R62" s="81" t="n">
        <v>0</v>
      </c>
      <c r="S62" s="81" t="n">
        <v>0</v>
      </c>
      <c r="T62" s="81" t="n">
        <v>0</v>
      </c>
      <c r="Y62" s="81" t="n">
        <v>1252</v>
      </c>
    </row>
    <row r="63">
      <c r="A63" s="72">
        <f>$D$20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INDEX($C$5:$C$7,MATCH(I63,$D$5:$D$7,0))</f>
        <v/>
      </c>
      <c r="E63" s="72">
        <f>INDEX($E$5:$E$7,MATCH(D63,$C$5:$C$7,0))</f>
        <v/>
      </c>
      <c r="F63" s="72">
        <f>INDEX($F$5:$F$7,MATCH(D63,$C$5:$C$7,0))</f>
        <v/>
      </c>
      <c r="G63" s="72">
        <f>INDEX($G$5:$G$7,MATCH(D63,$C$5:$C$7,0))</f>
        <v/>
      </c>
      <c r="H63" s="72" t="inlineStr">
        <is>
          <t>2436 Eagles Eyrie-6</t>
        </is>
      </c>
      <c r="I63" s="72" t="inlineStr">
        <is>
          <t>2x2</t>
        </is>
      </c>
      <c r="J63" s="80" t="n">
        <v>1300</v>
      </c>
      <c r="K63" s="72" t="inlineStr">
        <is>
          <t>Hetherington, Emma</t>
        </is>
      </c>
      <c r="L63" s="81" t="n">
        <v>1205</v>
      </c>
      <c r="M63" s="81">
        <f>Y63</f>
        <v/>
      </c>
      <c r="N63" s="82" t="n">
        <v>44957</v>
      </c>
      <c r="O63" s="82" t="n">
        <v>46266</v>
      </c>
      <c r="P63" s="82" t="n">
        <v>46635</v>
      </c>
      <c r="R63" s="81" t="n">
        <v>0</v>
      </c>
      <c r="S63" s="81" t="n">
        <v>0</v>
      </c>
      <c r="T63" s="81" t="n">
        <v>0</v>
      </c>
      <c r="Y63" s="81" t="n">
        <v>1174</v>
      </c>
    </row>
    <row r="64">
      <c r="A64" s="72">
        <f>$D$20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INDEX($C$5:$C$7,MATCH(I64,$D$5:$D$7,0))</f>
        <v/>
      </c>
      <c r="E64" s="72">
        <f>INDEX($E$5:$E$7,MATCH(D64,$C$5:$C$7,0))</f>
        <v/>
      </c>
      <c r="F64" s="72">
        <f>INDEX($F$5:$F$7,MATCH(D64,$C$5:$C$7,0))</f>
        <v/>
      </c>
      <c r="G64" s="72">
        <f>INDEX($G$5:$G$7,MATCH(D64,$C$5:$C$7,0))</f>
        <v/>
      </c>
      <c r="H64" s="72" t="inlineStr">
        <is>
          <t>2437 Idlewylde Ct-1</t>
        </is>
      </c>
      <c r="I64" s="72" t="inlineStr">
        <is>
          <t>2x2 Townhouse</t>
        </is>
      </c>
      <c r="J64" s="80" t="n">
        <v>1300</v>
      </c>
      <c r="K64" s="72" t="inlineStr">
        <is>
          <t>Busam, Byron</t>
        </is>
      </c>
      <c r="L64" s="81" t="n">
        <v>1319</v>
      </c>
      <c r="M64" s="81">
        <f>Y64</f>
        <v/>
      </c>
      <c r="N64" s="82" t="n">
        <v>44958</v>
      </c>
      <c r="O64" s="82" t="n">
        <v>46146</v>
      </c>
      <c r="P64" s="82" t="n">
        <v>46516</v>
      </c>
      <c r="R64" s="81" t="n">
        <v>0</v>
      </c>
      <c r="S64" s="81" t="n">
        <v>0</v>
      </c>
      <c r="T64" s="81" t="n">
        <v>0</v>
      </c>
      <c r="Y64" s="81" t="n">
        <v>1229</v>
      </c>
    </row>
    <row r="65">
      <c r="A65" s="72">
        <f>$D$20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INDEX($C$5:$C$7,MATCH(I65,$D$5:$D$7,0))</f>
        <v/>
      </c>
      <c r="E65" s="72">
        <f>INDEX($E$5:$E$7,MATCH(D65,$C$5:$C$7,0))</f>
        <v/>
      </c>
      <c r="F65" s="72">
        <f>INDEX($F$5:$F$7,MATCH(D65,$C$5:$C$7,0))</f>
        <v/>
      </c>
      <c r="G65" s="72">
        <f>INDEX($G$5:$G$7,MATCH(D65,$C$5:$C$7,0))</f>
        <v/>
      </c>
      <c r="H65" s="72" t="inlineStr">
        <is>
          <t>2437 N Peterson Ct-1</t>
        </is>
      </c>
      <c r="I65" s="72" t="inlineStr">
        <is>
          <t>2x2 Townhouse</t>
        </is>
      </c>
      <c r="J65" s="80" t="n">
        <v>1300</v>
      </c>
      <c r="K65" s="72" t="inlineStr">
        <is>
          <t>Blincoe, Ray</t>
        </is>
      </c>
      <c r="L65" s="81" t="n">
        <v>1319</v>
      </c>
      <c r="M65" s="81">
        <f>Y65</f>
        <v/>
      </c>
      <c r="N65" s="82" t="n">
        <v>45481</v>
      </c>
      <c r="O65" s="82" t="n">
        <v>46209</v>
      </c>
      <c r="P65" s="82" t="n">
        <v>46579</v>
      </c>
      <c r="R65" s="81" t="n">
        <v>0</v>
      </c>
      <c r="S65" s="81" t="n">
        <v>0</v>
      </c>
      <c r="T65" s="81" t="n">
        <v>0</v>
      </c>
      <c r="Y65" s="81" t="n">
        <v>1300</v>
      </c>
    </row>
    <row r="66">
      <c r="A66" s="72">
        <f>$D$20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INDEX($C$5:$C$7,MATCH(I66,$D$5:$D$7,0))</f>
        <v/>
      </c>
      <c r="E66" s="72">
        <f>INDEX($E$5:$E$7,MATCH(D66,$C$5:$C$7,0))</f>
        <v/>
      </c>
      <c r="F66" s="72">
        <f>INDEX($F$5:$F$7,MATCH(D66,$C$5:$C$7,0))</f>
        <v/>
      </c>
      <c r="G66" s="72">
        <f>INDEX($G$5:$G$7,MATCH(D66,$C$5:$C$7,0))</f>
        <v/>
      </c>
      <c r="H66" s="72" t="inlineStr">
        <is>
          <t>2438 Eagles Eyrie-1</t>
        </is>
      </c>
      <c r="I66" s="72" t="inlineStr">
        <is>
          <t>2x2</t>
        </is>
      </c>
      <c r="J66" s="80" t="n">
        <v>1300</v>
      </c>
      <c r="K66" s="72" t="inlineStr">
        <is>
          <t>Wakeland, Sally</t>
        </is>
      </c>
      <c r="L66" s="81" t="n">
        <v>1330</v>
      </c>
      <c r="M66" s="81">
        <f>Y66</f>
        <v/>
      </c>
      <c r="N66" s="82" t="n">
        <v>46043</v>
      </c>
      <c r="O66" s="82" t="n">
        <v>46043</v>
      </c>
      <c r="P66" s="82" t="n">
        <v>46411</v>
      </c>
      <c r="R66" s="81" t="n">
        <v>0</v>
      </c>
      <c r="S66" s="81" t="n">
        <v>0</v>
      </c>
      <c r="T66" s="81" t="n">
        <v>0</v>
      </c>
      <c r="Y66" s="81" t="n">
        <v>1394</v>
      </c>
    </row>
    <row r="67">
      <c r="A67" s="72">
        <f>$D$20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INDEX($C$5:$C$7,MATCH(I67,$D$5:$D$7,0))</f>
        <v/>
      </c>
      <c r="E67" s="72">
        <f>INDEX($E$5:$E$7,MATCH(D67,$C$5:$C$7,0))</f>
        <v/>
      </c>
      <c r="F67" s="72">
        <f>INDEX($F$5:$F$7,MATCH(D67,$C$5:$C$7,0))</f>
        <v/>
      </c>
      <c r="G67" s="72">
        <f>INDEX($G$5:$G$7,MATCH(D67,$C$5:$C$7,0))</f>
        <v/>
      </c>
      <c r="H67" s="72" t="inlineStr">
        <is>
          <t>2438 Eagles Eyrie-2</t>
        </is>
      </c>
      <c r="I67" s="72" t="inlineStr">
        <is>
          <t>2x2</t>
        </is>
      </c>
      <c r="J67" s="80" t="n">
        <v>1300</v>
      </c>
      <c r="K67" s="72" t="inlineStr">
        <is>
          <t>Gallini, Andrew</t>
        </is>
      </c>
      <c r="L67" s="81" t="n">
        <v>1405</v>
      </c>
      <c r="M67" s="81">
        <f>Y67</f>
        <v/>
      </c>
      <c r="N67" s="82" t="n">
        <v>46044</v>
      </c>
      <c r="O67" s="82" t="n">
        <v>46044</v>
      </c>
      <c r="P67" s="82" t="n">
        <v>46411</v>
      </c>
      <c r="R67" s="81" t="n">
        <v>0</v>
      </c>
      <c r="S67" s="81" t="n">
        <v>0</v>
      </c>
      <c r="T67" s="81" t="n">
        <v>0</v>
      </c>
      <c r="Y67" s="81" t="n">
        <v>1245</v>
      </c>
    </row>
    <row r="68">
      <c r="A68" s="72">
        <f>$D$20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INDEX($C$5:$C$7,MATCH(I68,$D$5:$D$7,0))</f>
        <v/>
      </c>
      <c r="E68" s="72">
        <f>INDEX($E$5:$E$7,MATCH(D68,$C$5:$C$7,0))</f>
        <v/>
      </c>
      <c r="F68" s="72">
        <f>INDEX($F$5:$F$7,MATCH(D68,$C$5:$C$7,0))</f>
        <v/>
      </c>
      <c r="G68" s="72">
        <f>INDEX($G$5:$G$7,MATCH(D68,$C$5:$C$7,0))</f>
        <v/>
      </c>
      <c r="H68" s="72" t="inlineStr">
        <is>
          <t>2439 Idlewylde Ct-1</t>
        </is>
      </c>
      <c r="I68" s="72" t="inlineStr">
        <is>
          <t>3x3 Townhouse</t>
        </is>
      </c>
      <c r="J68" s="80" t="n">
        <v>1600</v>
      </c>
      <c r="K68" s="72" t="inlineStr">
        <is>
          <t>Knox, Donte</t>
        </is>
      </c>
      <c r="L68" s="81" t="n">
        <v>1709</v>
      </c>
      <c r="M68" s="81">
        <f>Y68</f>
        <v/>
      </c>
      <c r="N68" s="82" t="n">
        <v>46031</v>
      </c>
      <c r="O68" s="82" t="n">
        <v>46031</v>
      </c>
      <c r="P68" s="82" t="n">
        <v>46579</v>
      </c>
      <c r="R68" s="81" t="n">
        <v>0</v>
      </c>
      <c r="S68" s="81" t="n">
        <v>0</v>
      </c>
      <c r="T68" s="81" t="n">
        <v>0</v>
      </c>
      <c r="Y68" s="81" t="n">
        <v>1614</v>
      </c>
    </row>
    <row r="69">
      <c r="A69" s="72">
        <f>$D$20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INDEX($C$5:$C$7,MATCH(I69,$D$5:$D$7,0))</f>
        <v/>
      </c>
      <c r="E69" s="72">
        <f>INDEX($E$5:$E$7,MATCH(D69,$C$5:$C$7,0))</f>
        <v/>
      </c>
      <c r="F69" s="72">
        <f>INDEX($F$5:$F$7,MATCH(D69,$C$5:$C$7,0))</f>
        <v/>
      </c>
      <c r="G69" s="72">
        <f>INDEX($G$5:$G$7,MATCH(D69,$C$5:$C$7,0))</f>
        <v/>
      </c>
      <c r="H69" s="72" t="inlineStr">
        <is>
          <t>2439 N Peterson Ct-1</t>
        </is>
      </c>
      <c r="I69" s="72" t="inlineStr">
        <is>
          <t>3x3 Townhouse</t>
        </is>
      </c>
      <c r="J69" s="80" t="n">
        <v>1600</v>
      </c>
      <c r="K69" s="72" t="inlineStr">
        <is>
          <t>Poignard-Schaffer, Bernita</t>
        </is>
      </c>
      <c r="L69" s="81" t="n">
        <v>1584</v>
      </c>
      <c r="M69" s="81">
        <f>Y69</f>
        <v/>
      </c>
      <c r="N69" s="82" t="n">
        <v>45401</v>
      </c>
      <c r="O69" s="82" t="n">
        <v>46146</v>
      </c>
      <c r="P69" s="82" t="n">
        <v>46516</v>
      </c>
      <c r="R69" s="81" t="n">
        <v>0</v>
      </c>
      <c r="S69" s="81" t="n">
        <v>0</v>
      </c>
      <c r="T69" s="81" t="n">
        <v>0</v>
      </c>
      <c r="Y69" s="81" t="n">
        <v>1465</v>
      </c>
    </row>
    <row r="70">
      <c r="A70" s="72">
        <f>$D$20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INDEX($C$5:$C$7,MATCH(I70,$D$5:$D$7,0))</f>
        <v/>
      </c>
      <c r="E70" s="72">
        <f>INDEX($E$5:$E$7,MATCH(D70,$C$5:$C$7,0))</f>
        <v/>
      </c>
      <c r="F70" s="72">
        <f>INDEX($F$5:$F$7,MATCH(D70,$C$5:$C$7,0))</f>
        <v/>
      </c>
      <c r="G70" s="72">
        <f>INDEX($G$5:$G$7,MATCH(D70,$C$5:$C$7,0))</f>
        <v/>
      </c>
      <c r="H70" s="72" t="inlineStr">
        <is>
          <t>2440 Eagles Eyrie-3</t>
        </is>
      </c>
      <c r="I70" s="72" t="inlineStr">
        <is>
          <t>2x2</t>
        </is>
      </c>
      <c r="J70" s="80" t="n">
        <v>1300</v>
      </c>
      <c r="K70" s="72" t="inlineStr">
        <is>
          <t>McDonald, Damen</t>
        </is>
      </c>
      <c r="L70" s="81" t="n">
        <v>1205</v>
      </c>
      <c r="M70" s="81">
        <f>Y70</f>
        <v/>
      </c>
      <c r="N70" s="82" t="n">
        <v>44252</v>
      </c>
      <c r="O70" s="82" t="n">
        <v>46230</v>
      </c>
      <c r="P70" s="82" t="n">
        <v>46446</v>
      </c>
      <c r="R70" s="81" t="n">
        <v>0</v>
      </c>
      <c r="S70" s="81" t="n">
        <v>0</v>
      </c>
      <c r="T70" s="81" t="n">
        <v>0</v>
      </c>
      <c r="Y70" s="81" t="n">
        <v>1188</v>
      </c>
    </row>
    <row r="71">
      <c r="A71" s="72">
        <f>$D$20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INDEX($C$5:$C$7,MATCH(I71,$D$5:$D$7,0))</f>
        <v/>
      </c>
      <c r="E71" s="72">
        <f>INDEX($E$5:$E$7,MATCH(D71,$C$5:$C$7,0))</f>
        <v/>
      </c>
      <c r="F71" s="72">
        <f>INDEX($F$5:$F$7,MATCH(D71,$C$5:$C$7,0))</f>
        <v/>
      </c>
      <c r="G71" s="72">
        <f>INDEX($G$5:$G$7,MATCH(D71,$C$5:$C$7,0))</f>
        <v/>
      </c>
      <c r="H71" s="72" t="inlineStr">
        <is>
          <t>2440 Eagles Eyrie-4</t>
        </is>
      </c>
      <c r="I71" s="72" t="inlineStr">
        <is>
          <t>2x2</t>
        </is>
      </c>
      <c r="J71" s="80" t="n">
        <v>1300</v>
      </c>
      <c r="K71" s="72" t="inlineStr">
        <is>
          <t>White, Tateka</t>
        </is>
      </c>
      <c r="L71" s="81" t="n">
        <v>1205</v>
      </c>
      <c r="M71" s="81">
        <f>Y71</f>
        <v/>
      </c>
      <c r="N71" s="82" t="n">
        <v>42777</v>
      </c>
      <c r="O71" s="82" t="n">
        <v>46181</v>
      </c>
      <c r="P71" s="82" t="n">
        <v>46551</v>
      </c>
      <c r="R71" s="81" t="n">
        <v>0</v>
      </c>
      <c r="S71" s="81" t="n">
        <v>0</v>
      </c>
      <c r="T71" s="81" t="n">
        <v>0</v>
      </c>
      <c r="Y71" s="81" t="n">
        <v>1151</v>
      </c>
    </row>
    <row r="72">
      <c r="A72" s="72">
        <f>$D$20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INDEX($C$5:$C$7,MATCH(I72,$D$5:$D$7,0))</f>
        <v/>
      </c>
      <c r="E72" s="72">
        <f>INDEX($E$5:$E$7,MATCH(D72,$C$5:$C$7,0))</f>
        <v/>
      </c>
      <c r="F72" s="72">
        <f>INDEX($F$5:$F$7,MATCH(D72,$C$5:$C$7,0))</f>
        <v/>
      </c>
      <c r="G72" s="72">
        <f>INDEX($G$5:$G$7,MATCH(D72,$C$5:$C$7,0))</f>
        <v/>
      </c>
      <c r="H72" s="72" t="inlineStr">
        <is>
          <t>2440 Eagles Eyrie-5</t>
        </is>
      </c>
      <c r="I72" s="72" t="inlineStr">
        <is>
          <t>2x2</t>
        </is>
      </c>
      <c r="J72" s="80" t="n">
        <v>1300</v>
      </c>
      <c r="K72" s="72" t="inlineStr">
        <is>
          <t>Harper, Kenyetta</t>
        </is>
      </c>
      <c r="L72" s="81" t="n">
        <v>1280</v>
      </c>
      <c r="M72" s="81">
        <f>Y72</f>
        <v/>
      </c>
      <c r="N72" s="82" t="n">
        <v>45608</v>
      </c>
      <c r="O72" s="82" t="n">
        <v>45971</v>
      </c>
      <c r="P72" s="82" t="n">
        <v>46516</v>
      </c>
      <c r="R72" s="81" t="n">
        <v>0</v>
      </c>
      <c r="S72" s="81" t="n">
        <v>0</v>
      </c>
      <c r="T72" s="81" t="n">
        <v>0</v>
      </c>
      <c r="Y72" s="81" t="n">
        <v>1215</v>
      </c>
    </row>
    <row r="73">
      <c r="A73" s="72">
        <f>$D$20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INDEX($C$5:$C$7,MATCH(I73,$D$5:$D$7,0))</f>
        <v/>
      </c>
      <c r="E73" s="72">
        <f>INDEX($E$5:$E$7,MATCH(D73,$C$5:$C$7,0))</f>
        <v/>
      </c>
      <c r="F73" s="72">
        <f>INDEX($F$5:$F$7,MATCH(D73,$C$5:$C$7,0))</f>
        <v/>
      </c>
      <c r="G73" s="72">
        <f>INDEX($G$5:$G$7,MATCH(D73,$C$5:$C$7,0))</f>
        <v/>
      </c>
      <c r="H73" s="72" t="inlineStr">
        <is>
          <t>2440 Eagles Eyrie-6</t>
        </is>
      </c>
      <c r="I73" s="72" t="inlineStr">
        <is>
          <t>2x2</t>
        </is>
      </c>
      <c r="J73" s="80" t="n">
        <v>1300</v>
      </c>
      <c r="K73" s="72" t="inlineStr">
        <is>
          <t>Catron, Michael</t>
        </is>
      </c>
      <c r="L73" s="81" t="n">
        <v>1280</v>
      </c>
      <c r="M73" s="81">
        <f>Y73</f>
        <v/>
      </c>
      <c r="N73" s="82" t="n">
        <v>45891</v>
      </c>
      <c r="O73" s="82" t="n">
        <v>46258</v>
      </c>
      <c r="P73" s="82" t="n">
        <v>46628</v>
      </c>
      <c r="R73" s="81" t="n">
        <v>0</v>
      </c>
      <c r="S73" s="81" t="n">
        <v>0</v>
      </c>
      <c r="T73" s="81" t="n">
        <v>0</v>
      </c>
      <c r="Y73" s="81" t="n">
        <v>1263</v>
      </c>
    </row>
    <row r="74">
      <c r="A74" s="72">
        <f>$D$20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INDEX($C$5:$C$7,MATCH(I74,$D$5:$D$7,0))</f>
        <v/>
      </c>
      <c r="E74" s="72">
        <f>INDEX($E$5:$E$7,MATCH(D74,$C$5:$C$7,0))</f>
        <v/>
      </c>
      <c r="F74" s="72">
        <f>INDEX($F$5:$F$7,MATCH(D74,$C$5:$C$7,0))</f>
        <v/>
      </c>
      <c r="G74" s="72">
        <f>INDEX($G$5:$G$7,MATCH(D74,$C$5:$C$7,0))</f>
        <v/>
      </c>
      <c r="H74" s="72" t="inlineStr">
        <is>
          <t>2441 Idlewylde Ct-1</t>
        </is>
      </c>
      <c r="I74" s="72" t="inlineStr">
        <is>
          <t>2x2 Townhouse</t>
        </is>
      </c>
      <c r="J74" s="80" t="n">
        <v>1300</v>
      </c>
      <c r="K74" s="72" t="inlineStr">
        <is>
          <t>Dyke, Samuel</t>
        </is>
      </c>
      <c r="L74" s="81" t="n">
        <v>1394</v>
      </c>
      <c r="M74" s="81">
        <f>Y74</f>
        <v/>
      </c>
      <c r="N74" s="82" t="n">
        <v>46151</v>
      </c>
      <c r="O74" s="82" t="n">
        <v>46151</v>
      </c>
      <c r="P74" s="82" t="n">
        <v>46516</v>
      </c>
      <c r="R74" s="81" t="n">
        <v>0</v>
      </c>
      <c r="S74" s="81" t="n">
        <v>0</v>
      </c>
      <c r="T74" s="81" t="n">
        <v>0</v>
      </c>
      <c r="Y74" s="81" t="n">
        <v>1285</v>
      </c>
    </row>
    <row r="75">
      <c r="A75" s="72">
        <f>$D$20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INDEX($C$5:$C$7,MATCH(I75,$D$5:$D$7,0))</f>
        <v/>
      </c>
      <c r="E75" s="72">
        <f>INDEX($E$5:$E$7,MATCH(D75,$C$5:$C$7,0))</f>
        <v/>
      </c>
      <c r="F75" s="72">
        <f>INDEX($F$5:$F$7,MATCH(D75,$C$5:$C$7,0))</f>
        <v/>
      </c>
      <c r="G75" s="72">
        <f>INDEX($G$5:$G$7,MATCH(D75,$C$5:$C$7,0))</f>
        <v/>
      </c>
      <c r="H75" s="72" t="inlineStr">
        <is>
          <t>2441 N Peterson Ct-1</t>
        </is>
      </c>
      <c r="I75" s="72" t="inlineStr">
        <is>
          <t>2x2 Townhouse</t>
        </is>
      </c>
      <c r="J75" s="80" t="n">
        <v>1300</v>
      </c>
      <c r="K75" s="72" t="inlineStr">
        <is>
          <t>Price, Latosha</t>
        </is>
      </c>
      <c r="L75" s="81" t="n">
        <v>1319</v>
      </c>
      <c r="M75" s="81">
        <f>Y75</f>
        <v/>
      </c>
      <c r="N75" s="82" t="n">
        <v>45380</v>
      </c>
      <c r="O75" s="82" t="n">
        <v>46118</v>
      </c>
      <c r="P75" s="82" t="n">
        <v>46488</v>
      </c>
      <c r="R75" s="81" t="n">
        <v>0</v>
      </c>
      <c r="S75" s="81" t="n">
        <v>0</v>
      </c>
      <c r="T75" s="81" t="n">
        <v>0</v>
      </c>
      <c r="Y75" s="81" t="n">
        <v>1328</v>
      </c>
    </row>
    <row r="76">
      <c r="A76" s="72">
        <f>$D$20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INDEX($C$5:$C$7,MATCH(I76,$D$5:$D$7,0))</f>
        <v/>
      </c>
      <c r="E76" s="72">
        <f>INDEX($E$5:$E$7,MATCH(D76,$C$5:$C$7,0))</f>
        <v/>
      </c>
      <c r="F76" s="72">
        <f>INDEX($F$5:$F$7,MATCH(D76,$C$5:$C$7,0))</f>
        <v/>
      </c>
      <c r="G76" s="72">
        <f>INDEX($G$5:$G$7,MATCH(D76,$C$5:$C$7,0))</f>
        <v/>
      </c>
      <c r="H76" s="72" t="inlineStr">
        <is>
          <t>2443 Idlewylde Ct-1</t>
        </is>
      </c>
      <c r="I76" s="72" t="inlineStr">
        <is>
          <t>3x3 Townhouse</t>
        </is>
      </c>
      <c r="J76" s="80" t="n">
        <v>1600</v>
      </c>
      <c r="K76" s="72" t="inlineStr">
        <is>
          <t>Washington, Samantha</t>
        </is>
      </c>
      <c r="L76" s="81" t="n">
        <v>1584</v>
      </c>
      <c r="M76" s="81">
        <f>Y76</f>
        <v/>
      </c>
      <c r="N76" s="82" t="n">
        <v>45293</v>
      </c>
      <c r="O76" s="82" t="n">
        <v>46204</v>
      </c>
      <c r="P76" s="82" t="n">
        <v>46544</v>
      </c>
      <c r="R76" s="81" t="n">
        <v>0</v>
      </c>
      <c r="S76" s="81" t="n">
        <v>0</v>
      </c>
      <c r="T76" s="81" t="n">
        <v>0</v>
      </c>
      <c r="Y76" s="81" t="n">
        <v>1386</v>
      </c>
    </row>
    <row r="77">
      <c r="A77" s="72">
        <f>$D$20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INDEX($C$5:$C$7,MATCH(I77,$D$5:$D$7,0))</f>
        <v/>
      </c>
      <c r="E77" s="72">
        <f>INDEX($E$5:$E$7,MATCH(D77,$C$5:$C$7,0))</f>
        <v/>
      </c>
      <c r="F77" s="72">
        <f>INDEX($F$5:$F$7,MATCH(D77,$C$5:$C$7,0))</f>
        <v/>
      </c>
      <c r="G77" s="72">
        <f>INDEX($G$5:$G$7,MATCH(D77,$C$5:$C$7,0))</f>
        <v/>
      </c>
      <c r="H77" s="72" t="inlineStr">
        <is>
          <t>2443 N Peterson Ct-1</t>
        </is>
      </c>
      <c r="I77" s="72" t="inlineStr">
        <is>
          <t>3x3 Townhouse</t>
        </is>
      </c>
      <c r="J77" s="80" t="n">
        <v>1600</v>
      </c>
      <c r="K77" s="72" t="inlineStr">
        <is>
          <t>Satterwhite, Joshua</t>
        </is>
      </c>
      <c r="L77" s="81" t="n">
        <v>1659</v>
      </c>
      <c r="M77" s="81">
        <f>Y77</f>
        <v/>
      </c>
      <c r="N77" s="82" t="n">
        <v>45778</v>
      </c>
      <c r="O77" s="82" t="n">
        <v>46181</v>
      </c>
      <c r="P77" s="82" t="n">
        <v>46551</v>
      </c>
      <c r="R77" s="81" t="n">
        <v>0</v>
      </c>
      <c r="S77" s="81" t="n">
        <v>0</v>
      </c>
      <c r="T77" s="81" t="n">
        <v>0</v>
      </c>
      <c r="Y77" s="81" t="n">
        <v>1769</v>
      </c>
    </row>
    <row r="78">
      <c r="A78" s="72">
        <f>$D$20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INDEX($C$5:$C$7,MATCH(I78,$D$5:$D$7,0))</f>
        <v/>
      </c>
      <c r="E78" s="72">
        <f>INDEX($E$5:$E$7,MATCH(D78,$C$5:$C$7,0))</f>
        <v/>
      </c>
      <c r="F78" s="72">
        <f>INDEX($F$5:$F$7,MATCH(D78,$C$5:$C$7,0))</f>
        <v/>
      </c>
      <c r="G78" s="72">
        <f>INDEX($G$5:$G$7,MATCH(D78,$C$5:$C$7,0))</f>
        <v/>
      </c>
      <c r="H78" s="72" t="inlineStr">
        <is>
          <t>2445 Idlewylde Ct-1</t>
        </is>
      </c>
      <c r="I78" s="72" t="inlineStr">
        <is>
          <t>2x2 Townhouse</t>
        </is>
      </c>
      <c r="J78" s="80" t="n">
        <v>1300</v>
      </c>
      <c r="K78" s="72" t="inlineStr">
        <is>
          <t>Vinson, Clarissa</t>
        </is>
      </c>
      <c r="L78" s="81" t="n">
        <v>1394</v>
      </c>
      <c r="M78" s="81">
        <f>Y78</f>
        <v/>
      </c>
      <c r="N78" s="82" t="n">
        <v>46141</v>
      </c>
      <c r="O78" s="82" t="n">
        <v>46140</v>
      </c>
      <c r="P78" s="82" t="n">
        <v>46509</v>
      </c>
      <c r="R78" s="81" t="n">
        <v>0</v>
      </c>
      <c r="S78" s="81" t="n">
        <v>0</v>
      </c>
      <c r="T78" s="81" t="n">
        <v>0</v>
      </c>
      <c r="Y78" s="81" t="n">
        <v>1217</v>
      </c>
    </row>
    <row r="79">
      <c r="A79" s="72">
        <f>$D$20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INDEX($C$5:$C$7,MATCH(I79,$D$5:$D$7,0))</f>
        <v/>
      </c>
      <c r="E79" s="72">
        <f>INDEX($E$5:$E$7,MATCH(D79,$C$5:$C$7,0))</f>
        <v/>
      </c>
      <c r="F79" s="72">
        <f>INDEX($F$5:$F$7,MATCH(D79,$C$5:$C$7,0))</f>
        <v/>
      </c>
      <c r="G79" s="72">
        <f>INDEX($G$5:$G$7,MATCH(D79,$C$5:$C$7,0))</f>
        <v/>
      </c>
      <c r="H79" s="72" t="inlineStr">
        <is>
          <t>2445 N Peterson Ct-1</t>
        </is>
      </c>
      <c r="I79" s="72" t="inlineStr">
        <is>
          <t>2x2 Townhouse</t>
        </is>
      </c>
      <c r="J79" s="80" t="n">
        <v>1300</v>
      </c>
      <c r="K79" s="72" t="inlineStr">
        <is>
          <t>Marshall, Macy</t>
        </is>
      </c>
      <c r="L79" s="81" t="n">
        <v>1319</v>
      </c>
      <c r="M79" s="81">
        <f>Y79</f>
        <v/>
      </c>
      <c r="N79" s="82" t="n">
        <v>38596</v>
      </c>
      <c r="O79" s="82" t="n">
        <v>45931</v>
      </c>
      <c r="P79" s="82" t="n">
        <v>46299</v>
      </c>
      <c r="R79" s="81" t="n">
        <v>0</v>
      </c>
      <c r="S79" s="81" t="n">
        <v>0</v>
      </c>
      <c r="T79" s="81" t="n">
        <v>0</v>
      </c>
      <c r="Y79" s="81" t="n">
        <v>1275</v>
      </c>
    </row>
    <row r="80">
      <c r="A80" s="72">
        <f>$D$20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INDEX($C$5:$C$7,MATCH(I80,$D$5:$D$7,0))</f>
        <v/>
      </c>
      <c r="E80" s="72">
        <f>INDEX($E$5:$E$7,MATCH(D80,$C$5:$C$7,0))</f>
        <v/>
      </c>
      <c r="F80" s="72">
        <f>INDEX($F$5:$F$7,MATCH(D80,$C$5:$C$7,0))</f>
        <v/>
      </c>
      <c r="G80" s="72">
        <f>INDEX($G$5:$G$7,MATCH(D80,$C$5:$C$7,0))</f>
        <v/>
      </c>
      <c r="H80" s="72" t="inlineStr">
        <is>
          <t>2447 Idlewylde Ct-1</t>
        </is>
      </c>
      <c r="I80" s="72" t="inlineStr">
        <is>
          <t>3x3 Townhouse</t>
        </is>
      </c>
      <c r="J80" s="80" t="n">
        <v>1600</v>
      </c>
      <c r="K80" s="72" t="inlineStr">
        <is>
          <t>Mitchell, Vanda</t>
        </is>
      </c>
      <c r="L80" s="81" t="n">
        <v>1709</v>
      </c>
      <c r="M80" s="81">
        <f>Y80</f>
        <v/>
      </c>
      <c r="N80" s="82" t="n">
        <v>45985</v>
      </c>
      <c r="O80" s="82" t="n">
        <v>45985</v>
      </c>
      <c r="P80" s="82" t="n">
        <v>46474</v>
      </c>
      <c r="R80" s="81" t="n">
        <v>0</v>
      </c>
      <c r="S80" s="81" t="n">
        <v>0</v>
      </c>
      <c r="T80" s="81" t="n">
        <v>0</v>
      </c>
      <c r="Y80" s="81" t="n">
        <v>1600</v>
      </c>
    </row>
    <row r="81">
      <c r="A81" s="83">
        <f>$D$20</f>
        <v/>
      </c>
      <c r="B81" s="83">
        <f>B80+1</f>
        <v/>
      </c>
      <c r="C81" s="83">
        <f>IF(K81="Vacant","Vac",IF(K81="Model","Model",IF(K81="Admin","Admin",IF(K81="Down","Down",IF(K81="Super","Super","Occ")))))</f>
        <v/>
      </c>
      <c r="D81" s="83">
        <f>INDEX($C$5:$C$7,MATCH(I81,$D$5:$D$7,0))</f>
        <v/>
      </c>
      <c r="E81" s="83">
        <f>INDEX($E$5:$E$7,MATCH(D81,$C$5:$C$7,0))</f>
        <v/>
      </c>
      <c r="F81" s="83">
        <f>INDEX($F$5:$F$7,MATCH(D81,$C$5:$C$7,0))</f>
        <v/>
      </c>
      <c r="G81" s="83">
        <f>INDEX($G$5:$G$7,MATCH(D81,$C$5:$C$7,0))</f>
        <v/>
      </c>
      <c r="H81" s="83" t="inlineStr">
        <is>
          <t>2447 N Peterson Ct-1</t>
        </is>
      </c>
      <c r="I81" s="83" t="inlineStr">
        <is>
          <t>3x3 Townhouse</t>
        </is>
      </c>
      <c r="J81" s="84" t="n">
        <v>1600</v>
      </c>
      <c r="K81" s="83" t="inlineStr">
        <is>
          <t>Vacant</t>
        </is>
      </c>
      <c r="L81" s="85" t="n">
        <v>1776</v>
      </c>
      <c r="M81" s="85">
        <f>Y81</f>
        <v/>
      </c>
      <c r="N81" s="86" t="n"/>
      <c r="O81" s="86" t="n"/>
      <c r="P81" s="86" t="n"/>
      <c r="Q81" s="86" t="n"/>
      <c r="R81" s="85" t="n">
        <v>0</v>
      </c>
      <c r="S81" s="85" t="n">
        <v>0</v>
      </c>
      <c r="T81" s="85" t="n">
        <v>0</v>
      </c>
      <c r="U81" s="86" t="n"/>
      <c r="V81" s="86" t="n"/>
      <c r="W81" s="86" t="n"/>
      <c r="X81" s="86" t="n"/>
      <c r="Y81" s="85" t="n">
        <v>0</v>
      </c>
    </row>
    <row r="82">
      <c r="A82" s="72">
        <f>$D$20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INDEX($C$5:$C$7,MATCH(I82,$D$5:$D$7,0))</f>
        <v/>
      </c>
      <c r="E82" s="72">
        <f>INDEX($E$5:$E$7,MATCH(D82,$C$5:$C$7,0))</f>
        <v/>
      </c>
      <c r="F82" s="72">
        <f>INDEX($F$5:$F$7,MATCH(D82,$C$5:$C$7,0))</f>
        <v/>
      </c>
      <c r="G82" s="72">
        <f>INDEX($G$5:$G$7,MATCH(D82,$C$5:$C$7,0))</f>
        <v/>
      </c>
      <c r="H82" s="72" t="inlineStr">
        <is>
          <t>2449 Idlewylde Ct-1</t>
        </is>
      </c>
      <c r="I82" s="72" t="inlineStr">
        <is>
          <t>2x2 Townhouse</t>
        </is>
      </c>
      <c r="J82" s="80" t="n">
        <v>1300</v>
      </c>
      <c r="K82" s="72" t="inlineStr">
        <is>
          <t>Shellman, Termaine</t>
        </is>
      </c>
      <c r="L82" s="81" t="n">
        <v>1319</v>
      </c>
      <c r="M82" s="81">
        <f>Y82</f>
        <v/>
      </c>
      <c r="N82" s="82" t="n">
        <v>41713</v>
      </c>
      <c r="O82" s="82" t="n">
        <v>45931</v>
      </c>
      <c r="P82" s="82" t="n">
        <v>46299</v>
      </c>
      <c r="R82" s="81" t="n">
        <v>0</v>
      </c>
      <c r="S82" s="81" t="n">
        <v>0</v>
      </c>
      <c r="T82" s="81" t="n">
        <v>0</v>
      </c>
      <c r="Y82" s="81" t="n">
        <v>1275</v>
      </c>
    </row>
    <row r="83">
      <c r="A83" s="72">
        <f>$D$20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INDEX($C$5:$C$7,MATCH(I83,$D$5:$D$7,0))</f>
        <v/>
      </c>
      <c r="E83" s="72">
        <f>INDEX($E$5:$E$7,MATCH(D83,$C$5:$C$7,0))</f>
        <v/>
      </c>
      <c r="F83" s="72">
        <f>INDEX($F$5:$F$7,MATCH(D83,$C$5:$C$7,0))</f>
        <v/>
      </c>
      <c r="G83" s="72">
        <f>INDEX($G$5:$G$7,MATCH(D83,$C$5:$C$7,0))</f>
        <v/>
      </c>
      <c r="H83" s="72" t="inlineStr">
        <is>
          <t>2449 N Peterson Ct-1</t>
        </is>
      </c>
      <c r="I83" s="72" t="inlineStr">
        <is>
          <t>2x2 Townhouse</t>
        </is>
      </c>
      <c r="J83" s="80" t="n">
        <v>1300</v>
      </c>
      <c r="K83" s="72" t="inlineStr">
        <is>
          <t>Lillie, Amelia</t>
        </is>
      </c>
      <c r="L83" s="81" t="n">
        <v>1319</v>
      </c>
      <c r="M83" s="81">
        <f>Y83</f>
        <v/>
      </c>
      <c r="N83" s="82" t="n">
        <v>45427</v>
      </c>
      <c r="O83" s="82" t="n">
        <v>46174</v>
      </c>
      <c r="P83" s="82" t="n">
        <v>46390</v>
      </c>
      <c r="R83" s="81" t="n">
        <v>0</v>
      </c>
      <c r="S83" s="81" t="n">
        <v>0</v>
      </c>
      <c r="T83" s="81" t="n">
        <v>0</v>
      </c>
      <c r="Y83" s="81" t="n">
        <v>1360</v>
      </c>
    </row>
    <row r="84">
      <c r="A84" s="72">
        <f>$D$20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INDEX($C$5:$C$7,MATCH(I84,$D$5:$D$7,0))</f>
        <v/>
      </c>
      <c r="E84" s="72">
        <f>INDEX($E$5:$E$7,MATCH(D84,$C$5:$C$7,0))</f>
        <v/>
      </c>
      <c r="F84" s="72">
        <f>INDEX($F$5:$F$7,MATCH(D84,$C$5:$C$7,0))</f>
        <v/>
      </c>
      <c r="G84" s="72">
        <f>INDEX($G$5:$G$7,MATCH(D84,$C$5:$C$7,0))</f>
        <v/>
      </c>
      <c r="H84" s="72" t="inlineStr">
        <is>
          <t>2451 Idlewylde Ct-1</t>
        </is>
      </c>
      <c r="I84" s="72" t="inlineStr">
        <is>
          <t>3x3 Townhouse</t>
        </is>
      </c>
      <c r="J84" s="80" t="n">
        <v>1600</v>
      </c>
      <c r="K84" s="72" t="inlineStr">
        <is>
          <t>Holliger, Ethen</t>
        </is>
      </c>
      <c r="L84" s="81" t="n">
        <v>1659</v>
      </c>
      <c r="M84" s="81">
        <f>Y84</f>
        <v/>
      </c>
      <c r="N84" s="82" t="n">
        <v>46189</v>
      </c>
      <c r="O84" s="82" t="n">
        <v>46189</v>
      </c>
      <c r="P84" s="82" t="n">
        <v>46558</v>
      </c>
      <c r="R84" s="81" t="n">
        <v>0</v>
      </c>
      <c r="S84" s="81" t="n">
        <v>0</v>
      </c>
      <c r="T84" s="81" t="n">
        <v>0</v>
      </c>
      <c r="Y84" s="81" t="n">
        <v>1572</v>
      </c>
    </row>
    <row r="85">
      <c r="A85" s="72">
        <f>$D$20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INDEX($C$5:$C$7,MATCH(I85,$D$5:$D$7,0))</f>
        <v/>
      </c>
      <c r="E85" s="72">
        <f>INDEX($E$5:$E$7,MATCH(D85,$C$5:$C$7,0))</f>
        <v/>
      </c>
      <c r="F85" s="72">
        <f>INDEX($F$5:$F$7,MATCH(D85,$C$5:$C$7,0))</f>
        <v/>
      </c>
      <c r="G85" s="72">
        <f>INDEX($G$5:$G$7,MATCH(D85,$C$5:$C$7,0))</f>
        <v/>
      </c>
      <c r="H85" s="72" t="inlineStr">
        <is>
          <t>2451 N Peterson Ct-1</t>
        </is>
      </c>
      <c r="I85" s="72" t="inlineStr">
        <is>
          <t>3x3 Townhouse</t>
        </is>
      </c>
      <c r="J85" s="80" t="n">
        <v>1600</v>
      </c>
      <c r="K85" s="72" t="inlineStr">
        <is>
          <t>Caplinger, Holden</t>
        </is>
      </c>
      <c r="L85" s="81" t="n">
        <v>1584</v>
      </c>
      <c r="M85" s="81">
        <f>Y85</f>
        <v/>
      </c>
      <c r="N85" s="82" t="n">
        <v>45821</v>
      </c>
      <c r="O85" s="82" t="n">
        <v>46188</v>
      </c>
      <c r="P85" s="82" t="n">
        <v>46558</v>
      </c>
      <c r="R85" s="81" t="n">
        <v>0</v>
      </c>
      <c r="S85" s="81" t="n">
        <v>0</v>
      </c>
      <c r="T85" s="81" t="n">
        <v>0</v>
      </c>
      <c r="Y85" s="81" t="n">
        <v>1734</v>
      </c>
    </row>
    <row r="86">
      <c r="A86" s="72">
        <f>$D$20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INDEX($C$5:$C$7,MATCH(I86,$D$5:$D$7,0))</f>
        <v/>
      </c>
      <c r="E86" s="72">
        <f>INDEX($E$5:$E$7,MATCH(D86,$C$5:$C$7,0))</f>
        <v/>
      </c>
      <c r="F86" s="72">
        <f>INDEX($F$5:$F$7,MATCH(D86,$C$5:$C$7,0))</f>
        <v/>
      </c>
      <c r="G86" s="72">
        <f>INDEX($G$5:$G$7,MATCH(D86,$C$5:$C$7,0))</f>
        <v/>
      </c>
      <c r="H86" s="72" t="inlineStr">
        <is>
          <t>2453 Idlewylde Ct-1</t>
        </is>
      </c>
      <c r="I86" s="72" t="inlineStr">
        <is>
          <t>2x2 Townhouse</t>
        </is>
      </c>
      <c r="J86" s="80" t="n">
        <v>1300</v>
      </c>
      <c r="K86" s="72" t="inlineStr">
        <is>
          <t>Mitchell, LaTesha</t>
        </is>
      </c>
      <c r="L86" s="81" t="n">
        <v>1719</v>
      </c>
      <c r="M86" s="81">
        <f>Y86</f>
        <v/>
      </c>
      <c r="N86" s="82" t="n">
        <v>46256</v>
      </c>
      <c r="O86" s="82" t="n">
        <v>46256</v>
      </c>
      <c r="P86" s="82" t="n">
        <v>46621</v>
      </c>
      <c r="R86" s="81" t="n">
        <v>0</v>
      </c>
      <c r="S86" s="81" t="n">
        <v>0</v>
      </c>
      <c r="T86" s="81" t="n">
        <v>0</v>
      </c>
      <c r="Y86" s="81" t="n">
        <v>1682</v>
      </c>
    </row>
    <row r="87">
      <c r="A87" s="72">
        <f>$D$20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INDEX($C$5:$C$7,MATCH(I87,$D$5:$D$7,0))</f>
        <v/>
      </c>
      <c r="E87" s="72">
        <f>INDEX($E$5:$E$7,MATCH(D87,$C$5:$C$7,0))</f>
        <v/>
      </c>
      <c r="F87" s="72">
        <f>INDEX($F$5:$F$7,MATCH(D87,$C$5:$C$7,0))</f>
        <v/>
      </c>
      <c r="G87" s="72">
        <f>INDEX($G$5:$G$7,MATCH(D87,$C$5:$C$7,0))</f>
        <v/>
      </c>
      <c r="H87" s="72" t="inlineStr">
        <is>
          <t>2453 N Peterson Ct-1</t>
        </is>
      </c>
      <c r="I87" s="72" t="inlineStr">
        <is>
          <t>2x2 Townhouse</t>
        </is>
      </c>
      <c r="J87" s="80" t="n">
        <v>1300</v>
      </c>
      <c r="K87" s="72" t="inlineStr">
        <is>
          <t>Bucklew, Keith</t>
        </is>
      </c>
      <c r="L87" s="81" t="n">
        <v>1319</v>
      </c>
      <c r="M87" s="81">
        <f>Y87</f>
        <v/>
      </c>
      <c r="N87" s="82" t="n">
        <v>44224</v>
      </c>
      <c r="O87" s="82" t="n">
        <v>46146</v>
      </c>
      <c r="P87" s="82" t="n">
        <v>46516</v>
      </c>
      <c r="R87" s="81" t="n">
        <v>0</v>
      </c>
      <c r="S87" s="81" t="n">
        <v>0</v>
      </c>
      <c r="T87" s="81" t="n">
        <v>0</v>
      </c>
      <c r="Y87" s="81" t="n">
        <v>1168</v>
      </c>
    </row>
    <row r="88">
      <c r="A88" s="83">
        <f>$D$20</f>
        <v/>
      </c>
      <c r="B88" s="83">
        <f>B87+1</f>
        <v/>
      </c>
      <c r="C88" s="83">
        <f>IF(K88="Vacant","Vac",IF(K88="Model","Model",IF(K88="Admin","Admin",IF(K88="Down","Down",IF(K88="Super","Super","Occ")))))</f>
        <v/>
      </c>
      <c r="D88" s="83">
        <f>INDEX($C$5:$C$7,MATCH(I88,$D$5:$D$7,0))</f>
        <v/>
      </c>
      <c r="E88" s="83">
        <f>INDEX($E$5:$E$7,MATCH(D88,$C$5:$C$7,0))</f>
        <v/>
      </c>
      <c r="F88" s="83">
        <f>INDEX($F$5:$F$7,MATCH(D88,$C$5:$C$7,0))</f>
        <v/>
      </c>
      <c r="G88" s="83">
        <f>INDEX($G$5:$G$7,MATCH(D88,$C$5:$C$7,0))</f>
        <v/>
      </c>
      <c r="H88" s="83" t="inlineStr">
        <is>
          <t>2455 Idlewylde Ct-1</t>
        </is>
      </c>
      <c r="I88" s="83" t="inlineStr">
        <is>
          <t>3x3 Townhouse</t>
        </is>
      </c>
      <c r="J88" s="84" t="n">
        <v>1600</v>
      </c>
      <c r="K88" s="83" t="inlineStr">
        <is>
          <t>Vacant</t>
        </is>
      </c>
      <c r="L88" s="85" t="n">
        <v>1776</v>
      </c>
      <c r="M88" s="85">
        <f>Y88</f>
        <v/>
      </c>
      <c r="N88" s="86" t="n"/>
      <c r="O88" s="86" t="n"/>
      <c r="P88" s="86" t="n"/>
      <c r="Q88" s="86" t="n"/>
      <c r="R88" s="85" t="n">
        <v>0</v>
      </c>
      <c r="S88" s="85" t="n">
        <v>0</v>
      </c>
      <c r="T88" s="85" t="n">
        <v>0</v>
      </c>
      <c r="U88" s="86" t="n"/>
      <c r="V88" s="86" t="n"/>
      <c r="W88" s="86" t="n"/>
      <c r="X88" s="86" t="n"/>
      <c r="Y88" s="85" t="n">
        <v>0</v>
      </c>
    </row>
    <row r="89">
      <c r="A89" s="72">
        <f>$D$20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INDEX($C$5:$C$7,MATCH(I89,$D$5:$D$7,0))</f>
        <v/>
      </c>
      <c r="E89" s="72">
        <f>INDEX($E$5:$E$7,MATCH(D89,$C$5:$C$7,0))</f>
        <v/>
      </c>
      <c r="F89" s="72">
        <f>INDEX($F$5:$F$7,MATCH(D89,$C$5:$C$7,0))</f>
        <v/>
      </c>
      <c r="G89" s="72">
        <f>INDEX($G$5:$G$7,MATCH(D89,$C$5:$C$7,0))</f>
        <v/>
      </c>
      <c r="H89" s="72" t="inlineStr">
        <is>
          <t>2455 N Peterson Ct-1</t>
        </is>
      </c>
      <c r="I89" s="72" t="inlineStr">
        <is>
          <t>3x3 Townhouse</t>
        </is>
      </c>
      <c r="J89" s="80" t="n">
        <v>1600</v>
      </c>
      <c r="K89" s="72" t="inlineStr">
        <is>
          <t>Sanz, Douglas</t>
        </is>
      </c>
      <c r="L89" s="81" t="n">
        <v>1659</v>
      </c>
      <c r="M89" s="81">
        <f>Y89</f>
        <v/>
      </c>
      <c r="N89" s="82" t="n">
        <v>46202</v>
      </c>
      <c r="O89" s="82" t="n">
        <v>46202</v>
      </c>
      <c r="P89" s="82" t="n">
        <v>46537</v>
      </c>
      <c r="R89" s="81" t="n">
        <v>0</v>
      </c>
      <c r="S89" s="81" t="n">
        <v>0</v>
      </c>
      <c r="T89" s="81" t="n">
        <v>0</v>
      </c>
      <c r="Y89" s="81" t="n">
        <v>1576</v>
      </c>
    </row>
    <row r="90">
      <c r="A90" s="72">
        <f>$D$20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INDEX($C$5:$C$7,MATCH(I90,$D$5:$D$7,0))</f>
        <v/>
      </c>
      <c r="E90" s="72">
        <f>INDEX($E$5:$E$7,MATCH(D90,$C$5:$C$7,0))</f>
        <v/>
      </c>
      <c r="F90" s="72">
        <f>INDEX($F$5:$F$7,MATCH(D90,$C$5:$C$7,0))</f>
        <v/>
      </c>
      <c r="G90" s="72">
        <f>INDEX($G$5:$G$7,MATCH(D90,$C$5:$C$7,0))</f>
        <v/>
      </c>
      <c r="H90" s="72" t="inlineStr">
        <is>
          <t>2457 Idlewylde Ct-1</t>
        </is>
      </c>
      <c r="I90" s="72" t="inlineStr">
        <is>
          <t>2x2 Townhouse</t>
        </is>
      </c>
      <c r="J90" s="80" t="n">
        <v>1300</v>
      </c>
      <c r="K90" s="72" t="inlineStr">
        <is>
          <t>Anthony, Hunter</t>
        </is>
      </c>
      <c r="L90" s="81" t="n">
        <v>1394</v>
      </c>
      <c r="M90" s="81">
        <f>Y90</f>
        <v/>
      </c>
      <c r="N90" s="82" t="n">
        <v>46143</v>
      </c>
      <c r="O90" s="82" t="n">
        <v>46143</v>
      </c>
      <c r="P90" s="82" t="n">
        <v>46509</v>
      </c>
      <c r="R90" s="81" t="n">
        <v>0</v>
      </c>
      <c r="S90" s="81" t="n">
        <v>0</v>
      </c>
      <c r="T90" s="81" t="n">
        <v>0</v>
      </c>
      <c r="Y90" s="81" t="n">
        <v>1299</v>
      </c>
    </row>
    <row r="91">
      <c r="A91" s="72">
        <f>$D$20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INDEX($C$5:$C$7,MATCH(I91,$D$5:$D$7,0))</f>
        <v/>
      </c>
      <c r="E91" s="72">
        <f>INDEX($E$5:$E$7,MATCH(D91,$C$5:$C$7,0))</f>
        <v/>
      </c>
      <c r="F91" s="72">
        <f>INDEX($F$5:$F$7,MATCH(D91,$C$5:$C$7,0))</f>
        <v/>
      </c>
      <c r="G91" s="72">
        <f>INDEX($G$5:$G$7,MATCH(D91,$C$5:$C$7,0))</f>
        <v/>
      </c>
      <c r="H91" s="72" t="inlineStr">
        <is>
          <t>2457 N Peterson Ct-1</t>
        </is>
      </c>
      <c r="I91" s="72" t="inlineStr">
        <is>
          <t>2x2 Townhouse</t>
        </is>
      </c>
      <c r="J91" s="80" t="n">
        <v>1300</v>
      </c>
      <c r="K91" s="72" t="inlineStr">
        <is>
          <t>Gutgsell, Ashley</t>
        </is>
      </c>
      <c r="L91" s="81" t="n">
        <v>1319</v>
      </c>
      <c r="M91" s="81">
        <f>Y91</f>
        <v/>
      </c>
      <c r="N91" s="82" t="n">
        <v>45404</v>
      </c>
      <c r="O91" s="82" t="n">
        <v>46146</v>
      </c>
      <c r="P91" s="82" t="n">
        <v>46516</v>
      </c>
      <c r="R91" s="81" t="n">
        <v>0</v>
      </c>
      <c r="S91" s="81" t="n">
        <v>0</v>
      </c>
      <c r="T91" s="81" t="n">
        <v>0</v>
      </c>
      <c r="Y91" s="81" t="n">
        <v>1315</v>
      </c>
    </row>
    <row r="92">
      <c r="A92" s="72">
        <f>$D$20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INDEX($C$5:$C$7,MATCH(I92,$D$5:$D$7,0))</f>
        <v/>
      </c>
      <c r="E92" s="72">
        <f>INDEX($E$5:$E$7,MATCH(D92,$C$5:$C$7,0))</f>
        <v/>
      </c>
      <c r="F92" s="72">
        <f>INDEX($F$5:$F$7,MATCH(D92,$C$5:$C$7,0))</f>
        <v/>
      </c>
      <c r="G92" s="72">
        <f>INDEX($G$5:$G$7,MATCH(D92,$C$5:$C$7,0))</f>
        <v/>
      </c>
      <c r="H92" s="72" t="inlineStr">
        <is>
          <t>2459 Idlewylde Ct-1</t>
        </is>
      </c>
      <c r="I92" s="72" t="inlineStr">
        <is>
          <t>3x3 Townhouse</t>
        </is>
      </c>
      <c r="J92" s="80" t="n">
        <v>1600</v>
      </c>
      <c r="K92" s="72" t="inlineStr">
        <is>
          <t>Sullivan, Nicholas</t>
        </is>
      </c>
      <c r="L92" s="81" t="n">
        <v>1659</v>
      </c>
      <c r="M92" s="81">
        <f>Y92</f>
        <v/>
      </c>
      <c r="N92" s="82" t="n">
        <v>45975</v>
      </c>
      <c r="O92" s="82" t="n">
        <v>45975</v>
      </c>
      <c r="P92" s="82" t="n">
        <v>46404</v>
      </c>
      <c r="R92" s="81" t="n">
        <v>0</v>
      </c>
      <c r="S92" s="81" t="n">
        <v>0</v>
      </c>
      <c r="T92" s="81" t="n">
        <v>0</v>
      </c>
      <c r="Y92" s="81" t="n">
        <v>1150</v>
      </c>
    </row>
    <row r="93">
      <c r="A93" s="72">
        <f>$D$20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INDEX($C$5:$C$7,MATCH(I93,$D$5:$D$7,0))</f>
        <v/>
      </c>
      <c r="E93" s="72">
        <f>INDEX($E$5:$E$7,MATCH(D93,$C$5:$C$7,0))</f>
        <v/>
      </c>
      <c r="F93" s="72">
        <f>INDEX($F$5:$F$7,MATCH(D93,$C$5:$C$7,0))</f>
        <v/>
      </c>
      <c r="G93" s="72">
        <f>INDEX($G$5:$G$7,MATCH(D93,$C$5:$C$7,0))</f>
        <v/>
      </c>
      <c r="H93" s="72" t="inlineStr">
        <is>
          <t>2459 N Peterson Ct-1</t>
        </is>
      </c>
      <c r="I93" s="72" t="inlineStr">
        <is>
          <t>3x3 Townhouse</t>
        </is>
      </c>
      <c r="J93" s="80" t="n">
        <v>1600</v>
      </c>
      <c r="K93" s="72" t="inlineStr">
        <is>
          <t>Mueller, Jake</t>
        </is>
      </c>
      <c r="L93" s="81" t="n">
        <v>1584</v>
      </c>
      <c r="M93" s="81">
        <f>Y93</f>
        <v/>
      </c>
      <c r="N93" s="82" t="n">
        <v>45443</v>
      </c>
      <c r="O93" s="82" t="n">
        <v>46175</v>
      </c>
      <c r="P93" s="82" t="n">
        <v>46544</v>
      </c>
      <c r="R93" s="81" t="n">
        <v>0</v>
      </c>
      <c r="S93" s="81" t="n">
        <v>0</v>
      </c>
      <c r="T93" s="81" t="n">
        <v>0</v>
      </c>
      <c r="Y93" s="81" t="n">
        <v>1494</v>
      </c>
    </row>
    <row r="94">
      <c r="A94" s="83">
        <f>$D$20</f>
        <v/>
      </c>
      <c r="B94" s="83">
        <f>B93+1</f>
        <v/>
      </c>
      <c r="C94" s="83">
        <f>IF(K94="Vacant","Vac",IF(K94="Model","Model",IF(K94="Admin","Admin",IF(K94="Down","Down",IF(K94="Super","Super","Occ")))))</f>
        <v/>
      </c>
      <c r="D94" s="83">
        <f>INDEX($C$5:$C$7,MATCH(I94,$D$5:$D$7,0))</f>
        <v/>
      </c>
      <c r="E94" s="83">
        <f>INDEX($E$5:$E$7,MATCH(D94,$C$5:$C$7,0))</f>
        <v/>
      </c>
      <c r="F94" s="83">
        <f>INDEX($F$5:$F$7,MATCH(D94,$C$5:$C$7,0))</f>
        <v/>
      </c>
      <c r="G94" s="83">
        <f>INDEX($G$5:$G$7,MATCH(D94,$C$5:$C$7,0))</f>
        <v/>
      </c>
      <c r="H94" s="83" t="inlineStr">
        <is>
          <t>2461 Idlewylde Ct-1</t>
        </is>
      </c>
      <c r="I94" s="83" t="inlineStr">
        <is>
          <t>2x2 Townhouse</t>
        </is>
      </c>
      <c r="J94" s="84" t="n">
        <v>1300</v>
      </c>
      <c r="K94" s="83" t="inlineStr">
        <is>
          <t>Vacant</t>
        </is>
      </c>
      <c r="L94" s="85" t="n">
        <v>1304</v>
      </c>
      <c r="M94" s="85">
        <f>Y94</f>
        <v/>
      </c>
      <c r="N94" s="86" t="n"/>
      <c r="O94" s="86" t="n"/>
      <c r="P94" s="86" t="n"/>
      <c r="Q94" s="86" t="n"/>
      <c r="R94" s="85" t="n">
        <v>0</v>
      </c>
      <c r="S94" s="85" t="n">
        <v>0</v>
      </c>
      <c r="T94" s="85" t="n">
        <v>0</v>
      </c>
      <c r="U94" s="86" t="n"/>
      <c r="V94" s="86" t="n"/>
      <c r="W94" s="86" t="n"/>
      <c r="X94" s="86" t="n"/>
      <c r="Y94" s="85" t="n">
        <v>0</v>
      </c>
    </row>
    <row r="95">
      <c r="A95" s="83">
        <f>$D$20</f>
        <v/>
      </c>
      <c r="B95" s="83">
        <f>B94+1</f>
        <v/>
      </c>
      <c r="C95" s="83">
        <f>IF(K95="Vacant","Vac",IF(K95="Model","Model",IF(K95="Admin","Admin",IF(K95="Down","Down",IF(K95="Super","Super","Occ")))))</f>
        <v/>
      </c>
      <c r="D95" s="83">
        <f>INDEX($C$5:$C$7,MATCH(I95,$D$5:$D$7,0))</f>
        <v/>
      </c>
      <c r="E95" s="83">
        <f>INDEX($E$5:$E$7,MATCH(D95,$C$5:$C$7,0))</f>
        <v/>
      </c>
      <c r="F95" s="83">
        <f>INDEX($F$5:$F$7,MATCH(D95,$C$5:$C$7,0))</f>
        <v/>
      </c>
      <c r="G95" s="83">
        <f>INDEX($G$5:$G$7,MATCH(D95,$C$5:$C$7,0))</f>
        <v/>
      </c>
      <c r="H95" s="83" t="inlineStr">
        <is>
          <t>2461 N Peterson Ct-1</t>
        </is>
      </c>
      <c r="I95" s="83" t="inlineStr">
        <is>
          <t>2x2 Townhouse</t>
        </is>
      </c>
      <c r="J95" s="84" t="n">
        <v>1300</v>
      </c>
      <c r="K95" s="83" t="inlineStr">
        <is>
          <t>Vacant</t>
        </is>
      </c>
      <c r="L95" s="85" t="n">
        <v>1304</v>
      </c>
      <c r="M95" s="85">
        <f>Y95</f>
        <v/>
      </c>
      <c r="N95" s="86" t="n"/>
      <c r="O95" s="86" t="n"/>
      <c r="P95" s="86" t="n"/>
      <c r="Q95" s="86" t="n"/>
      <c r="R95" s="85" t="n">
        <v>0</v>
      </c>
      <c r="S95" s="85" t="n">
        <v>0</v>
      </c>
      <c r="T95" s="85" t="n">
        <v>0</v>
      </c>
      <c r="U95" s="86" t="n"/>
      <c r="V95" s="86" t="n"/>
      <c r="W95" s="86" t="n"/>
      <c r="X95" s="86" t="n"/>
      <c r="Y95" s="85" t="n">
        <v>0</v>
      </c>
    </row>
    <row r="96">
      <c r="A96" s="72">
        <f>$D$20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INDEX($C$5:$C$7,MATCH(I96,$D$5:$D$7,0))</f>
        <v/>
      </c>
      <c r="E96" s="72">
        <f>INDEX($E$5:$E$7,MATCH(D96,$C$5:$C$7,0))</f>
        <v/>
      </c>
      <c r="F96" s="72">
        <f>INDEX($F$5:$F$7,MATCH(D96,$C$5:$C$7,0))</f>
        <v/>
      </c>
      <c r="G96" s="72">
        <f>INDEX($G$5:$G$7,MATCH(D96,$C$5:$C$7,0))</f>
        <v/>
      </c>
      <c r="H96" s="72" t="inlineStr">
        <is>
          <t>2463 Idlewylde Ct-1</t>
        </is>
      </c>
      <c r="I96" s="72" t="inlineStr">
        <is>
          <t>3x3 Townhouse</t>
        </is>
      </c>
      <c r="J96" s="80" t="n">
        <v>1600</v>
      </c>
      <c r="K96" s="72" t="inlineStr">
        <is>
          <t>Holloway, Kyle</t>
        </is>
      </c>
      <c r="L96" s="81" t="n">
        <v>1584</v>
      </c>
      <c r="M96" s="81">
        <f>Y96</f>
        <v/>
      </c>
      <c r="N96" s="82" t="n">
        <v>45488</v>
      </c>
      <c r="O96" s="82" t="n">
        <v>46209</v>
      </c>
      <c r="P96" s="82" t="n">
        <v>46579</v>
      </c>
      <c r="R96" s="81" t="n">
        <v>0</v>
      </c>
      <c r="S96" s="81" t="n">
        <v>0</v>
      </c>
      <c r="T96" s="81" t="n">
        <v>0</v>
      </c>
      <c r="Y96" s="81" t="n">
        <v>1535</v>
      </c>
    </row>
    <row r="97">
      <c r="A97" s="72">
        <f>$D$20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INDEX($C$5:$C$7,MATCH(I97,$D$5:$D$7,0))</f>
        <v/>
      </c>
      <c r="E97" s="72">
        <f>INDEX($E$5:$E$7,MATCH(D97,$C$5:$C$7,0))</f>
        <v/>
      </c>
      <c r="F97" s="72">
        <f>INDEX($F$5:$F$7,MATCH(D97,$C$5:$C$7,0))</f>
        <v/>
      </c>
      <c r="G97" s="72">
        <f>INDEX($G$5:$G$7,MATCH(D97,$C$5:$C$7,0))</f>
        <v/>
      </c>
      <c r="H97" s="72" t="inlineStr">
        <is>
          <t>2463 N Peterson Ct-1</t>
        </is>
      </c>
      <c r="I97" s="72" t="inlineStr">
        <is>
          <t>3x3 Townhouse</t>
        </is>
      </c>
      <c r="J97" s="80" t="n">
        <v>1600</v>
      </c>
      <c r="K97" s="72" t="inlineStr">
        <is>
          <t>Krystofiak, Caden</t>
        </is>
      </c>
      <c r="L97" s="81" t="n">
        <v>1659</v>
      </c>
      <c r="M97" s="81">
        <f>Y97</f>
        <v/>
      </c>
      <c r="N97" s="82" t="n">
        <v>45810</v>
      </c>
      <c r="O97" s="82" t="n">
        <v>46181</v>
      </c>
      <c r="P97" s="82" t="n">
        <v>46551</v>
      </c>
      <c r="R97" s="81" t="n">
        <v>0</v>
      </c>
      <c r="S97" s="81" t="n">
        <v>0</v>
      </c>
      <c r="T97" s="81" t="n">
        <v>0</v>
      </c>
      <c r="Y97" s="81" t="n">
        <v>1700</v>
      </c>
    </row>
    <row r="98">
      <c r="A98" s="72">
        <f>$D$20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INDEX($C$5:$C$7,MATCH(I98,$D$5:$D$7,0))</f>
        <v/>
      </c>
      <c r="E98" s="72">
        <f>INDEX($E$5:$E$7,MATCH(D98,$C$5:$C$7,0))</f>
        <v/>
      </c>
      <c r="F98" s="72">
        <f>INDEX($F$5:$F$7,MATCH(D98,$C$5:$C$7,0))</f>
        <v/>
      </c>
      <c r="G98" s="72">
        <f>INDEX($G$5:$G$7,MATCH(D98,$C$5:$C$7,0))</f>
        <v/>
      </c>
      <c r="H98" s="72" t="inlineStr">
        <is>
          <t>2465 Idlewylde Ct-1</t>
        </is>
      </c>
      <c r="I98" s="72" t="inlineStr">
        <is>
          <t>2x2 Townhouse</t>
        </is>
      </c>
      <c r="J98" s="80" t="n">
        <v>1300</v>
      </c>
      <c r="K98" s="72" t="inlineStr">
        <is>
          <t>Pugh, Jamie</t>
        </is>
      </c>
      <c r="L98" s="81" t="n">
        <v>1394</v>
      </c>
      <c r="M98" s="81">
        <f>Y98</f>
        <v/>
      </c>
      <c r="N98" s="82" t="n">
        <v>46171</v>
      </c>
      <c r="O98" s="82" t="n">
        <v>46171</v>
      </c>
      <c r="P98" s="82" t="n">
        <v>46537</v>
      </c>
      <c r="R98" s="81" t="n">
        <v>0</v>
      </c>
      <c r="S98" s="81" t="n">
        <v>0</v>
      </c>
      <c r="T98" s="81" t="n">
        <v>0</v>
      </c>
      <c r="Y98" s="81" t="n">
        <v>1355</v>
      </c>
    </row>
    <row r="99">
      <c r="A99" s="72">
        <f>$D$20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INDEX($C$5:$C$7,MATCH(I99,$D$5:$D$7,0))</f>
        <v/>
      </c>
      <c r="E99" s="72">
        <f>INDEX($E$5:$E$7,MATCH(D99,$C$5:$C$7,0))</f>
        <v/>
      </c>
      <c r="F99" s="72">
        <f>INDEX($F$5:$F$7,MATCH(D99,$C$5:$C$7,0))</f>
        <v/>
      </c>
      <c r="G99" s="72">
        <f>INDEX($G$5:$G$7,MATCH(D99,$C$5:$C$7,0))</f>
        <v/>
      </c>
      <c r="H99" s="72" t="inlineStr">
        <is>
          <t>2465 N Peterson Ct-1</t>
        </is>
      </c>
      <c r="I99" s="72" t="inlineStr">
        <is>
          <t>2x2 Townhouse</t>
        </is>
      </c>
      <c r="J99" s="80" t="n">
        <v>1300</v>
      </c>
      <c r="K99" s="72" t="inlineStr">
        <is>
          <t>Dunn, Makayla</t>
        </is>
      </c>
      <c r="L99" s="81" t="n">
        <v>1394</v>
      </c>
      <c r="M99" s="81">
        <f>Y99</f>
        <v/>
      </c>
      <c r="N99" s="82" t="n">
        <v>45938</v>
      </c>
      <c r="O99" s="82" t="n">
        <v>45938</v>
      </c>
      <c r="P99" s="82" t="n">
        <v>46488</v>
      </c>
      <c r="R99" s="81" t="n">
        <v>0</v>
      </c>
      <c r="S99" s="81" t="n">
        <v>0</v>
      </c>
      <c r="T99" s="81" t="n">
        <v>0</v>
      </c>
      <c r="Y99" s="81" t="n">
        <v>1370</v>
      </c>
    </row>
    <row r="100">
      <c r="A100" s="72">
        <f>$D$20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INDEX($C$5:$C$7,MATCH(I100,$D$5:$D$7,0))</f>
        <v/>
      </c>
      <c r="E100" s="72">
        <f>INDEX($E$5:$E$7,MATCH(D100,$C$5:$C$7,0))</f>
        <v/>
      </c>
      <c r="F100" s="72">
        <f>INDEX($F$5:$F$7,MATCH(D100,$C$5:$C$7,0))</f>
        <v/>
      </c>
      <c r="G100" s="72">
        <f>INDEX($G$5:$G$7,MATCH(D100,$C$5:$C$7,0))</f>
        <v/>
      </c>
      <c r="H100" s="72" t="inlineStr">
        <is>
          <t>2467 Idlewylde Ct-1</t>
        </is>
      </c>
      <c r="I100" s="72" t="inlineStr">
        <is>
          <t>3x3 Townhouse</t>
        </is>
      </c>
      <c r="J100" s="80" t="n">
        <v>1600</v>
      </c>
      <c r="K100" s="72" t="inlineStr">
        <is>
          <t>Bickers, Jason</t>
        </is>
      </c>
      <c r="L100" s="81" t="n">
        <v>1584</v>
      </c>
      <c r="M100" s="81">
        <f>Y100</f>
        <v/>
      </c>
      <c r="N100" s="82" t="n">
        <v>45418</v>
      </c>
      <c r="O100" s="82" t="n">
        <v>46174</v>
      </c>
      <c r="P100" s="82" t="n">
        <v>46544</v>
      </c>
      <c r="R100" s="81" t="n">
        <v>0</v>
      </c>
      <c r="S100" s="81" t="n">
        <v>0</v>
      </c>
      <c r="T100" s="81" t="n">
        <v>0</v>
      </c>
      <c r="Y100" s="81" t="n">
        <v>1494</v>
      </c>
    </row>
    <row r="101">
      <c r="A101" s="72">
        <f>$D$20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INDEX($C$5:$C$7,MATCH(I101,$D$5:$D$7,0))</f>
        <v/>
      </c>
      <c r="E101" s="72">
        <f>INDEX($E$5:$E$7,MATCH(D101,$C$5:$C$7,0))</f>
        <v/>
      </c>
      <c r="F101" s="72">
        <f>INDEX($F$5:$F$7,MATCH(D101,$C$5:$C$7,0))</f>
        <v/>
      </c>
      <c r="G101" s="72">
        <f>INDEX($G$5:$G$7,MATCH(D101,$C$5:$C$7,0))</f>
        <v/>
      </c>
      <c r="H101" s="72" t="inlineStr">
        <is>
          <t>2467 N Peterson Ct-1</t>
        </is>
      </c>
      <c r="I101" s="72" t="inlineStr">
        <is>
          <t>3x3 Townhouse</t>
        </is>
      </c>
      <c r="J101" s="80" t="n">
        <v>1600</v>
      </c>
      <c r="K101" s="72" t="inlineStr">
        <is>
          <t>Frank, Sean</t>
        </is>
      </c>
      <c r="L101" s="81" t="n">
        <v>1584</v>
      </c>
      <c r="M101" s="81">
        <f>Y101</f>
        <v/>
      </c>
      <c r="N101" s="82" t="n">
        <v>45408</v>
      </c>
      <c r="O101" s="82" t="n">
        <v>46146</v>
      </c>
      <c r="P101" s="82" t="n">
        <v>46362</v>
      </c>
      <c r="R101" s="81" t="n">
        <v>0</v>
      </c>
      <c r="S101" s="81" t="n">
        <v>0</v>
      </c>
      <c r="T101" s="81" t="n">
        <v>0</v>
      </c>
      <c r="Y101" s="81" t="n">
        <v>1494</v>
      </c>
    </row>
    <row r="102">
      <c r="A102" s="72">
        <f>$D$20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INDEX($C$5:$C$7,MATCH(I102,$D$5:$D$7,0))</f>
        <v/>
      </c>
      <c r="E102" s="72">
        <f>INDEX($E$5:$E$7,MATCH(D102,$C$5:$C$7,0))</f>
        <v/>
      </c>
      <c r="F102" s="72">
        <f>INDEX($F$5:$F$7,MATCH(D102,$C$5:$C$7,0))</f>
        <v/>
      </c>
      <c r="G102" s="72">
        <f>INDEX($G$5:$G$7,MATCH(D102,$C$5:$C$7,0))</f>
        <v/>
      </c>
      <c r="H102" s="72" t="inlineStr">
        <is>
          <t>2469 Idlewylde Ct-1</t>
        </is>
      </c>
      <c r="I102" s="72" t="inlineStr">
        <is>
          <t>2x2 Townhouse</t>
        </is>
      </c>
      <c r="J102" s="80" t="n">
        <v>1300</v>
      </c>
      <c r="K102" s="72" t="inlineStr">
        <is>
          <t>Lanier, Philip</t>
        </is>
      </c>
      <c r="L102" s="81" t="n">
        <v>1319</v>
      </c>
      <c r="M102" s="81">
        <f>Y102</f>
        <v/>
      </c>
      <c r="N102" s="82" t="n">
        <v>43313</v>
      </c>
      <c r="O102" s="82" t="n">
        <v>46209</v>
      </c>
      <c r="P102" s="82" t="n">
        <v>46579</v>
      </c>
      <c r="R102" s="81" t="n">
        <v>0</v>
      </c>
      <c r="S102" s="81" t="n">
        <v>0</v>
      </c>
      <c r="T102" s="81" t="n">
        <v>0</v>
      </c>
      <c r="Y102" s="81" t="n">
        <v>1300</v>
      </c>
    </row>
    <row r="103">
      <c r="A103" s="72">
        <f>$D$20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INDEX($C$5:$C$7,MATCH(I103,$D$5:$D$7,0))</f>
        <v/>
      </c>
      <c r="E103" s="72">
        <f>INDEX($E$5:$E$7,MATCH(D103,$C$5:$C$7,0))</f>
        <v/>
      </c>
      <c r="F103" s="72">
        <f>INDEX($F$5:$F$7,MATCH(D103,$C$5:$C$7,0))</f>
        <v/>
      </c>
      <c r="G103" s="72">
        <f>INDEX($G$5:$G$7,MATCH(D103,$C$5:$C$7,0))</f>
        <v/>
      </c>
      <c r="H103" s="72" t="inlineStr">
        <is>
          <t>2469 N Peterson Ct-1</t>
        </is>
      </c>
      <c r="I103" s="72" t="inlineStr">
        <is>
          <t>2x2 Townhouse</t>
        </is>
      </c>
      <c r="J103" s="80" t="n">
        <v>1300</v>
      </c>
      <c r="K103" s="72" t="inlineStr">
        <is>
          <t>Caldwell, James</t>
        </is>
      </c>
      <c r="L103" s="81" t="n">
        <v>1444</v>
      </c>
      <c r="M103" s="81">
        <f>Y103</f>
        <v/>
      </c>
      <c r="N103" s="82" t="n">
        <v>46188</v>
      </c>
      <c r="O103" s="82" t="n">
        <v>46188</v>
      </c>
      <c r="P103" s="82" t="n">
        <v>46558</v>
      </c>
      <c r="R103" s="81" t="n">
        <v>0</v>
      </c>
      <c r="S103" s="81" t="n">
        <v>0</v>
      </c>
      <c r="T103" s="81" t="n">
        <v>0</v>
      </c>
      <c r="Y103" s="81" t="n">
        <v>1575</v>
      </c>
    </row>
    <row r="104">
      <c r="A104" s="72">
        <f>$D$20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INDEX($C$5:$C$7,MATCH(I104,$D$5:$D$7,0))</f>
        <v/>
      </c>
      <c r="E104" s="72">
        <f>INDEX($E$5:$E$7,MATCH(D104,$C$5:$C$7,0))</f>
        <v/>
      </c>
      <c r="F104" s="72">
        <f>INDEX($F$5:$F$7,MATCH(D104,$C$5:$C$7,0))</f>
        <v/>
      </c>
      <c r="G104" s="72">
        <f>INDEX($G$5:$G$7,MATCH(D104,$C$5:$C$7,0))</f>
        <v/>
      </c>
      <c r="H104" s="72" t="inlineStr">
        <is>
          <t>2471 Idlewylde Ct-1</t>
        </is>
      </c>
      <c r="I104" s="72" t="inlineStr">
        <is>
          <t>3x3 Townhouse</t>
        </is>
      </c>
      <c r="J104" s="80" t="n">
        <v>1600</v>
      </c>
      <c r="K104" s="72" t="inlineStr">
        <is>
          <t>Johnson, Christopher</t>
        </is>
      </c>
      <c r="L104" s="81" t="n">
        <v>1584</v>
      </c>
      <c r="M104" s="81">
        <f>Y104</f>
        <v/>
      </c>
      <c r="N104" s="82" t="n">
        <v>43503</v>
      </c>
      <c r="O104" s="82" t="n">
        <v>46174</v>
      </c>
      <c r="P104" s="82" t="n">
        <v>46390</v>
      </c>
      <c r="R104" s="81" t="n">
        <v>0</v>
      </c>
      <c r="S104" s="81" t="n">
        <v>0</v>
      </c>
      <c r="T104" s="81" t="n">
        <v>0</v>
      </c>
      <c r="Y104" s="81" t="n">
        <v>1555</v>
      </c>
    </row>
    <row r="105">
      <c r="A105" s="72">
        <f>$D$20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INDEX($C$5:$C$7,MATCH(I105,$D$5:$D$7,0))</f>
        <v/>
      </c>
      <c r="E105" s="72">
        <f>INDEX($E$5:$E$7,MATCH(D105,$C$5:$C$7,0))</f>
        <v/>
      </c>
      <c r="F105" s="72">
        <f>INDEX($F$5:$F$7,MATCH(D105,$C$5:$C$7,0))</f>
        <v/>
      </c>
      <c r="G105" s="72">
        <f>INDEX($G$5:$G$7,MATCH(D105,$C$5:$C$7,0))</f>
        <v/>
      </c>
      <c r="H105" s="72" t="inlineStr">
        <is>
          <t>2471 N Peterson Ct-1</t>
        </is>
      </c>
      <c r="I105" s="72" t="inlineStr">
        <is>
          <t>3x3 Townhouse</t>
        </is>
      </c>
      <c r="J105" s="80" t="n">
        <v>1600</v>
      </c>
      <c r="K105" s="72" t="inlineStr">
        <is>
          <t>DeVuono, Joseph</t>
        </is>
      </c>
      <c r="L105" s="81" t="n">
        <v>1584</v>
      </c>
      <c r="M105" s="81">
        <f>Y105</f>
        <v/>
      </c>
      <c r="N105" s="82" t="n">
        <v>45380</v>
      </c>
      <c r="O105" s="82" t="n">
        <v>46118</v>
      </c>
      <c r="P105" s="82" t="n">
        <v>46488</v>
      </c>
      <c r="R105" s="81" t="n">
        <v>0</v>
      </c>
      <c r="S105" s="81" t="n">
        <v>0</v>
      </c>
      <c r="T105" s="81" t="n">
        <v>0</v>
      </c>
      <c r="Y105" s="81" t="n">
        <v>1361</v>
      </c>
    </row>
    <row r="106">
      <c r="A106" s="83">
        <f>$D$20</f>
        <v/>
      </c>
      <c r="B106" s="83">
        <f>B105+1</f>
        <v/>
      </c>
      <c r="C106" s="83">
        <f>IF(K106="Vacant","Vac",IF(K106="Model","Model",IF(K106="Admin","Admin",IF(K106="Down","Down",IF(K106="Super","Super","Occ")))))</f>
        <v/>
      </c>
      <c r="D106" s="83">
        <f>INDEX($C$5:$C$7,MATCH(I106,$D$5:$D$7,0))</f>
        <v/>
      </c>
      <c r="E106" s="83">
        <f>INDEX($E$5:$E$7,MATCH(D106,$C$5:$C$7,0))</f>
        <v/>
      </c>
      <c r="F106" s="83">
        <f>INDEX($F$5:$F$7,MATCH(D106,$C$5:$C$7,0))</f>
        <v/>
      </c>
      <c r="G106" s="83">
        <f>INDEX($G$5:$G$7,MATCH(D106,$C$5:$C$7,0))</f>
        <v/>
      </c>
      <c r="H106" s="83" t="inlineStr">
        <is>
          <t>2473 Idlewylde Ct-1</t>
        </is>
      </c>
      <c r="I106" s="83" t="inlineStr">
        <is>
          <t>2x2 Townhouse</t>
        </is>
      </c>
      <c r="J106" s="84" t="n">
        <v>1300</v>
      </c>
      <c r="K106" s="83" t="inlineStr">
        <is>
          <t>Vacant</t>
        </is>
      </c>
      <c r="L106" s="85" t="n">
        <v>1304</v>
      </c>
      <c r="M106" s="85">
        <f>Y106</f>
        <v/>
      </c>
      <c r="N106" s="86" t="n"/>
      <c r="O106" s="86" t="n"/>
      <c r="P106" s="86" t="n"/>
      <c r="Q106" s="86" t="n"/>
      <c r="R106" s="85" t="n">
        <v>0</v>
      </c>
      <c r="S106" s="85" t="n">
        <v>0</v>
      </c>
      <c r="T106" s="85" t="n">
        <v>0</v>
      </c>
      <c r="U106" s="86" t="n"/>
      <c r="V106" s="86" t="n"/>
      <c r="W106" s="86" t="n"/>
      <c r="X106" s="86" t="n"/>
      <c r="Y106" s="85" t="n">
        <v>0</v>
      </c>
    </row>
    <row r="107">
      <c r="A107" s="72">
        <f>$D$20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INDEX($C$5:$C$7,MATCH(I107,$D$5:$D$7,0))</f>
        <v/>
      </c>
      <c r="E107" s="72">
        <f>INDEX($E$5:$E$7,MATCH(D107,$C$5:$C$7,0))</f>
        <v/>
      </c>
      <c r="F107" s="72">
        <f>INDEX($F$5:$F$7,MATCH(D107,$C$5:$C$7,0))</f>
        <v/>
      </c>
      <c r="G107" s="72">
        <f>INDEX($G$5:$G$7,MATCH(D107,$C$5:$C$7,0))</f>
        <v/>
      </c>
      <c r="H107" s="72" t="inlineStr">
        <is>
          <t>2473 N Peterson Ct-1</t>
        </is>
      </c>
      <c r="I107" s="72" t="inlineStr">
        <is>
          <t>2x2 Townhouse</t>
        </is>
      </c>
      <c r="J107" s="80" t="n">
        <v>1300</v>
      </c>
      <c r="K107" s="72" t="inlineStr">
        <is>
          <t>Chamberlain, Damon</t>
        </is>
      </c>
      <c r="L107" s="81" t="n">
        <v>1449</v>
      </c>
      <c r="M107" s="81">
        <f>Y107</f>
        <v/>
      </c>
      <c r="N107" s="82" t="n">
        <v>45576</v>
      </c>
      <c r="O107" s="82" t="n">
        <v>45962</v>
      </c>
      <c r="P107" s="82" t="n">
        <v>46299</v>
      </c>
      <c r="R107" s="81" t="n">
        <v>0</v>
      </c>
      <c r="S107" s="81" t="n">
        <v>0</v>
      </c>
      <c r="T107" s="81" t="n">
        <v>0</v>
      </c>
      <c r="Y107" s="81" t="n">
        <v>1332</v>
      </c>
    </row>
    <row r="108">
      <c r="A108" s="72">
        <f>$D$20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INDEX($C$5:$C$7,MATCH(I108,$D$5:$D$7,0))</f>
        <v/>
      </c>
      <c r="E108" s="72">
        <f>INDEX($E$5:$E$7,MATCH(D108,$C$5:$C$7,0))</f>
        <v/>
      </c>
      <c r="F108" s="72">
        <f>INDEX($F$5:$F$7,MATCH(D108,$C$5:$C$7,0))</f>
        <v/>
      </c>
      <c r="G108" s="72">
        <f>INDEX($G$5:$G$7,MATCH(D108,$C$5:$C$7,0))</f>
        <v/>
      </c>
      <c r="H108" s="72" t="inlineStr">
        <is>
          <t>2475 Idlewylde Ct-1</t>
        </is>
      </c>
      <c r="I108" s="72" t="inlineStr">
        <is>
          <t>3x3 Townhouse</t>
        </is>
      </c>
      <c r="J108" s="80" t="n">
        <v>1600</v>
      </c>
      <c r="K108" s="72" t="inlineStr">
        <is>
          <t>Pennington, Raejon</t>
        </is>
      </c>
      <c r="L108" s="81" t="n">
        <v>1659</v>
      </c>
      <c r="M108" s="81">
        <f>Y108</f>
        <v/>
      </c>
      <c r="N108" s="82" t="n">
        <v>46025</v>
      </c>
      <c r="O108" s="82" t="n">
        <v>46025</v>
      </c>
      <c r="P108" s="82" t="n">
        <v>46572</v>
      </c>
      <c r="R108" s="81" t="n">
        <v>0</v>
      </c>
      <c r="S108" s="81" t="n">
        <v>0</v>
      </c>
      <c r="T108" s="81" t="n">
        <v>0</v>
      </c>
      <c r="Y108" s="81" t="n">
        <v>1564</v>
      </c>
    </row>
    <row r="109">
      <c r="A109" s="72">
        <f>$D$20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INDEX($C$5:$C$7,MATCH(I109,$D$5:$D$7,0))</f>
        <v/>
      </c>
      <c r="E109" s="72">
        <f>INDEX($E$5:$E$7,MATCH(D109,$C$5:$C$7,0))</f>
        <v/>
      </c>
      <c r="F109" s="72">
        <f>INDEX($F$5:$F$7,MATCH(D109,$C$5:$C$7,0))</f>
        <v/>
      </c>
      <c r="G109" s="72">
        <f>INDEX($G$5:$G$7,MATCH(D109,$C$5:$C$7,0))</f>
        <v/>
      </c>
      <c r="H109" s="72" t="inlineStr">
        <is>
          <t>2475 N Peterson Ct-1</t>
        </is>
      </c>
      <c r="I109" s="72" t="inlineStr">
        <is>
          <t>3x3 Townhouse</t>
        </is>
      </c>
      <c r="J109" s="80" t="n">
        <v>1600</v>
      </c>
      <c r="K109" s="72" t="inlineStr">
        <is>
          <t>Saul, Ryan</t>
        </is>
      </c>
      <c r="L109" s="81" t="n">
        <v>1584</v>
      </c>
      <c r="M109" s="81">
        <f>Y109</f>
        <v/>
      </c>
      <c r="N109" s="82" t="n">
        <v>45197</v>
      </c>
      <c r="O109" s="82" t="n">
        <v>46023</v>
      </c>
      <c r="P109" s="82" t="n">
        <v>46481</v>
      </c>
      <c r="R109" s="81" t="n">
        <v>0</v>
      </c>
      <c r="S109" s="81" t="n">
        <v>0</v>
      </c>
      <c r="T109" s="81" t="n">
        <v>0</v>
      </c>
      <c r="Y109" s="81" t="n">
        <v>1489</v>
      </c>
    </row>
    <row r="110">
      <c r="A110" s="72">
        <f>$D$20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INDEX($C$5:$C$7,MATCH(I110,$D$5:$D$7,0))</f>
        <v/>
      </c>
      <c r="E110" s="72">
        <f>INDEX($E$5:$E$7,MATCH(D110,$C$5:$C$7,0))</f>
        <v/>
      </c>
      <c r="F110" s="72">
        <f>INDEX($F$5:$F$7,MATCH(D110,$C$5:$C$7,0))</f>
        <v/>
      </c>
      <c r="G110" s="72">
        <f>INDEX($G$5:$G$7,MATCH(D110,$C$5:$C$7,0))</f>
        <v/>
      </c>
      <c r="H110" s="72" t="inlineStr">
        <is>
          <t>2477 N Peterson Ct-1</t>
        </is>
      </c>
      <c r="I110" s="72" t="inlineStr">
        <is>
          <t>2x2 Townhouse</t>
        </is>
      </c>
      <c r="J110" s="80" t="n">
        <v>1300</v>
      </c>
      <c r="K110" s="72" t="inlineStr">
        <is>
          <t>Suraba, Jake</t>
        </is>
      </c>
      <c r="L110" s="81" t="n">
        <v>1444</v>
      </c>
      <c r="M110" s="81">
        <f>Y110</f>
        <v/>
      </c>
      <c r="N110" s="82" t="n">
        <v>45792</v>
      </c>
      <c r="O110" s="82" t="n">
        <v>46160</v>
      </c>
      <c r="P110" s="82" t="n">
        <v>46495</v>
      </c>
      <c r="R110" s="81" t="n">
        <v>0</v>
      </c>
      <c r="S110" s="81" t="n">
        <v>0</v>
      </c>
      <c r="T110" s="81" t="n">
        <v>0</v>
      </c>
      <c r="Y110" s="81" t="n">
        <v>1402</v>
      </c>
    </row>
    <row r="111">
      <c r="A111" s="72">
        <f>$D$20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INDEX($C$5:$C$7,MATCH(I111,$D$5:$D$7,0))</f>
        <v/>
      </c>
      <c r="E111" s="72">
        <f>INDEX($E$5:$E$7,MATCH(D111,$C$5:$C$7,0))</f>
        <v/>
      </c>
      <c r="F111" s="72">
        <f>INDEX($F$5:$F$7,MATCH(D111,$C$5:$C$7,0))</f>
        <v/>
      </c>
      <c r="G111" s="72">
        <f>INDEX($G$5:$G$7,MATCH(D111,$C$5:$C$7,0))</f>
        <v/>
      </c>
      <c r="H111" s="72" t="inlineStr">
        <is>
          <t>2479 N Peterson Ct-1</t>
        </is>
      </c>
      <c r="I111" s="72" t="inlineStr">
        <is>
          <t>3x3 Townhouse</t>
        </is>
      </c>
      <c r="J111" s="80" t="n">
        <v>1600</v>
      </c>
      <c r="K111" s="72" t="inlineStr">
        <is>
          <t>Gregory, Scott</t>
        </is>
      </c>
      <c r="L111" s="81" t="n">
        <v>1584</v>
      </c>
      <c r="M111" s="81">
        <f>Y111</f>
        <v/>
      </c>
      <c r="N111" s="82" t="n">
        <v>41836</v>
      </c>
      <c r="O111" s="82" t="n">
        <v>46054</v>
      </c>
      <c r="P111" s="82" t="n">
        <v>46418</v>
      </c>
      <c r="R111" s="81" t="n">
        <v>0</v>
      </c>
      <c r="S111" s="81" t="n">
        <v>0</v>
      </c>
      <c r="T111" s="81" t="n">
        <v>0</v>
      </c>
      <c r="Y111" s="81" t="n">
        <v>1466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K112"/>
  <sheetViews>
    <sheetView showGridLines="1" workbookViewId="0">
      <selection activeCell="A1" sqref="A1"/>
    </sheetView>
  </sheetViews>
  <sheetFormatPr baseColWidth="8" defaultRowHeight="15"/>
  <cols>
    <col width="13.57142857142857" customWidth="1" min="1" max="1"/>
    <col width="10.71428571428571" customWidth="1" min="4" max="4"/>
    <col width="13.57142857142857" customWidth="1" min="5" max="5"/>
    <col width="10.71428571428571" customWidth="1" min="7" max="7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2">
      <c r="A2" t="inlineStr">
        <is>
          <t>Rent Roll</t>
        </is>
      </c>
    </row>
    <row r="3">
      <c r="A3" t="inlineStr">
        <is>
          <t>Eagles Eyrie</t>
        </is>
      </c>
    </row>
    <row r="4">
      <c r="A4" t="inlineStr">
        <is>
          <t>09/10/2026</t>
        </is>
      </c>
    </row>
    <row r="6">
      <c r="A6" t="inlineStr">
        <is>
          <t>Unit Details</t>
        </is>
      </c>
    </row>
    <row r="7">
      <c r="A7" t="inlineStr">
        <is>
          <t>Property Look-Up Code</t>
        </is>
      </c>
      <c r="B7" t="inlineStr">
        <is>
          <t>Bldg-Unit</t>
        </is>
      </c>
      <c r="C7" t="inlineStr">
        <is>
          <t>Unit Type</t>
        </is>
      </c>
      <c r="D7" t="inlineStr">
        <is>
          <t>SQFT</t>
        </is>
      </c>
      <c r="E7" t="inlineStr">
        <is>
          <t>Unit Status</t>
        </is>
      </c>
      <c r="F7" t="inlineStr">
        <is>
          <t>Resident</t>
        </is>
      </c>
      <c r="G7" t="inlineStr">
        <is>
          <t>Move-In</t>
        </is>
      </c>
      <c r="H7" t="inlineStr">
        <is>
          <t>Lease Start</t>
        </is>
      </c>
      <c r="I7" t="inlineStr">
        <is>
          <t>Lease End</t>
        </is>
      </c>
      <c r="J7" t="inlineStr">
        <is>
          <t>Market Rent (RI)</t>
        </is>
      </c>
      <c r="K7" t="inlineStr">
        <is>
          <t>Scheduled Charges</t>
        </is>
      </c>
      <c r="L7" t="inlineStr">
        <is>
          <t>Deposit Held</t>
        </is>
      </c>
    </row>
    <row r="8">
      <c r="A8" t="inlineStr">
        <is>
          <t>EAGL</t>
        </is>
      </c>
      <c r="B8" t="inlineStr">
        <is>
          <t>2421 N Peterson Ct-1</t>
        </is>
      </c>
      <c r="C8" t="inlineStr">
        <is>
          <t>2x2 Townhouse</t>
        </is>
      </c>
      <c r="D8" s="87" t="n">
        <v>1300</v>
      </c>
      <c r="E8" t="inlineStr">
        <is>
          <t>Occupied No Notice</t>
        </is>
      </c>
      <c r="F8" t="inlineStr">
        <is>
          <t>Price, Ally</t>
        </is>
      </c>
      <c r="G8" s="88" t="n">
        <v>46164</v>
      </c>
      <c r="H8" s="88" t="n">
        <v>46164</v>
      </c>
      <c r="I8" s="88" t="n">
        <v>46530</v>
      </c>
      <c r="J8" s="89" t="n">
        <v>1394</v>
      </c>
      <c r="K8" s="89" t="n">
        <v>1367</v>
      </c>
      <c r="L8" s="89" t="n">
        <v>0</v>
      </c>
    </row>
    <row r="9">
      <c r="A9" t="inlineStr">
        <is>
          <t>EAGL</t>
        </is>
      </c>
      <c r="B9" t="inlineStr">
        <is>
          <t>2423 N Peterson Ct-1</t>
        </is>
      </c>
      <c r="C9" t="inlineStr">
        <is>
          <t>3x3 Townhouse</t>
        </is>
      </c>
      <c r="D9" s="87" t="n">
        <v>1600</v>
      </c>
      <c r="E9" t="inlineStr">
        <is>
          <t>Occupied No Notice</t>
        </is>
      </c>
      <c r="F9" t="inlineStr">
        <is>
          <t>Winn, Sterling</t>
        </is>
      </c>
      <c r="G9" s="88" t="n">
        <v>45355</v>
      </c>
      <c r="H9" s="88" t="n">
        <v>46118</v>
      </c>
      <c r="I9" s="88" t="n">
        <v>46488</v>
      </c>
      <c r="J9" s="89" t="n">
        <v>1584</v>
      </c>
      <c r="K9" s="89" t="n">
        <v>1525</v>
      </c>
      <c r="L9" s="89" t="n">
        <v>1300</v>
      </c>
    </row>
    <row r="10">
      <c r="A10" t="inlineStr">
        <is>
          <t>EAGL</t>
        </is>
      </c>
      <c r="B10" t="inlineStr">
        <is>
          <t>2425 Idlewylde Ct-1</t>
        </is>
      </c>
      <c r="C10" t="inlineStr">
        <is>
          <t>2x2 Townhouse</t>
        </is>
      </c>
      <c r="D10" s="87" t="n">
        <v>1300</v>
      </c>
      <c r="E10" t="inlineStr">
        <is>
          <t>Occupied No Notice</t>
        </is>
      </c>
      <c r="F10" t="inlineStr">
        <is>
          <t>harris, shonna</t>
        </is>
      </c>
      <c r="G10" s="88" t="n">
        <v>45930</v>
      </c>
      <c r="H10" s="88" t="n">
        <v>45930</v>
      </c>
      <c r="I10" s="88" t="n">
        <v>46481</v>
      </c>
      <c r="J10" s="89" t="n">
        <v>1394</v>
      </c>
      <c r="K10" s="89" t="n">
        <v>1375</v>
      </c>
      <c r="L10" s="89" t="n">
        <v>687.5</v>
      </c>
    </row>
    <row r="11">
      <c r="A11" t="inlineStr">
        <is>
          <t>EAGL</t>
        </is>
      </c>
      <c r="B11" t="inlineStr">
        <is>
          <t>2425 N Peterson Ct-1</t>
        </is>
      </c>
      <c r="C11" t="inlineStr">
        <is>
          <t>2x2 Townhouse</t>
        </is>
      </c>
      <c r="D11" s="87" t="n">
        <v>1300</v>
      </c>
      <c r="E11" t="inlineStr">
        <is>
          <t>Occupied No Notice</t>
        </is>
      </c>
      <c r="F11" t="inlineStr">
        <is>
          <t>Adams, David</t>
        </is>
      </c>
      <c r="G11" s="88" t="n">
        <v>46269</v>
      </c>
      <c r="H11" s="88" t="n">
        <v>46269</v>
      </c>
      <c r="I11" s="88" t="n">
        <v>46635</v>
      </c>
      <c r="J11" s="89" t="n">
        <v>1394</v>
      </c>
      <c r="K11" s="89" t="n">
        <v>1304</v>
      </c>
      <c r="L11" s="89" t="n">
        <v>0</v>
      </c>
    </row>
    <row r="12">
      <c r="A12" t="inlineStr">
        <is>
          <t>EAGL</t>
        </is>
      </c>
      <c r="B12" t="inlineStr">
        <is>
          <t>2426 Eagles Eyrie-1</t>
        </is>
      </c>
      <c r="C12" t="inlineStr">
        <is>
          <t>2x2</t>
        </is>
      </c>
      <c r="D12" s="87" t="n">
        <v>1300</v>
      </c>
      <c r="E12" t="inlineStr">
        <is>
          <t>Occupied No Notice</t>
        </is>
      </c>
      <c r="F12" t="inlineStr">
        <is>
          <t>Stelly, Joshua</t>
        </is>
      </c>
      <c r="G12" s="88" t="n">
        <v>44974</v>
      </c>
      <c r="H12" s="88" t="n">
        <v>46181</v>
      </c>
      <c r="I12" s="88" t="n">
        <v>46551</v>
      </c>
      <c r="J12" s="89" t="n">
        <v>1205</v>
      </c>
      <c r="K12" s="89" t="n">
        <v>1123</v>
      </c>
      <c r="L12" s="89" t="n">
        <v>1000</v>
      </c>
    </row>
    <row r="13">
      <c r="A13" t="inlineStr">
        <is>
          <t>EAGL</t>
        </is>
      </c>
      <c r="B13" t="inlineStr">
        <is>
          <t>2426 Eagles Eyrie-2</t>
        </is>
      </c>
      <c r="C13" t="inlineStr">
        <is>
          <t>2x2</t>
        </is>
      </c>
      <c r="D13" s="87" t="n">
        <v>1300</v>
      </c>
      <c r="E13" t="inlineStr">
        <is>
          <t>Occupied No Notice</t>
        </is>
      </c>
      <c r="F13" t="inlineStr">
        <is>
          <t>Dennis, Dymond</t>
        </is>
      </c>
      <c r="G13" s="88" t="n">
        <v>46218</v>
      </c>
      <c r="H13" s="88" t="n">
        <v>46218</v>
      </c>
      <c r="I13" s="88" t="n">
        <v>46586</v>
      </c>
      <c r="J13" s="89" t="n">
        <v>1280</v>
      </c>
      <c r="K13" s="89" t="n">
        <v>1292</v>
      </c>
      <c r="L13" s="89" t="n">
        <v>0</v>
      </c>
    </row>
    <row r="14">
      <c r="A14" t="inlineStr">
        <is>
          <t>EAGL</t>
        </is>
      </c>
      <c r="B14" t="inlineStr">
        <is>
          <t>2427 Idlewylde Ct-1</t>
        </is>
      </c>
      <c r="C14" t="inlineStr">
        <is>
          <t>3x3 Townhouse</t>
        </is>
      </c>
      <c r="D14" s="87" t="n">
        <v>1600</v>
      </c>
      <c r="E14" t="inlineStr">
        <is>
          <t>Occupied No Notice</t>
        </is>
      </c>
      <c r="F14" t="inlineStr">
        <is>
          <t>Maynor, Franklin</t>
        </is>
      </c>
      <c r="G14" s="88" t="n">
        <v>42266</v>
      </c>
      <c r="H14" s="88" t="n">
        <v>45931</v>
      </c>
      <c r="I14" s="88" t="n">
        <v>46299</v>
      </c>
      <c r="J14" s="89" t="n">
        <v>1584</v>
      </c>
      <c r="K14" s="89" t="n">
        <v>1405</v>
      </c>
      <c r="L14" s="89" t="n">
        <v>500</v>
      </c>
    </row>
    <row r="15">
      <c r="A15" t="inlineStr">
        <is>
          <t>EAGL</t>
        </is>
      </c>
      <c r="B15" t="inlineStr">
        <is>
          <t>2427 N Peterson Ct-1</t>
        </is>
      </c>
      <c r="C15" t="inlineStr">
        <is>
          <t>3x3 Townhouse</t>
        </is>
      </c>
      <c r="D15" s="87" t="n">
        <v>1600</v>
      </c>
      <c r="E15" t="inlineStr">
        <is>
          <t>Occupied No Notice</t>
        </is>
      </c>
      <c r="F15" t="inlineStr">
        <is>
          <t>Rowan, Kaleb</t>
        </is>
      </c>
      <c r="G15" s="88" t="n">
        <v>46241</v>
      </c>
      <c r="H15" s="88" t="n">
        <v>46241</v>
      </c>
      <c r="I15" s="88" t="n">
        <v>46607</v>
      </c>
      <c r="J15" s="89" t="n">
        <v>1784</v>
      </c>
      <c r="K15" s="89" t="n">
        <v>1776</v>
      </c>
      <c r="L15" s="89" t="n">
        <v>1776</v>
      </c>
    </row>
    <row r="16">
      <c r="A16" t="inlineStr">
        <is>
          <t>EAGL</t>
        </is>
      </c>
      <c r="B16" t="inlineStr">
        <is>
          <t>2428 Eagles Eyrie-3</t>
        </is>
      </c>
      <c r="C16" t="inlineStr">
        <is>
          <t>2x2</t>
        </is>
      </c>
      <c r="D16" s="87" t="n">
        <v>1300</v>
      </c>
      <c r="E16" t="inlineStr">
        <is>
          <t>Occupied No Notice</t>
        </is>
      </c>
      <c r="F16" t="inlineStr">
        <is>
          <t>Hagerman, Maureen</t>
        </is>
      </c>
      <c r="G16" s="88" t="n">
        <v>42686</v>
      </c>
      <c r="H16" s="88" t="n">
        <v>45992</v>
      </c>
      <c r="I16" s="88" t="n">
        <v>46418</v>
      </c>
      <c r="J16" s="89" t="n">
        <v>1205</v>
      </c>
      <c r="K16" s="89" t="n">
        <v>1140</v>
      </c>
      <c r="L16" s="89" t="n">
        <v>400</v>
      </c>
    </row>
    <row r="17">
      <c r="A17" t="inlineStr">
        <is>
          <t>EAGL</t>
        </is>
      </c>
      <c r="B17" t="inlineStr">
        <is>
          <t>2428 Eagles Eyrie-4</t>
        </is>
      </c>
      <c r="C17" t="inlineStr">
        <is>
          <t>2x2</t>
        </is>
      </c>
      <c r="D17" s="87" t="n">
        <v>1300</v>
      </c>
      <c r="E17" t="inlineStr">
        <is>
          <t>Occupied No Notice</t>
        </is>
      </c>
      <c r="F17" t="inlineStr">
        <is>
          <t>Hart, Patricia</t>
        </is>
      </c>
      <c r="G17" s="88" t="n">
        <v>44151</v>
      </c>
      <c r="H17" s="88" t="n">
        <v>45992</v>
      </c>
      <c r="I17" s="88" t="n">
        <v>46418</v>
      </c>
      <c r="J17" s="89" t="n">
        <v>1205</v>
      </c>
      <c r="K17" s="89" t="n">
        <v>1139</v>
      </c>
      <c r="L17" s="89" t="n">
        <v>400</v>
      </c>
    </row>
    <row r="18">
      <c r="A18" t="inlineStr">
        <is>
          <t>EAGL</t>
        </is>
      </c>
      <c r="B18" t="inlineStr">
        <is>
          <t>2428 Eagles Eyrie-5</t>
        </is>
      </c>
      <c r="C18" t="inlineStr">
        <is>
          <t>2x2</t>
        </is>
      </c>
      <c r="D18" s="87" t="n">
        <v>1300</v>
      </c>
      <c r="E18" t="inlineStr">
        <is>
          <t>Occupied No Notice</t>
        </is>
      </c>
      <c r="F18" t="inlineStr">
        <is>
          <t>Cole, Latasha</t>
        </is>
      </c>
      <c r="G18" s="88" t="n">
        <v>44420</v>
      </c>
      <c r="H18" s="88" t="n">
        <v>46209</v>
      </c>
      <c r="I18" s="88" t="n">
        <v>46579</v>
      </c>
      <c r="J18" s="89" t="n">
        <v>1255</v>
      </c>
      <c r="K18" s="89" t="n">
        <v>1276</v>
      </c>
      <c r="L18" s="89" t="n">
        <v>400</v>
      </c>
    </row>
    <row r="19">
      <c r="A19" t="inlineStr">
        <is>
          <t>EAGL</t>
        </is>
      </c>
      <c r="B19" t="inlineStr">
        <is>
          <t>2428 Eagles Eyrie-6</t>
        </is>
      </c>
      <c r="C19" t="inlineStr">
        <is>
          <t>2x2</t>
        </is>
      </c>
      <c r="D19" s="87" t="n">
        <v>1300</v>
      </c>
      <c r="E19" t="inlineStr">
        <is>
          <t>Occupied No Notice</t>
        </is>
      </c>
      <c r="F19" t="inlineStr">
        <is>
          <t>Brown, Termell</t>
        </is>
      </c>
      <c r="G19" s="88" t="n">
        <v>46148</v>
      </c>
      <c r="H19" s="88" t="n">
        <v>46148</v>
      </c>
      <c r="I19" s="88" t="n">
        <v>46488</v>
      </c>
      <c r="J19" s="89" t="n">
        <v>1280</v>
      </c>
      <c r="K19" s="89" t="n">
        <v>1214</v>
      </c>
      <c r="L19" s="89" t="n">
        <v>500</v>
      </c>
    </row>
    <row r="20">
      <c r="A20" t="inlineStr">
        <is>
          <t>EAGL</t>
        </is>
      </c>
      <c r="B20" t="inlineStr">
        <is>
          <t>2429 Idlewylde Ct-1</t>
        </is>
      </c>
      <c r="C20" t="inlineStr">
        <is>
          <t>2x2 Townhouse</t>
        </is>
      </c>
      <c r="D20" s="87" t="n">
        <v>1300</v>
      </c>
      <c r="E20" t="inlineStr">
        <is>
          <t>Occupied No Notice</t>
        </is>
      </c>
      <c r="F20" t="inlineStr">
        <is>
          <t>haney, rose</t>
        </is>
      </c>
      <c r="G20" s="88" t="n">
        <v>46251</v>
      </c>
      <c r="H20" s="88" t="n">
        <v>46251</v>
      </c>
      <c r="I20" s="88" t="n">
        <v>46621</v>
      </c>
      <c r="J20" s="89" t="n">
        <v>1394</v>
      </c>
      <c r="K20" s="89" t="n">
        <v>1295</v>
      </c>
      <c r="L20" s="89" t="n">
        <v>500</v>
      </c>
    </row>
    <row r="21">
      <c r="A21" t="inlineStr">
        <is>
          <t>EAGL</t>
        </is>
      </c>
      <c r="B21" t="inlineStr">
        <is>
          <t>2429 N Peterson Ct-1</t>
        </is>
      </c>
      <c r="C21" t="inlineStr">
        <is>
          <t>2x2 Townhouse</t>
        </is>
      </c>
      <c r="D21" s="87" t="n">
        <v>1300</v>
      </c>
      <c r="E21" t="inlineStr">
        <is>
          <t>Occupied No Notice</t>
        </is>
      </c>
      <c r="F21" t="inlineStr">
        <is>
          <t>Outland, Bradley</t>
        </is>
      </c>
      <c r="G21" s="88" t="n">
        <v>45429</v>
      </c>
      <c r="H21" s="88" t="n">
        <v>46174</v>
      </c>
      <c r="I21" s="88" t="n">
        <v>46544</v>
      </c>
      <c r="J21" s="89" t="n">
        <v>1319</v>
      </c>
      <c r="K21" s="89" t="n">
        <v>1300</v>
      </c>
      <c r="L21" s="89" t="n">
        <v>500</v>
      </c>
    </row>
    <row r="22">
      <c r="A22" t="inlineStr">
        <is>
          <t>EAGL</t>
        </is>
      </c>
      <c r="B22" t="inlineStr">
        <is>
          <t>2430 Eagles Eyrie-1</t>
        </is>
      </c>
      <c r="C22" t="inlineStr">
        <is>
          <t>2x2</t>
        </is>
      </c>
      <c r="D22" s="87" t="n">
        <v>1300</v>
      </c>
      <c r="E22" t="inlineStr">
        <is>
          <t>Occupied No Notice</t>
        </is>
      </c>
      <c r="F22" t="inlineStr">
        <is>
          <t>Capossela, David</t>
        </is>
      </c>
      <c r="G22" s="88" t="n">
        <v>44407</v>
      </c>
      <c r="H22" s="88" t="n">
        <v>46209</v>
      </c>
      <c r="I22" s="88" t="n">
        <v>46579</v>
      </c>
      <c r="J22" s="89" t="n">
        <v>1205</v>
      </c>
      <c r="K22" s="89" t="n">
        <v>1126</v>
      </c>
      <c r="L22" s="89" t="n">
        <v>400</v>
      </c>
    </row>
    <row r="23">
      <c r="A23" t="inlineStr">
        <is>
          <t>EAGL</t>
        </is>
      </c>
      <c r="B23" t="inlineStr">
        <is>
          <t>2430 Eagles Eyrie-2</t>
        </is>
      </c>
      <c r="C23" t="inlineStr">
        <is>
          <t>2x2</t>
        </is>
      </c>
      <c r="D23" s="87" t="n">
        <v>1300</v>
      </c>
      <c r="E23" t="inlineStr">
        <is>
          <t>Occupied No Notice</t>
        </is>
      </c>
      <c r="F23" t="inlineStr">
        <is>
          <t>Cash, Alexis</t>
        </is>
      </c>
      <c r="G23" s="88" t="n">
        <v>45170</v>
      </c>
      <c r="H23" s="88" t="n">
        <v>46209</v>
      </c>
      <c r="I23" s="88" t="n">
        <v>46579</v>
      </c>
      <c r="J23" s="89" t="n">
        <v>1205</v>
      </c>
      <c r="K23" s="89" t="n">
        <v>1180</v>
      </c>
      <c r="L23" s="89" t="n">
        <v>1000</v>
      </c>
    </row>
    <row r="24">
      <c r="A24" t="inlineStr">
        <is>
          <t>EAGL</t>
        </is>
      </c>
      <c r="B24" t="inlineStr">
        <is>
          <t>2431 Idlewylde Ct-1</t>
        </is>
      </c>
      <c r="C24" t="inlineStr">
        <is>
          <t>3x3 Townhouse</t>
        </is>
      </c>
      <c r="D24" s="87" t="n">
        <v>1600</v>
      </c>
      <c r="E24" t="inlineStr">
        <is>
          <t>Notice Unrented</t>
        </is>
      </c>
      <c r="F24" t="inlineStr">
        <is>
          <t>Smith, Tyrone</t>
        </is>
      </c>
      <c r="G24" s="88" t="n">
        <v>44393</v>
      </c>
      <c r="H24" s="88" t="n">
        <v>45962</v>
      </c>
      <c r="I24" s="88" t="n">
        <v>46299</v>
      </c>
      <c r="J24" s="89" t="n">
        <v>1525</v>
      </c>
      <c r="K24" s="89" t="n">
        <v>1465</v>
      </c>
      <c r="L24" s="89" t="n">
        <v>500</v>
      </c>
    </row>
    <row r="25">
      <c r="A25" t="inlineStr">
        <is>
          <t>EAGL</t>
        </is>
      </c>
      <c r="B25" t="inlineStr">
        <is>
          <t>2431 N Peterson Ct-1</t>
        </is>
      </c>
      <c r="C25" t="inlineStr">
        <is>
          <t>3x3 Townhouse</t>
        </is>
      </c>
      <c r="D25" s="87" t="n">
        <v>1600</v>
      </c>
      <c r="E25" t="inlineStr">
        <is>
          <t>Occupied No Notice</t>
        </is>
      </c>
      <c r="F25" t="inlineStr">
        <is>
          <t>Vance, James</t>
        </is>
      </c>
      <c r="G25" s="88" t="n">
        <v>45177</v>
      </c>
      <c r="H25" s="88" t="n">
        <v>45931</v>
      </c>
      <c r="I25" s="88" t="n">
        <v>46299</v>
      </c>
      <c r="J25" s="89" t="n">
        <v>1584</v>
      </c>
      <c r="K25" s="89" t="n">
        <v>1405</v>
      </c>
      <c r="L25" s="89" t="n">
        <v>500</v>
      </c>
    </row>
    <row r="26">
      <c r="A26" t="inlineStr">
        <is>
          <t>EAGL</t>
        </is>
      </c>
      <c r="B26" t="inlineStr">
        <is>
          <t>2432 Eagles Eyrie-3</t>
        </is>
      </c>
      <c r="C26" t="inlineStr">
        <is>
          <t>2x2</t>
        </is>
      </c>
      <c r="D26" s="87" t="n">
        <v>1300</v>
      </c>
      <c r="E26" t="inlineStr">
        <is>
          <t>Vacant Rented Ready</t>
        </is>
      </c>
      <c r="F26" t="inlineStr">
        <is>
          <t>-- Vacant --</t>
        </is>
      </c>
      <c r="J26" s="89" t="n">
        <v>1330</v>
      </c>
      <c r="K26" s="89" t="n">
        <v>0</v>
      </c>
      <c r="L26" s="89" t="n">
        <v>0</v>
      </c>
    </row>
    <row r="27">
      <c r="A27" t="inlineStr">
        <is>
          <t>EAGL</t>
        </is>
      </c>
      <c r="B27" t="inlineStr">
        <is>
          <t>2432 Eagles Eyrie-4</t>
        </is>
      </c>
      <c r="C27" t="inlineStr">
        <is>
          <t>2x2</t>
        </is>
      </c>
      <c r="D27" s="87" t="n">
        <v>1300</v>
      </c>
      <c r="E27" t="inlineStr">
        <is>
          <t>Occupied No Notice</t>
        </is>
      </c>
      <c r="F27" t="inlineStr">
        <is>
          <t>Fenner, Chris</t>
        </is>
      </c>
      <c r="G27" s="88" t="n">
        <v>45702</v>
      </c>
      <c r="H27" s="88" t="n">
        <v>46160</v>
      </c>
      <c r="I27" s="88" t="n">
        <v>46530</v>
      </c>
      <c r="J27" s="89" t="n">
        <v>1255</v>
      </c>
      <c r="K27" s="89" t="n">
        <v>1180</v>
      </c>
      <c r="L27" s="89" t="n">
        <v>500</v>
      </c>
    </row>
    <row r="28">
      <c r="A28" t="inlineStr">
        <is>
          <t>EAGL</t>
        </is>
      </c>
      <c r="B28" t="inlineStr">
        <is>
          <t>2432 Eagles Eyrie-5</t>
        </is>
      </c>
      <c r="C28" t="inlineStr">
        <is>
          <t>2x2</t>
        </is>
      </c>
      <c r="D28" s="87" t="n">
        <v>1300</v>
      </c>
      <c r="E28" t="inlineStr">
        <is>
          <t>Occupied No Notice</t>
        </is>
      </c>
      <c r="F28" t="inlineStr">
        <is>
          <t>Davis, Junion</t>
        </is>
      </c>
      <c r="G28" s="88" t="n">
        <v>45772</v>
      </c>
      <c r="H28" s="88" t="n">
        <v>46146</v>
      </c>
      <c r="I28" s="88" t="n">
        <v>46516</v>
      </c>
      <c r="J28" s="89" t="n">
        <v>1205</v>
      </c>
      <c r="K28" s="89" t="n">
        <v>1154</v>
      </c>
      <c r="L28" s="89" t="n">
        <v>500</v>
      </c>
    </row>
    <row r="29">
      <c r="A29" t="inlineStr">
        <is>
          <t>EAGL</t>
        </is>
      </c>
      <c r="B29" t="inlineStr">
        <is>
          <t>2432 Eagles Eyrie-6</t>
        </is>
      </c>
      <c r="C29" t="inlineStr">
        <is>
          <t>2x2</t>
        </is>
      </c>
      <c r="D29" s="87" t="n">
        <v>1300</v>
      </c>
      <c r="E29" t="inlineStr">
        <is>
          <t>Notice Unrented</t>
        </is>
      </c>
      <c r="F29" t="inlineStr">
        <is>
          <t>Bohn, Noah</t>
        </is>
      </c>
      <c r="G29" s="88" t="n">
        <v>45915</v>
      </c>
      <c r="H29" s="88" t="n">
        <v>45915</v>
      </c>
      <c r="I29" s="88" t="n">
        <v>46285</v>
      </c>
      <c r="J29" s="89" t="n">
        <v>1330</v>
      </c>
      <c r="K29" s="89" t="n">
        <v>1309</v>
      </c>
      <c r="L29" s="89" t="n">
        <v>0</v>
      </c>
    </row>
    <row r="30">
      <c r="A30" t="inlineStr">
        <is>
          <t>EAGL</t>
        </is>
      </c>
      <c r="B30" t="inlineStr">
        <is>
          <t>2433 Idlewylde Ct-1</t>
        </is>
      </c>
      <c r="C30" t="inlineStr">
        <is>
          <t>2x2 Townhouse</t>
        </is>
      </c>
      <c r="D30" s="87" t="n">
        <v>1300</v>
      </c>
      <c r="E30" t="inlineStr">
        <is>
          <t>Occupied No Notice</t>
        </is>
      </c>
      <c r="F30" t="inlineStr">
        <is>
          <t>Ghramm, Malia</t>
        </is>
      </c>
      <c r="G30" s="88" t="n">
        <v>45992</v>
      </c>
      <c r="H30" s="88" t="n">
        <v>45992</v>
      </c>
      <c r="I30" s="88" t="n">
        <v>46299</v>
      </c>
      <c r="J30" s="89" t="n">
        <v>1394</v>
      </c>
      <c r="K30" s="89" t="n">
        <v>1385</v>
      </c>
      <c r="L30" s="89" t="n">
        <v>500</v>
      </c>
    </row>
    <row r="31">
      <c r="A31" t="inlineStr">
        <is>
          <t>EAGL</t>
        </is>
      </c>
      <c r="B31" t="inlineStr">
        <is>
          <t>2433 N Peterson Ct-1</t>
        </is>
      </c>
      <c r="C31" t="inlineStr">
        <is>
          <t>2x2 Townhouse</t>
        </is>
      </c>
      <c r="D31" s="87" t="n">
        <v>1300</v>
      </c>
      <c r="E31" t="inlineStr">
        <is>
          <t>Occupied No Notice</t>
        </is>
      </c>
      <c r="F31" t="inlineStr">
        <is>
          <t>Tarbis, Evan</t>
        </is>
      </c>
      <c r="G31" s="88" t="n">
        <v>44927</v>
      </c>
      <c r="H31" s="88" t="n">
        <v>46118</v>
      </c>
      <c r="I31" s="88" t="n">
        <v>46488</v>
      </c>
      <c r="J31" s="89" t="n">
        <v>1319</v>
      </c>
      <c r="K31" s="89" t="n">
        <v>1278</v>
      </c>
      <c r="L31" s="89" t="n">
        <v>350</v>
      </c>
    </row>
    <row r="32">
      <c r="A32" t="inlineStr">
        <is>
          <t>EAGL</t>
        </is>
      </c>
      <c r="B32" t="inlineStr">
        <is>
          <t>2434 Eagles Eyrie-1</t>
        </is>
      </c>
      <c r="C32" t="inlineStr">
        <is>
          <t>2x2</t>
        </is>
      </c>
      <c r="D32" s="87" t="n">
        <v>1300</v>
      </c>
      <c r="E32" t="inlineStr">
        <is>
          <t>Occupied No Notice</t>
        </is>
      </c>
      <c r="F32" t="inlineStr">
        <is>
          <t>Wilbers, Seth</t>
        </is>
      </c>
      <c r="G32" s="88" t="n">
        <v>46130</v>
      </c>
      <c r="H32" s="88" t="n">
        <v>46130</v>
      </c>
      <c r="I32" s="88" t="n">
        <v>46467</v>
      </c>
      <c r="J32" s="89" t="n">
        <v>1280</v>
      </c>
      <c r="K32" s="89" t="n">
        <v>1253</v>
      </c>
      <c r="L32" s="89" t="n">
        <v>500</v>
      </c>
    </row>
    <row r="33">
      <c r="A33" t="inlineStr">
        <is>
          <t>EAGL</t>
        </is>
      </c>
      <c r="B33" t="inlineStr">
        <is>
          <t>2434 Eagles Eyrie-2</t>
        </is>
      </c>
      <c r="C33" t="inlineStr">
        <is>
          <t>2x2</t>
        </is>
      </c>
      <c r="D33" s="87" t="n">
        <v>1300</v>
      </c>
      <c r="E33" t="inlineStr">
        <is>
          <t>Occupied No Notice</t>
        </is>
      </c>
      <c r="F33" t="inlineStr">
        <is>
          <t>Zinious, John</t>
        </is>
      </c>
      <c r="G33" s="88" t="n">
        <v>44435</v>
      </c>
      <c r="H33" s="88" t="n">
        <v>46209</v>
      </c>
      <c r="I33" s="88" t="n">
        <v>46579</v>
      </c>
      <c r="J33" s="89" t="n">
        <v>1205</v>
      </c>
      <c r="K33" s="89" t="n">
        <v>1159</v>
      </c>
      <c r="L33" s="89" t="n">
        <v>900</v>
      </c>
    </row>
    <row r="34">
      <c r="A34" t="inlineStr">
        <is>
          <t>EAGL</t>
        </is>
      </c>
      <c r="B34" t="inlineStr">
        <is>
          <t>2435 Idlewylde Ct-1</t>
        </is>
      </c>
      <c r="C34" t="inlineStr">
        <is>
          <t>3x3 Townhouse</t>
        </is>
      </c>
      <c r="D34" s="87" t="n">
        <v>1600</v>
      </c>
      <c r="E34" t="inlineStr">
        <is>
          <t>Occupied No Notice</t>
        </is>
      </c>
      <c r="F34" t="inlineStr">
        <is>
          <t>McCray, William</t>
        </is>
      </c>
      <c r="G34" s="88" t="n">
        <v>45268</v>
      </c>
      <c r="H34" s="88" t="n">
        <v>46118</v>
      </c>
      <c r="I34" s="88" t="n">
        <v>46488</v>
      </c>
      <c r="J34" s="89" t="n">
        <v>1584</v>
      </c>
      <c r="K34" s="89" t="n">
        <v>1310</v>
      </c>
      <c r="L34" s="89" t="n">
        <v>1300</v>
      </c>
    </row>
    <row r="35">
      <c r="A35" t="inlineStr">
        <is>
          <t>EAGL</t>
        </is>
      </c>
      <c r="B35" t="inlineStr">
        <is>
          <t>2435 N Peterson Ct-1</t>
        </is>
      </c>
      <c r="C35" t="inlineStr">
        <is>
          <t>3x3 Townhouse</t>
        </is>
      </c>
      <c r="D35" s="87" t="n">
        <v>1600</v>
      </c>
      <c r="E35" t="inlineStr">
        <is>
          <t>Occupied No Notice</t>
        </is>
      </c>
      <c r="F35" t="inlineStr">
        <is>
          <t>Dailey, Emma</t>
        </is>
      </c>
      <c r="G35" s="88" t="n">
        <v>41365</v>
      </c>
      <c r="H35" s="88" t="n">
        <v>46118</v>
      </c>
      <c r="I35" s="88" t="n">
        <v>46488</v>
      </c>
      <c r="J35" s="89" t="n">
        <v>1584</v>
      </c>
      <c r="K35" s="89" t="n">
        <v>1488</v>
      </c>
      <c r="L35" s="89" t="n">
        <v>350</v>
      </c>
    </row>
    <row r="36">
      <c r="A36" t="inlineStr">
        <is>
          <t>EAGL</t>
        </is>
      </c>
      <c r="B36" t="inlineStr">
        <is>
          <t>2436 Eagles Eyrie-3</t>
        </is>
      </c>
      <c r="C36" t="inlineStr">
        <is>
          <t>2x2</t>
        </is>
      </c>
      <c r="D36" s="87" t="n">
        <v>1300</v>
      </c>
      <c r="E36" t="inlineStr">
        <is>
          <t>Occupied No Notice</t>
        </is>
      </c>
      <c r="F36" t="inlineStr">
        <is>
          <t>MeNefee, Marian</t>
        </is>
      </c>
      <c r="G36" s="88" t="n">
        <v>42552</v>
      </c>
      <c r="H36" s="88" t="n">
        <v>46209</v>
      </c>
      <c r="I36" s="88" t="n">
        <v>46579</v>
      </c>
      <c r="J36" s="89" t="n">
        <v>1205</v>
      </c>
      <c r="K36" s="89" t="n">
        <v>1159</v>
      </c>
      <c r="L36" s="89" t="n">
        <v>400</v>
      </c>
    </row>
    <row r="37">
      <c r="A37" t="inlineStr">
        <is>
          <t>EAGL</t>
        </is>
      </c>
      <c r="B37" t="inlineStr">
        <is>
          <t>2436 Eagles Eyrie-4</t>
        </is>
      </c>
      <c r="C37" t="inlineStr">
        <is>
          <t>2x2</t>
        </is>
      </c>
      <c r="D37" s="87" t="n">
        <v>1300</v>
      </c>
      <c r="E37" t="inlineStr">
        <is>
          <t>Occupied No Notice</t>
        </is>
      </c>
      <c r="F37" t="inlineStr">
        <is>
          <t>Exum, Connor</t>
        </is>
      </c>
      <c r="G37" s="88" t="n">
        <v>45751</v>
      </c>
      <c r="H37" s="88" t="n">
        <v>46153</v>
      </c>
      <c r="I37" s="88" t="n">
        <v>46523</v>
      </c>
      <c r="J37" s="89" t="n">
        <v>1205</v>
      </c>
      <c r="K37" s="89" t="n">
        <v>1173</v>
      </c>
      <c r="L37" s="89" t="n">
        <v>500</v>
      </c>
    </row>
    <row r="38">
      <c r="A38" t="inlineStr">
        <is>
          <t>EAGL</t>
        </is>
      </c>
      <c r="B38" t="inlineStr">
        <is>
          <t>2436 Eagles Eyrie-5</t>
        </is>
      </c>
      <c r="C38" t="inlineStr">
        <is>
          <t>2x2</t>
        </is>
      </c>
      <c r="D38" s="87" t="n">
        <v>1300</v>
      </c>
      <c r="E38" t="inlineStr">
        <is>
          <t>Occupied No Notice</t>
        </is>
      </c>
      <c r="F38" t="inlineStr">
        <is>
          <t>Quispe Mendoza, Elvira</t>
        </is>
      </c>
      <c r="G38" s="88" t="n">
        <v>46164</v>
      </c>
      <c r="H38" s="88" t="n">
        <v>46164</v>
      </c>
      <c r="I38" s="88" t="n">
        <v>46467</v>
      </c>
      <c r="J38" s="89" t="n">
        <v>1280</v>
      </c>
      <c r="K38" s="89" t="n">
        <v>1252</v>
      </c>
      <c r="L38" s="89" t="n">
        <v>500</v>
      </c>
    </row>
    <row r="39">
      <c r="A39" t="inlineStr">
        <is>
          <t>EAGL</t>
        </is>
      </c>
      <c r="B39" t="inlineStr">
        <is>
          <t>2436 Eagles Eyrie-6</t>
        </is>
      </c>
      <c r="C39" t="inlineStr">
        <is>
          <t>2x2</t>
        </is>
      </c>
      <c r="D39" s="87" t="n">
        <v>1300</v>
      </c>
      <c r="E39" t="inlineStr">
        <is>
          <t>Occupied No Notice</t>
        </is>
      </c>
      <c r="F39" t="inlineStr">
        <is>
          <t>Hetherington, Emma</t>
        </is>
      </c>
      <c r="G39" s="88" t="n">
        <v>44957</v>
      </c>
      <c r="H39" s="88" t="n">
        <v>46266</v>
      </c>
      <c r="I39" s="88" t="n">
        <v>46635</v>
      </c>
      <c r="J39" s="89" t="n">
        <v>1205</v>
      </c>
      <c r="K39" s="89" t="n">
        <v>1174</v>
      </c>
      <c r="L39" s="89" t="n">
        <v>1000</v>
      </c>
    </row>
    <row r="40">
      <c r="A40" t="inlineStr">
        <is>
          <t>EAGL</t>
        </is>
      </c>
      <c r="B40" t="inlineStr">
        <is>
          <t>2437 Idlewylde Ct-1</t>
        </is>
      </c>
      <c r="C40" t="inlineStr">
        <is>
          <t>2x2 Townhouse</t>
        </is>
      </c>
      <c r="D40" s="87" t="n">
        <v>1300</v>
      </c>
      <c r="E40" t="inlineStr">
        <is>
          <t>Occupied No Notice</t>
        </is>
      </c>
      <c r="F40" t="inlineStr">
        <is>
          <t>Busam, Byron</t>
        </is>
      </c>
      <c r="G40" s="88" t="n">
        <v>44958</v>
      </c>
      <c r="H40" s="88" t="n">
        <v>46146</v>
      </c>
      <c r="I40" s="88" t="n">
        <v>46516</v>
      </c>
      <c r="J40" s="89" t="n">
        <v>1319</v>
      </c>
      <c r="K40" s="89" t="n">
        <v>1229</v>
      </c>
      <c r="L40" s="89" t="n">
        <v>400</v>
      </c>
    </row>
    <row r="41">
      <c r="A41" t="inlineStr">
        <is>
          <t>EAGL</t>
        </is>
      </c>
      <c r="B41" t="inlineStr">
        <is>
          <t>2437 N Peterson Ct-1</t>
        </is>
      </c>
      <c r="C41" t="inlineStr">
        <is>
          <t>2x2 Townhouse</t>
        </is>
      </c>
      <c r="D41" s="87" t="n">
        <v>1300</v>
      </c>
      <c r="E41" t="inlineStr">
        <is>
          <t>Occupied No Notice</t>
        </is>
      </c>
      <c r="F41" t="inlineStr">
        <is>
          <t>Blincoe, Ray</t>
        </is>
      </c>
      <c r="G41" s="88" t="n">
        <v>45481</v>
      </c>
      <c r="H41" s="88" t="n">
        <v>46209</v>
      </c>
      <c r="I41" s="88" t="n">
        <v>46579</v>
      </c>
      <c r="J41" s="89" t="n">
        <v>1319</v>
      </c>
      <c r="K41" s="89" t="n">
        <v>1300</v>
      </c>
      <c r="L41" s="89" t="n">
        <v>500</v>
      </c>
    </row>
    <row r="42">
      <c r="A42" t="inlineStr">
        <is>
          <t>EAGL</t>
        </is>
      </c>
      <c r="B42" t="inlineStr">
        <is>
          <t>2438 Eagles Eyrie-1</t>
        </is>
      </c>
      <c r="C42" t="inlineStr">
        <is>
          <t>2x2</t>
        </is>
      </c>
      <c r="D42" s="87" t="n">
        <v>1300</v>
      </c>
      <c r="E42" t="inlineStr">
        <is>
          <t>Occupied No Notice</t>
        </is>
      </c>
      <c r="F42" t="inlineStr">
        <is>
          <t>Wakeland, Sally</t>
        </is>
      </c>
      <c r="G42" s="88" t="n">
        <v>46043</v>
      </c>
      <c r="H42" s="88" t="n">
        <v>46043</v>
      </c>
      <c r="I42" s="88" t="n">
        <v>46411</v>
      </c>
      <c r="J42" s="89" t="n">
        <v>1330</v>
      </c>
      <c r="K42" s="89" t="n">
        <v>1394</v>
      </c>
      <c r="L42" s="89" t="n">
        <v>1300</v>
      </c>
    </row>
    <row r="43">
      <c r="A43" t="inlineStr">
        <is>
          <t>EAGL</t>
        </is>
      </c>
      <c r="B43" t="inlineStr">
        <is>
          <t>2438 Eagles Eyrie-2</t>
        </is>
      </c>
      <c r="C43" t="inlineStr">
        <is>
          <t>2x2</t>
        </is>
      </c>
      <c r="D43" s="87" t="n">
        <v>1300</v>
      </c>
      <c r="E43" t="inlineStr">
        <is>
          <t>Occupied No Notice</t>
        </is>
      </c>
      <c r="F43" t="inlineStr">
        <is>
          <t>Gallini, Andrew</t>
        </is>
      </c>
      <c r="G43" s="88" t="n">
        <v>46044</v>
      </c>
      <c r="H43" s="88" t="n">
        <v>46044</v>
      </c>
      <c r="I43" s="88" t="n">
        <v>46411</v>
      </c>
      <c r="J43" s="89" t="n">
        <v>1405</v>
      </c>
      <c r="K43" s="89" t="n">
        <v>1245</v>
      </c>
      <c r="L43" s="89" t="n">
        <v>500</v>
      </c>
    </row>
    <row r="44">
      <c r="A44" t="inlineStr">
        <is>
          <t>EAGL</t>
        </is>
      </c>
      <c r="B44" t="inlineStr">
        <is>
          <t>2439 Idlewylde Ct-1</t>
        </is>
      </c>
      <c r="C44" t="inlineStr">
        <is>
          <t>3x3 Townhouse</t>
        </is>
      </c>
      <c r="D44" s="87" t="n">
        <v>1600</v>
      </c>
      <c r="E44" t="inlineStr">
        <is>
          <t>Occupied No Notice</t>
        </is>
      </c>
      <c r="F44" t="inlineStr">
        <is>
          <t>Knox, Donte</t>
        </is>
      </c>
      <c r="G44" s="88" t="n">
        <v>46031</v>
      </c>
      <c r="H44" s="88" t="n">
        <v>46031</v>
      </c>
      <c r="I44" s="88" t="n">
        <v>46579</v>
      </c>
      <c r="J44" s="89" t="n">
        <v>1709</v>
      </c>
      <c r="K44" s="89" t="n">
        <v>1614</v>
      </c>
      <c r="L44" s="89" t="n">
        <v>0</v>
      </c>
    </row>
    <row r="45">
      <c r="A45" t="inlineStr">
        <is>
          <t>EAGL</t>
        </is>
      </c>
      <c r="B45" t="inlineStr">
        <is>
          <t>2439 N Peterson Ct-1</t>
        </is>
      </c>
      <c r="C45" t="inlineStr">
        <is>
          <t>3x3 Townhouse</t>
        </is>
      </c>
      <c r="D45" s="87" t="n">
        <v>1600</v>
      </c>
      <c r="E45" t="inlineStr">
        <is>
          <t>Occupied No Notice</t>
        </is>
      </c>
      <c r="F45" t="inlineStr">
        <is>
          <t>Poignard-Schaffer, Bernita</t>
        </is>
      </c>
      <c r="G45" s="88" t="n">
        <v>45401</v>
      </c>
      <c r="H45" s="88" t="n">
        <v>46146</v>
      </c>
      <c r="I45" s="88" t="n">
        <v>46516</v>
      </c>
      <c r="J45" s="89" t="n">
        <v>1584</v>
      </c>
      <c r="K45" s="89" t="n">
        <v>1465</v>
      </c>
      <c r="L45" s="89" t="n">
        <v>1300</v>
      </c>
    </row>
    <row r="46">
      <c r="A46" t="inlineStr">
        <is>
          <t>EAGL</t>
        </is>
      </c>
      <c r="B46" t="inlineStr">
        <is>
          <t>2440 Eagles Eyrie-3</t>
        </is>
      </c>
      <c r="C46" t="inlineStr">
        <is>
          <t>2x2</t>
        </is>
      </c>
      <c r="D46" s="87" t="n">
        <v>1300</v>
      </c>
      <c r="E46" t="inlineStr">
        <is>
          <t>Occupied No Notice</t>
        </is>
      </c>
      <c r="F46" t="inlineStr">
        <is>
          <t>McDonald, Damen</t>
        </is>
      </c>
      <c r="G46" s="88" t="n">
        <v>44252</v>
      </c>
      <c r="H46" s="88" t="n">
        <v>46230</v>
      </c>
      <c r="I46" s="88" t="n">
        <v>46446</v>
      </c>
      <c r="J46" s="89" t="n">
        <v>1205</v>
      </c>
      <c r="K46" s="89" t="n">
        <v>1188</v>
      </c>
      <c r="L46" s="89" t="n">
        <v>400</v>
      </c>
    </row>
    <row r="47">
      <c r="A47" t="inlineStr">
        <is>
          <t>EAGL</t>
        </is>
      </c>
      <c r="B47" t="inlineStr">
        <is>
          <t>2440 Eagles Eyrie-4</t>
        </is>
      </c>
      <c r="C47" t="inlineStr">
        <is>
          <t>2x2</t>
        </is>
      </c>
      <c r="D47" s="87" t="n">
        <v>1300</v>
      </c>
      <c r="E47" t="inlineStr">
        <is>
          <t>Occupied No Notice</t>
        </is>
      </c>
      <c r="F47" t="inlineStr">
        <is>
          <t>White, Tateka</t>
        </is>
      </c>
      <c r="G47" s="88" t="n">
        <v>42777</v>
      </c>
      <c r="H47" s="88" t="n">
        <v>46181</v>
      </c>
      <c r="I47" s="88" t="n">
        <v>46551</v>
      </c>
      <c r="J47" s="89" t="n">
        <v>1205</v>
      </c>
      <c r="K47" s="89" t="n">
        <v>1151</v>
      </c>
      <c r="L47" s="89" t="n">
        <v>400</v>
      </c>
    </row>
    <row r="48">
      <c r="A48" t="inlineStr">
        <is>
          <t>EAGL</t>
        </is>
      </c>
      <c r="B48" t="inlineStr">
        <is>
          <t>2440 Eagles Eyrie-5</t>
        </is>
      </c>
      <c r="C48" t="inlineStr">
        <is>
          <t>2x2</t>
        </is>
      </c>
      <c r="D48" s="87" t="n">
        <v>1300</v>
      </c>
      <c r="E48" t="inlineStr">
        <is>
          <t>Occupied No Notice</t>
        </is>
      </c>
      <c r="F48" t="inlineStr">
        <is>
          <t>Harper, Kenyetta</t>
        </is>
      </c>
      <c r="G48" s="88" t="n">
        <v>45608</v>
      </c>
      <c r="H48" s="88" t="n">
        <v>45971</v>
      </c>
      <c r="I48" s="88" t="n">
        <v>46516</v>
      </c>
      <c r="J48" s="89" t="n">
        <v>1280</v>
      </c>
      <c r="K48" s="89" t="n">
        <v>1215</v>
      </c>
      <c r="L48" s="89" t="n">
        <v>500</v>
      </c>
    </row>
    <row r="49">
      <c r="A49" t="inlineStr">
        <is>
          <t>EAGL</t>
        </is>
      </c>
      <c r="B49" t="inlineStr">
        <is>
          <t>2440 Eagles Eyrie-6</t>
        </is>
      </c>
      <c r="C49" t="inlineStr">
        <is>
          <t>2x2</t>
        </is>
      </c>
      <c r="D49" s="87" t="n">
        <v>1300</v>
      </c>
      <c r="E49" t="inlineStr">
        <is>
          <t>Occupied No Notice</t>
        </is>
      </c>
      <c r="F49" t="inlineStr">
        <is>
          <t>Catron, Michael</t>
        </is>
      </c>
      <c r="G49" s="88" t="n">
        <v>45891</v>
      </c>
      <c r="H49" s="88" t="n">
        <v>46258</v>
      </c>
      <c r="I49" s="88" t="n">
        <v>46628</v>
      </c>
      <c r="J49" s="89" t="n">
        <v>1280</v>
      </c>
      <c r="K49" s="89" t="n">
        <v>1263</v>
      </c>
      <c r="L49" s="89" t="n">
        <v>0</v>
      </c>
    </row>
    <row r="50">
      <c r="A50" t="inlineStr">
        <is>
          <t>EAGL</t>
        </is>
      </c>
      <c r="B50" t="inlineStr">
        <is>
          <t>2441 Idlewylde Ct-1</t>
        </is>
      </c>
      <c r="C50" t="inlineStr">
        <is>
          <t>2x2 Townhouse</t>
        </is>
      </c>
      <c r="D50" s="87" t="n">
        <v>1300</v>
      </c>
      <c r="E50" t="inlineStr">
        <is>
          <t>Occupied No Notice</t>
        </is>
      </c>
      <c r="F50" t="inlineStr">
        <is>
          <t>Dyke, Samuel</t>
        </is>
      </c>
      <c r="G50" s="88" t="n">
        <v>46151</v>
      </c>
      <c r="H50" s="88" t="n">
        <v>46151</v>
      </c>
      <c r="I50" s="88" t="n">
        <v>46516</v>
      </c>
      <c r="J50" s="89" t="n">
        <v>1394</v>
      </c>
      <c r="K50" s="89" t="n">
        <v>1285</v>
      </c>
      <c r="L50" s="89" t="n">
        <v>500</v>
      </c>
    </row>
    <row r="51">
      <c r="A51" t="inlineStr">
        <is>
          <t>EAGL</t>
        </is>
      </c>
      <c r="B51" t="inlineStr">
        <is>
          <t>2441 N Peterson Ct-1</t>
        </is>
      </c>
      <c r="C51" t="inlineStr">
        <is>
          <t>2x2 Townhouse</t>
        </is>
      </c>
      <c r="D51" s="87" t="n">
        <v>1300</v>
      </c>
      <c r="E51" t="inlineStr">
        <is>
          <t>Occupied No Notice</t>
        </is>
      </c>
      <c r="F51" t="inlineStr">
        <is>
          <t>Price, Latosha</t>
        </is>
      </c>
      <c r="G51" s="88" t="n">
        <v>45380</v>
      </c>
      <c r="H51" s="88" t="n">
        <v>46118</v>
      </c>
      <c r="I51" s="88" t="n">
        <v>46488</v>
      </c>
      <c r="J51" s="89" t="n">
        <v>1319</v>
      </c>
      <c r="K51" s="89" t="n">
        <v>1328</v>
      </c>
      <c r="L51" s="89" t="n">
        <v>1200</v>
      </c>
    </row>
    <row r="52">
      <c r="A52" t="inlineStr">
        <is>
          <t>EAGL</t>
        </is>
      </c>
      <c r="B52" t="inlineStr">
        <is>
          <t>2443 Idlewylde Ct-1</t>
        </is>
      </c>
      <c r="C52" t="inlineStr">
        <is>
          <t>3x3 Townhouse</t>
        </is>
      </c>
      <c r="D52" s="87" t="n">
        <v>1600</v>
      </c>
      <c r="E52" t="inlineStr">
        <is>
          <t>Occupied No Notice</t>
        </is>
      </c>
      <c r="F52" t="inlineStr">
        <is>
          <t>Washington, Samantha</t>
        </is>
      </c>
      <c r="G52" s="88" t="n">
        <v>45293</v>
      </c>
      <c r="H52" s="88" t="n">
        <v>46204</v>
      </c>
      <c r="I52" s="88" t="n">
        <v>46544</v>
      </c>
      <c r="J52" s="89" t="n">
        <v>1584</v>
      </c>
      <c r="K52" s="89" t="n">
        <v>1386</v>
      </c>
      <c r="L52" s="89" t="n">
        <v>1300</v>
      </c>
    </row>
    <row r="53">
      <c r="A53" t="inlineStr">
        <is>
          <t>EAGL</t>
        </is>
      </c>
      <c r="B53" t="inlineStr">
        <is>
          <t>2443 N Peterson Ct-1</t>
        </is>
      </c>
      <c r="C53" t="inlineStr">
        <is>
          <t>3x3 Townhouse</t>
        </is>
      </c>
      <c r="D53" s="87" t="n">
        <v>1600</v>
      </c>
      <c r="E53" t="inlineStr">
        <is>
          <t>Occupied No Notice</t>
        </is>
      </c>
      <c r="F53" t="inlineStr">
        <is>
          <t>Satterwhite, Joshua</t>
        </is>
      </c>
      <c r="G53" s="88" t="n">
        <v>45778</v>
      </c>
      <c r="H53" s="88" t="n">
        <v>46181</v>
      </c>
      <c r="I53" s="88" t="n">
        <v>46551</v>
      </c>
      <c r="J53" s="89" t="n">
        <v>1659</v>
      </c>
      <c r="K53" s="89" t="n">
        <v>1769</v>
      </c>
      <c r="L53" s="89" t="n">
        <v>500</v>
      </c>
    </row>
    <row r="54">
      <c r="A54" t="inlineStr">
        <is>
          <t>EAGL</t>
        </is>
      </c>
      <c r="B54" t="inlineStr">
        <is>
          <t>2445 Idlewylde Ct-1</t>
        </is>
      </c>
      <c r="C54" t="inlineStr">
        <is>
          <t>2x2 Townhouse</t>
        </is>
      </c>
      <c r="D54" s="87" t="n">
        <v>1300</v>
      </c>
      <c r="E54" t="inlineStr">
        <is>
          <t>Occupied No Notice</t>
        </is>
      </c>
      <c r="F54" t="inlineStr">
        <is>
          <t>Vinson, Clarissa</t>
        </is>
      </c>
      <c r="G54" s="88" t="n">
        <v>46141</v>
      </c>
      <c r="H54" s="88" t="n">
        <v>46140</v>
      </c>
      <c r="I54" s="88" t="n">
        <v>46509</v>
      </c>
      <c r="J54" s="89" t="n">
        <v>1394</v>
      </c>
      <c r="K54" s="89" t="n">
        <v>1217</v>
      </c>
      <c r="L54" s="89" t="n">
        <v>0</v>
      </c>
    </row>
    <row r="55">
      <c r="A55" t="inlineStr">
        <is>
          <t>EAGL</t>
        </is>
      </c>
      <c r="B55" t="inlineStr">
        <is>
          <t>2445 N Peterson Ct-1</t>
        </is>
      </c>
      <c r="C55" t="inlineStr">
        <is>
          <t>2x2 Townhouse</t>
        </is>
      </c>
      <c r="D55" s="87" t="n">
        <v>1300</v>
      </c>
      <c r="E55" t="inlineStr">
        <is>
          <t>Occupied No Notice</t>
        </is>
      </c>
      <c r="F55" t="inlineStr">
        <is>
          <t>Marshall, Macy</t>
        </is>
      </c>
      <c r="G55" s="88" t="n">
        <v>38596</v>
      </c>
      <c r="H55" s="88" t="n">
        <v>45931</v>
      </c>
      <c r="I55" s="88" t="n">
        <v>46299</v>
      </c>
      <c r="J55" s="89" t="n">
        <v>1319</v>
      </c>
      <c r="K55" s="89" t="n">
        <v>1275</v>
      </c>
      <c r="L55" s="89" t="n">
        <v>650</v>
      </c>
    </row>
    <row r="56">
      <c r="A56" t="inlineStr">
        <is>
          <t>EAGL</t>
        </is>
      </c>
      <c r="B56" t="inlineStr">
        <is>
          <t>2447 Idlewylde Ct-1</t>
        </is>
      </c>
      <c r="C56" t="inlineStr">
        <is>
          <t>3x3 Townhouse</t>
        </is>
      </c>
      <c r="D56" s="87" t="n">
        <v>1600</v>
      </c>
      <c r="E56" t="inlineStr">
        <is>
          <t>Occupied No Notice</t>
        </is>
      </c>
      <c r="F56" t="inlineStr">
        <is>
          <t>Mitchell, Vanda</t>
        </is>
      </c>
      <c r="G56" s="88" t="n">
        <v>45985</v>
      </c>
      <c r="H56" s="88" t="n">
        <v>45985</v>
      </c>
      <c r="I56" s="88" t="n">
        <v>46474</v>
      </c>
      <c r="J56" s="89" t="n">
        <v>1709</v>
      </c>
      <c r="K56" s="89" t="n">
        <v>1600</v>
      </c>
      <c r="L56" s="89" t="n">
        <v>500</v>
      </c>
    </row>
    <row r="57">
      <c r="A57" t="inlineStr">
        <is>
          <t>EAGL</t>
        </is>
      </c>
      <c r="B57" t="inlineStr">
        <is>
          <t>2447 N Peterson Ct-1</t>
        </is>
      </c>
      <c r="C57" t="inlineStr">
        <is>
          <t>3x3 Townhouse</t>
        </is>
      </c>
      <c r="D57" s="87" t="n">
        <v>1600</v>
      </c>
      <c r="E57" t="inlineStr">
        <is>
          <t>Vacant Unrented Not Ready</t>
        </is>
      </c>
      <c r="F57" t="inlineStr">
        <is>
          <t>-- Vacant --</t>
        </is>
      </c>
      <c r="J57" s="89" t="n">
        <v>1679</v>
      </c>
      <c r="K57" s="89" t="n">
        <v>0</v>
      </c>
      <c r="L57" s="89" t="n">
        <v>0</v>
      </c>
    </row>
    <row r="58">
      <c r="A58" t="inlineStr">
        <is>
          <t>EAGL</t>
        </is>
      </c>
      <c r="B58" t="inlineStr">
        <is>
          <t>2449 Idlewylde Ct-1</t>
        </is>
      </c>
      <c r="C58" t="inlineStr">
        <is>
          <t>2x2 Townhouse</t>
        </is>
      </c>
      <c r="D58" s="87" t="n">
        <v>1300</v>
      </c>
      <c r="E58" t="inlineStr">
        <is>
          <t>Occupied No Notice</t>
        </is>
      </c>
      <c r="F58" t="inlineStr">
        <is>
          <t>Shellman, Termaine</t>
        </is>
      </c>
      <c r="G58" s="88" t="n">
        <v>41713</v>
      </c>
      <c r="H58" s="88" t="n">
        <v>45931</v>
      </c>
      <c r="I58" s="88" t="n">
        <v>46299</v>
      </c>
      <c r="J58" s="89" t="n">
        <v>1319</v>
      </c>
      <c r="K58" s="89" t="n">
        <v>1275</v>
      </c>
      <c r="L58" s="89" t="n">
        <v>350</v>
      </c>
    </row>
    <row r="59">
      <c r="A59" t="inlineStr">
        <is>
          <t>EAGL</t>
        </is>
      </c>
      <c r="B59" t="inlineStr">
        <is>
          <t>2449 N Peterson Ct-1</t>
        </is>
      </c>
      <c r="C59" t="inlineStr">
        <is>
          <t>2x2 Townhouse</t>
        </is>
      </c>
      <c r="D59" s="87" t="n">
        <v>1300</v>
      </c>
      <c r="E59" t="inlineStr">
        <is>
          <t>Occupied No Notice</t>
        </is>
      </c>
      <c r="F59" t="inlineStr">
        <is>
          <t>Lillie, Amelia</t>
        </is>
      </c>
      <c r="G59" s="88" t="n">
        <v>45427</v>
      </c>
      <c r="H59" s="88" t="n">
        <v>46174</v>
      </c>
      <c r="I59" s="88" t="n">
        <v>46390</v>
      </c>
      <c r="J59" s="89" t="n">
        <v>1319</v>
      </c>
      <c r="K59" s="89" t="n">
        <v>1360</v>
      </c>
      <c r="L59" s="89" t="n">
        <v>500</v>
      </c>
    </row>
    <row r="60">
      <c r="A60" t="inlineStr">
        <is>
          <t>EAGL</t>
        </is>
      </c>
      <c r="B60" t="inlineStr">
        <is>
          <t>2451 Idlewylde Ct-1</t>
        </is>
      </c>
      <c r="C60" t="inlineStr">
        <is>
          <t>3x3 Townhouse</t>
        </is>
      </c>
      <c r="D60" s="87" t="n">
        <v>1600</v>
      </c>
      <c r="E60" t="inlineStr">
        <is>
          <t>Occupied No Notice</t>
        </is>
      </c>
      <c r="F60" t="inlineStr">
        <is>
          <t>Holliger, Ethen</t>
        </is>
      </c>
      <c r="G60" s="88" t="n">
        <v>46189</v>
      </c>
      <c r="H60" s="88" t="n">
        <v>46189</v>
      </c>
      <c r="I60" s="88" t="n">
        <v>46558</v>
      </c>
      <c r="J60" s="89" t="n">
        <v>1659</v>
      </c>
      <c r="K60" s="89" t="n">
        <v>1572</v>
      </c>
      <c r="L60" s="89" t="n">
        <v>500</v>
      </c>
    </row>
    <row r="61">
      <c r="A61" t="inlineStr">
        <is>
          <t>EAGL</t>
        </is>
      </c>
      <c r="B61" t="inlineStr">
        <is>
          <t>2451 N Peterson Ct-1</t>
        </is>
      </c>
      <c r="C61" t="inlineStr">
        <is>
          <t>3x3 Townhouse</t>
        </is>
      </c>
      <c r="D61" s="87" t="n">
        <v>1600</v>
      </c>
      <c r="E61" t="inlineStr">
        <is>
          <t>Occupied No Notice</t>
        </is>
      </c>
      <c r="F61" t="inlineStr">
        <is>
          <t>Caplinger, Holden</t>
        </is>
      </c>
      <c r="G61" s="88" t="n">
        <v>45821</v>
      </c>
      <c r="H61" s="88" t="n">
        <v>46188</v>
      </c>
      <c r="I61" s="88" t="n">
        <v>46558</v>
      </c>
      <c r="J61" s="89" t="n">
        <v>1584</v>
      </c>
      <c r="K61" s="89" t="n">
        <v>1734</v>
      </c>
      <c r="L61" s="89" t="n">
        <v>500</v>
      </c>
    </row>
    <row r="62">
      <c r="A62" t="inlineStr">
        <is>
          <t>EAGL</t>
        </is>
      </c>
      <c r="B62" t="inlineStr">
        <is>
          <t>2453 Idlewylde Ct-1</t>
        </is>
      </c>
      <c r="C62" t="inlineStr">
        <is>
          <t>2x2 Townhouse</t>
        </is>
      </c>
      <c r="D62" s="87" t="n">
        <v>1300</v>
      </c>
      <c r="E62" t="inlineStr">
        <is>
          <t>Occupied No Notice</t>
        </is>
      </c>
      <c r="F62" t="inlineStr">
        <is>
          <t>Mitchell, LaTesha</t>
        </is>
      </c>
      <c r="G62" s="88" t="n">
        <v>46256</v>
      </c>
      <c r="H62" s="88" t="n">
        <v>46256</v>
      </c>
      <c r="I62" s="88" t="n">
        <v>46621</v>
      </c>
      <c r="J62" s="89" t="n">
        <v>1719</v>
      </c>
      <c r="K62" s="89" t="n">
        <v>1682</v>
      </c>
      <c r="L62" s="89" t="n">
        <v>0</v>
      </c>
    </row>
    <row r="63">
      <c r="A63" t="inlineStr">
        <is>
          <t>EAGL</t>
        </is>
      </c>
      <c r="B63" t="inlineStr">
        <is>
          <t>2453 N Peterson Ct-1</t>
        </is>
      </c>
      <c r="C63" t="inlineStr">
        <is>
          <t>2x2 Townhouse</t>
        </is>
      </c>
      <c r="D63" s="87" t="n">
        <v>1300</v>
      </c>
      <c r="E63" t="inlineStr">
        <is>
          <t>Occupied No Notice</t>
        </is>
      </c>
      <c r="F63" t="inlineStr">
        <is>
          <t>Bucklew, Keith</t>
        </is>
      </c>
      <c r="G63" s="88" t="n">
        <v>44224</v>
      </c>
      <c r="H63" s="88" t="n">
        <v>46146</v>
      </c>
      <c r="I63" s="88" t="n">
        <v>46516</v>
      </c>
      <c r="J63" s="89" t="n">
        <v>1319</v>
      </c>
      <c r="K63" s="89" t="n">
        <v>1168</v>
      </c>
      <c r="L63" s="89" t="n">
        <v>400</v>
      </c>
    </row>
    <row r="64">
      <c r="A64" t="inlineStr">
        <is>
          <t>EAGL</t>
        </is>
      </c>
      <c r="B64" t="inlineStr">
        <is>
          <t>2455 Idlewylde Ct-1</t>
        </is>
      </c>
      <c r="C64" t="inlineStr">
        <is>
          <t>3x3 Townhouse</t>
        </is>
      </c>
      <c r="D64" s="87" t="n">
        <v>1600</v>
      </c>
      <c r="E64" t="inlineStr">
        <is>
          <t>Vacant Unrented Ready</t>
        </is>
      </c>
      <c r="F64" t="inlineStr">
        <is>
          <t>-- Vacant --</t>
        </is>
      </c>
      <c r="J64" s="89" t="n">
        <v>2099</v>
      </c>
      <c r="K64" s="89" t="n">
        <v>0</v>
      </c>
      <c r="L64" s="89" t="n">
        <v>0</v>
      </c>
    </row>
    <row r="65">
      <c r="A65" t="inlineStr">
        <is>
          <t>EAGL</t>
        </is>
      </c>
      <c r="B65" t="inlineStr">
        <is>
          <t>2455 N Peterson Ct-1</t>
        </is>
      </c>
      <c r="C65" t="inlineStr">
        <is>
          <t>3x3 Townhouse</t>
        </is>
      </c>
      <c r="D65" s="87" t="n">
        <v>1600</v>
      </c>
      <c r="E65" t="inlineStr">
        <is>
          <t>Occupied No Notice</t>
        </is>
      </c>
      <c r="F65" t="inlineStr">
        <is>
          <t>Sanz, Douglas</t>
        </is>
      </c>
      <c r="G65" s="88" t="n">
        <v>46202</v>
      </c>
      <c r="H65" s="88" t="n">
        <v>46202</v>
      </c>
      <c r="I65" s="88" t="n">
        <v>46537</v>
      </c>
      <c r="J65" s="89" t="n">
        <v>1659</v>
      </c>
      <c r="K65" s="89" t="n">
        <v>1576</v>
      </c>
      <c r="L65" s="89" t="n">
        <v>500</v>
      </c>
    </row>
    <row r="66">
      <c r="A66" t="inlineStr">
        <is>
          <t>EAGL</t>
        </is>
      </c>
      <c r="B66" t="inlineStr">
        <is>
          <t>2457 Idlewylde Ct-1</t>
        </is>
      </c>
      <c r="C66" t="inlineStr">
        <is>
          <t>2x2 Townhouse</t>
        </is>
      </c>
      <c r="D66" s="87" t="n">
        <v>1300</v>
      </c>
      <c r="E66" t="inlineStr">
        <is>
          <t>Occupied No Notice</t>
        </is>
      </c>
      <c r="F66" t="inlineStr">
        <is>
          <t>Anthony, Hunter</t>
        </is>
      </c>
      <c r="G66" s="88" t="n">
        <v>46143</v>
      </c>
      <c r="H66" s="88" t="n">
        <v>46143</v>
      </c>
      <c r="I66" s="88" t="n">
        <v>46509</v>
      </c>
      <c r="J66" s="89" t="n">
        <v>1394</v>
      </c>
      <c r="K66" s="89" t="n">
        <v>1299</v>
      </c>
      <c r="L66" s="89" t="n">
        <v>500</v>
      </c>
    </row>
    <row r="67">
      <c r="A67" t="inlineStr">
        <is>
          <t>EAGL</t>
        </is>
      </c>
      <c r="B67" t="inlineStr">
        <is>
          <t>2457 N Peterson Ct-1</t>
        </is>
      </c>
      <c r="C67" t="inlineStr">
        <is>
          <t>2x2 Townhouse</t>
        </is>
      </c>
      <c r="D67" s="87" t="n">
        <v>1300</v>
      </c>
      <c r="E67" t="inlineStr">
        <is>
          <t>Occupied No Notice</t>
        </is>
      </c>
      <c r="F67" t="inlineStr">
        <is>
          <t>Gutgsell, Ashley</t>
        </is>
      </c>
      <c r="G67" s="88" t="n">
        <v>45404</v>
      </c>
      <c r="H67" s="88" t="n">
        <v>46146</v>
      </c>
      <c r="I67" s="88" t="n">
        <v>46516</v>
      </c>
      <c r="J67" s="89" t="n">
        <v>1319</v>
      </c>
      <c r="K67" s="89" t="n">
        <v>1315</v>
      </c>
      <c r="L67" s="89" t="n">
        <v>500</v>
      </c>
    </row>
    <row r="68">
      <c r="A68" t="inlineStr">
        <is>
          <t>EAGL</t>
        </is>
      </c>
      <c r="B68" t="inlineStr">
        <is>
          <t>2459 Idlewylde Ct-1</t>
        </is>
      </c>
      <c r="C68" t="inlineStr">
        <is>
          <t>3x3 Townhouse</t>
        </is>
      </c>
      <c r="D68" s="87" t="n">
        <v>1600</v>
      </c>
      <c r="E68" t="inlineStr">
        <is>
          <t>Occupied No Notice</t>
        </is>
      </c>
      <c r="F68" t="inlineStr">
        <is>
          <t>Sullivan, Nicholas</t>
        </is>
      </c>
      <c r="G68" s="88" t="n">
        <v>45975</v>
      </c>
      <c r="H68" s="88" t="n">
        <v>45975</v>
      </c>
      <c r="I68" s="88" t="n">
        <v>46404</v>
      </c>
      <c r="J68" s="89" t="n">
        <v>1659</v>
      </c>
      <c r="K68" s="89" t="n">
        <v>1150</v>
      </c>
      <c r="L68" s="89" t="n">
        <v>400</v>
      </c>
    </row>
    <row r="69">
      <c r="A69" t="inlineStr">
        <is>
          <t>EAGL</t>
        </is>
      </c>
      <c r="B69" t="inlineStr">
        <is>
          <t>2459 N Peterson Ct-1</t>
        </is>
      </c>
      <c r="C69" t="inlineStr">
        <is>
          <t>3x3 Townhouse</t>
        </is>
      </c>
      <c r="D69" s="87" t="n">
        <v>1600</v>
      </c>
      <c r="E69" t="inlineStr">
        <is>
          <t>Occupied No Notice</t>
        </is>
      </c>
      <c r="F69" t="inlineStr">
        <is>
          <t>Mueller, Jake</t>
        </is>
      </c>
      <c r="G69" s="88" t="n">
        <v>45443</v>
      </c>
      <c r="H69" s="88" t="n">
        <v>46175</v>
      </c>
      <c r="I69" s="88" t="n">
        <v>46544</v>
      </c>
      <c r="J69" s="89" t="n">
        <v>1584</v>
      </c>
      <c r="K69" s="89" t="n">
        <v>1494</v>
      </c>
      <c r="L69" s="89" t="n">
        <v>1300</v>
      </c>
    </row>
    <row r="70">
      <c r="A70" t="inlineStr">
        <is>
          <t>EAGL</t>
        </is>
      </c>
      <c r="B70" t="inlineStr">
        <is>
          <t>2461 Idlewylde Ct-1</t>
        </is>
      </c>
      <c r="C70" t="inlineStr">
        <is>
          <t>2x2 Townhouse</t>
        </is>
      </c>
      <c r="D70" s="87" t="n">
        <v>1300</v>
      </c>
      <c r="E70" t="inlineStr">
        <is>
          <t>Vacant Unrented Ready</t>
        </is>
      </c>
      <c r="F70" t="inlineStr">
        <is>
          <t>-- Vacant --</t>
        </is>
      </c>
      <c r="J70" s="89" t="n">
        <v>1349</v>
      </c>
      <c r="K70" s="89" t="n">
        <v>0</v>
      </c>
      <c r="L70" s="89" t="n">
        <v>0</v>
      </c>
    </row>
    <row r="71">
      <c r="A71" t="inlineStr">
        <is>
          <t>EAGL</t>
        </is>
      </c>
      <c r="B71" t="inlineStr">
        <is>
          <t>2461 N Peterson Ct-1</t>
        </is>
      </c>
      <c r="C71" t="inlineStr">
        <is>
          <t>2x2 Townhouse</t>
        </is>
      </c>
      <c r="D71" s="87" t="n">
        <v>1300</v>
      </c>
      <c r="E71" t="inlineStr">
        <is>
          <t>Vacant Rented Not Ready</t>
        </is>
      </c>
      <c r="F71" t="inlineStr">
        <is>
          <t>-- Vacant --</t>
        </is>
      </c>
      <c r="J71" s="89" t="n">
        <v>1394</v>
      </c>
      <c r="K71" s="89" t="n">
        <v>0</v>
      </c>
      <c r="L71" s="89" t="n">
        <v>0</v>
      </c>
    </row>
    <row r="72">
      <c r="A72" t="inlineStr">
        <is>
          <t>EAGL</t>
        </is>
      </c>
      <c r="B72" t="inlineStr">
        <is>
          <t>2463 Idlewylde Ct-1</t>
        </is>
      </c>
      <c r="C72" t="inlineStr">
        <is>
          <t>3x3 Townhouse</t>
        </is>
      </c>
      <c r="D72" s="87" t="n">
        <v>1600</v>
      </c>
      <c r="E72" t="inlineStr">
        <is>
          <t>Occupied No Notice</t>
        </is>
      </c>
      <c r="F72" t="inlineStr">
        <is>
          <t>Holloway, Kyle</t>
        </is>
      </c>
      <c r="G72" s="88" t="n">
        <v>45488</v>
      </c>
      <c r="H72" s="88" t="n">
        <v>46209</v>
      </c>
      <c r="I72" s="88" t="n">
        <v>46579</v>
      </c>
      <c r="J72" s="89" t="n">
        <v>1584</v>
      </c>
      <c r="K72" s="89" t="n">
        <v>1535</v>
      </c>
      <c r="L72" s="89" t="n">
        <v>500</v>
      </c>
    </row>
    <row r="73">
      <c r="A73" t="inlineStr">
        <is>
          <t>EAGL</t>
        </is>
      </c>
      <c r="B73" t="inlineStr">
        <is>
          <t>2463 N Peterson Ct-1</t>
        </is>
      </c>
      <c r="C73" t="inlineStr">
        <is>
          <t>3x3 Townhouse</t>
        </is>
      </c>
      <c r="D73" s="87" t="n">
        <v>1600</v>
      </c>
      <c r="E73" t="inlineStr">
        <is>
          <t>Occupied No Notice</t>
        </is>
      </c>
      <c r="F73" t="inlineStr">
        <is>
          <t>Krystofiak, Caden</t>
        </is>
      </c>
      <c r="G73" s="88" t="n">
        <v>45810</v>
      </c>
      <c r="H73" s="88" t="n">
        <v>46181</v>
      </c>
      <c r="I73" s="88" t="n">
        <v>46551</v>
      </c>
      <c r="J73" s="89" t="n">
        <v>1659</v>
      </c>
      <c r="K73" s="89" t="n">
        <v>1700</v>
      </c>
      <c r="L73" s="89" t="n">
        <v>500</v>
      </c>
    </row>
    <row r="74">
      <c r="A74" t="inlineStr">
        <is>
          <t>EAGL</t>
        </is>
      </c>
      <c r="B74" t="inlineStr">
        <is>
          <t>2465 Idlewylde Ct-1</t>
        </is>
      </c>
      <c r="C74" t="inlineStr">
        <is>
          <t>2x2 Townhouse</t>
        </is>
      </c>
      <c r="D74" s="87" t="n">
        <v>1300</v>
      </c>
      <c r="E74" t="inlineStr">
        <is>
          <t>Occupied No Notice</t>
        </is>
      </c>
      <c r="F74" t="inlineStr">
        <is>
          <t>Pugh, Jamie</t>
        </is>
      </c>
      <c r="G74" s="88" t="n">
        <v>46171</v>
      </c>
      <c r="H74" s="88" t="n">
        <v>46171</v>
      </c>
      <c r="I74" s="88" t="n">
        <v>46537</v>
      </c>
      <c r="J74" s="89" t="n">
        <v>1394</v>
      </c>
      <c r="K74" s="89" t="n">
        <v>1355</v>
      </c>
      <c r="L74" s="89" t="n">
        <v>500</v>
      </c>
    </row>
    <row r="75">
      <c r="A75" t="inlineStr">
        <is>
          <t>EAGL</t>
        </is>
      </c>
      <c r="B75" t="inlineStr">
        <is>
          <t>2465 N Peterson Ct-1</t>
        </is>
      </c>
      <c r="C75" t="inlineStr">
        <is>
          <t>2x2 Townhouse</t>
        </is>
      </c>
      <c r="D75" s="87" t="n">
        <v>1300</v>
      </c>
      <c r="E75" t="inlineStr">
        <is>
          <t>Occupied No Notice</t>
        </is>
      </c>
      <c r="F75" t="inlineStr">
        <is>
          <t>Dunn, Makayla</t>
        </is>
      </c>
      <c r="G75" s="88" t="n">
        <v>45938</v>
      </c>
      <c r="H75" s="88" t="n">
        <v>45938</v>
      </c>
      <c r="I75" s="88" t="n">
        <v>46488</v>
      </c>
      <c r="J75" s="89" t="n">
        <v>1394</v>
      </c>
      <c r="K75" s="89" t="n">
        <v>1370</v>
      </c>
      <c r="L75" s="89" t="n">
        <v>0</v>
      </c>
    </row>
    <row r="76">
      <c r="A76" t="inlineStr">
        <is>
          <t>EAGL</t>
        </is>
      </c>
      <c r="B76" t="inlineStr">
        <is>
          <t>2467 Idlewylde Ct-1</t>
        </is>
      </c>
      <c r="C76" t="inlineStr">
        <is>
          <t>3x3 Townhouse</t>
        </is>
      </c>
      <c r="D76" s="87" t="n">
        <v>1600</v>
      </c>
      <c r="E76" t="inlineStr">
        <is>
          <t>Occupied No Notice</t>
        </is>
      </c>
      <c r="F76" t="inlineStr">
        <is>
          <t>Bickers, Jason</t>
        </is>
      </c>
      <c r="G76" s="88" t="n">
        <v>45418</v>
      </c>
      <c r="H76" s="88" t="n">
        <v>46174</v>
      </c>
      <c r="I76" s="88" t="n">
        <v>46544</v>
      </c>
      <c r="J76" s="89" t="n">
        <v>1584</v>
      </c>
      <c r="K76" s="89" t="n">
        <v>1494</v>
      </c>
      <c r="L76" s="89" t="n">
        <v>1300</v>
      </c>
    </row>
    <row r="77">
      <c r="A77" t="inlineStr">
        <is>
          <t>EAGL</t>
        </is>
      </c>
      <c r="B77" t="inlineStr">
        <is>
          <t>2467 N Peterson Ct-1</t>
        </is>
      </c>
      <c r="C77" t="inlineStr">
        <is>
          <t>3x3 Townhouse</t>
        </is>
      </c>
      <c r="D77" s="87" t="n">
        <v>1600</v>
      </c>
      <c r="E77" t="inlineStr">
        <is>
          <t>Occupied No Notice</t>
        </is>
      </c>
      <c r="F77" t="inlineStr">
        <is>
          <t>Frank, Sean</t>
        </is>
      </c>
      <c r="G77" s="88" t="n">
        <v>45408</v>
      </c>
      <c r="H77" s="88" t="n">
        <v>46146</v>
      </c>
      <c r="I77" s="88" t="n">
        <v>46362</v>
      </c>
      <c r="J77" s="89" t="n">
        <v>1584</v>
      </c>
      <c r="K77" s="89" t="n">
        <v>1494</v>
      </c>
      <c r="L77" s="89" t="n">
        <v>1300</v>
      </c>
    </row>
    <row r="78">
      <c r="A78" t="inlineStr">
        <is>
          <t>EAGL</t>
        </is>
      </c>
      <c r="B78" t="inlineStr">
        <is>
          <t>2469 Idlewylde Ct-1</t>
        </is>
      </c>
      <c r="C78" t="inlineStr">
        <is>
          <t>2x2 Townhouse</t>
        </is>
      </c>
      <c r="D78" s="87" t="n">
        <v>1300</v>
      </c>
      <c r="E78" t="inlineStr">
        <is>
          <t>Occupied No Notice</t>
        </is>
      </c>
      <c r="F78" t="inlineStr">
        <is>
          <t>Lanier, Philip</t>
        </is>
      </c>
      <c r="G78" s="88" t="n">
        <v>43313</v>
      </c>
      <c r="H78" s="88" t="n">
        <v>46209</v>
      </c>
      <c r="I78" s="88" t="n">
        <v>46579</v>
      </c>
      <c r="J78" s="89" t="n">
        <v>1319</v>
      </c>
      <c r="K78" s="89" t="n">
        <v>1300</v>
      </c>
      <c r="L78" s="89" t="n">
        <v>350</v>
      </c>
    </row>
    <row r="79">
      <c r="A79" t="inlineStr">
        <is>
          <t>EAGL</t>
        </is>
      </c>
      <c r="B79" t="inlineStr">
        <is>
          <t>2469 N Peterson Ct-1</t>
        </is>
      </c>
      <c r="C79" t="inlineStr">
        <is>
          <t>2x2 Townhouse</t>
        </is>
      </c>
      <c r="D79" s="87" t="n">
        <v>1300</v>
      </c>
      <c r="E79" t="inlineStr">
        <is>
          <t>Occupied No Notice</t>
        </is>
      </c>
      <c r="F79" t="inlineStr">
        <is>
          <t>Caldwell, James</t>
        </is>
      </c>
      <c r="G79" s="88" t="n">
        <v>46188</v>
      </c>
      <c r="H79" s="88" t="n">
        <v>46188</v>
      </c>
      <c r="I79" s="88" t="n">
        <v>46558</v>
      </c>
      <c r="J79" s="89" t="n">
        <v>1444</v>
      </c>
      <c r="K79" s="89" t="n">
        <v>1575</v>
      </c>
      <c r="L79" s="89" t="n">
        <v>500</v>
      </c>
    </row>
    <row r="80">
      <c r="A80" t="inlineStr">
        <is>
          <t>EAGL</t>
        </is>
      </c>
      <c r="B80" t="inlineStr">
        <is>
          <t>2471 Idlewylde Ct-1</t>
        </is>
      </c>
      <c r="C80" t="inlineStr">
        <is>
          <t>3x3 Townhouse</t>
        </is>
      </c>
      <c r="D80" s="87" t="n">
        <v>1600</v>
      </c>
      <c r="E80" t="inlineStr">
        <is>
          <t>Occupied No Notice</t>
        </is>
      </c>
      <c r="F80" t="inlineStr">
        <is>
          <t>Johnson, Christopher</t>
        </is>
      </c>
      <c r="G80" s="88" t="n">
        <v>43503</v>
      </c>
      <c r="H80" s="88" t="n">
        <v>46174</v>
      </c>
      <c r="I80" s="88" t="n">
        <v>46390</v>
      </c>
      <c r="J80" s="89" t="n">
        <v>1584</v>
      </c>
      <c r="K80" s="89" t="n">
        <v>1555</v>
      </c>
      <c r="L80" s="89" t="n">
        <v>500</v>
      </c>
    </row>
    <row r="81">
      <c r="A81" t="inlineStr">
        <is>
          <t>EAGL</t>
        </is>
      </c>
      <c r="B81" t="inlineStr">
        <is>
          <t>2471 N Peterson Ct-1</t>
        </is>
      </c>
      <c r="C81" t="inlineStr">
        <is>
          <t>3x3 Townhouse</t>
        </is>
      </c>
      <c r="D81" s="87" t="n">
        <v>1600</v>
      </c>
      <c r="E81" t="inlineStr">
        <is>
          <t>Occupied No Notice</t>
        </is>
      </c>
      <c r="F81" t="inlineStr">
        <is>
          <t>DeVuono, Joseph</t>
        </is>
      </c>
      <c r="G81" s="88" t="n">
        <v>45380</v>
      </c>
      <c r="H81" s="88" t="n">
        <v>46118</v>
      </c>
      <c r="I81" s="88" t="n">
        <v>46488</v>
      </c>
      <c r="J81" s="89" t="n">
        <v>1584</v>
      </c>
      <c r="K81" s="89" t="n">
        <v>1361</v>
      </c>
      <c r="L81" s="89" t="n">
        <v>1300</v>
      </c>
    </row>
    <row r="82">
      <c r="A82" t="inlineStr">
        <is>
          <t>EAGL</t>
        </is>
      </c>
      <c r="B82" t="inlineStr">
        <is>
          <t>2473 Idlewylde Ct-1</t>
        </is>
      </c>
      <c r="C82" t="inlineStr">
        <is>
          <t>2x2 Townhouse</t>
        </is>
      </c>
      <c r="D82" s="87" t="n">
        <v>1300</v>
      </c>
      <c r="E82" t="inlineStr">
        <is>
          <t>Vacant Rented Ready</t>
        </is>
      </c>
      <c r="F82" t="inlineStr">
        <is>
          <t>-- Vacant --</t>
        </is>
      </c>
      <c r="J82" s="89" t="n">
        <v>1394</v>
      </c>
      <c r="K82" s="89" t="n">
        <v>0</v>
      </c>
    </row>
    <row r="83">
      <c r="A83" t="inlineStr">
        <is>
          <t>EAGL</t>
        </is>
      </c>
      <c r="B83" t="inlineStr">
        <is>
          <t>2473 N Peterson Ct-1</t>
        </is>
      </c>
      <c r="C83" t="inlineStr">
        <is>
          <t>2x2 Townhouse</t>
        </is>
      </c>
      <c r="D83" s="87" t="n">
        <v>1300</v>
      </c>
      <c r="E83" t="inlineStr">
        <is>
          <t>Notice Unrented</t>
        </is>
      </c>
      <c r="F83" t="inlineStr">
        <is>
          <t>Chamberlain, Damon</t>
        </is>
      </c>
      <c r="G83" s="88" t="n">
        <v>45576</v>
      </c>
      <c r="H83" s="88" t="n">
        <v>45962</v>
      </c>
      <c r="I83" s="88" t="n">
        <v>46299</v>
      </c>
      <c r="J83" s="89" t="n">
        <v>1449</v>
      </c>
      <c r="K83" s="89" t="n">
        <v>1332</v>
      </c>
      <c r="L83" s="89" t="n">
        <v>500</v>
      </c>
    </row>
    <row r="84">
      <c r="A84" t="inlineStr">
        <is>
          <t>EAGL</t>
        </is>
      </c>
      <c r="B84" t="inlineStr">
        <is>
          <t>2475 Idlewylde Ct-1</t>
        </is>
      </c>
      <c r="C84" t="inlineStr">
        <is>
          <t>3x3 Townhouse</t>
        </is>
      </c>
      <c r="D84" s="87" t="n">
        <v>1600</v>
      </c>
      <c r="E84" t="inlineStr">
        <is>
          <t>Occupied No Notice</t>
        </is>
      </c>
      <c r="F84" t="inlineStr">
        <is>
          <t>Pennington, Raejon</t>
        </is>
      </c>
      <c r="G84" s="88" t="n">
        <v>46025</v>
      </c>
      <c r="H84" s="88" t="n">
        <v>46025</v>
      </c>
      <c r="I84" s="88" t="n">
        <v>46572</v>
      </c>
      <c r="J84" s="89" t="n">
        <v>1659</v>
      </c>
      <c r="K84" s="89" t="n">
        <v>1564</v>
      </c>
      <c r="L84" s="89" t="n">
        <v>0</v>
      </c>
    </row>
    <row r="85">
      <c r="A85" t="inlineStr">
        <is>
          <t>EAGL</t>
        </is>
      </c>
      <c r="B85" t="inlineStr">
        <is>
          <t>2475 N Peterson Ct-1</t>
        </is>
      </c>
      <c r="C85" t="inlineStr">
        <is>
          <t>3x3 Townhouse</t>
        </is>
      </c>
      <c r="D85" s="87" t="n">
        <v>1600</v>
      </c>
      <c r="E85" t="inlineStr">
        <is>
          <t>Occupied No Notice</t>
        </is>
      </c>
      <c r="F85" t="inlineStr">
        <is>
          <t>Saul, Ryan</t>
        </is>
      </c>
      <c r="G85" s="88" t="n">
        <v>45197</v>
      </c>
      <c r="H85" s="88" t="n">
        <v>46023</v>
      </c>
      <c r="I85" s="88" t="n">
        <v>46481</v>
      </c>
      <c r="J85" s="89" t="n">
        <v>1584</v>
      </c>
      <c r="K85" s="89" t="n">
        <v>1489</v>
      </c>
      <c r="L85" s="89" t="n">
        <v>500</v>
      </c>
    </row>
    <row r="86">
      <c r="A86" t="inlineStr">
        <is>
          <t>EAGL</t>
        </is>
      </c>
      <c r="B86" t="inlineStr">
        <is>
          <t>2477 N Peterson Ct-1</t>
        </is>
      </c>
      <c r="C86" t="inlineStr">
        <is>
          <t>2x2 Townhouse</t>
        </is>
      </c>
      <c r="D86" s="87" t="n">
        <v>1300</v>
      </c>
      <c r="E86" t="inlineStr">
        <is>
          <t>Occupied No Notice</t>
        </is>
      </c>
      <c r="F86" t="inlineStr">
        <is>
          <t>Suraba, Jake</t>
        </is>
      </c>
      <c r="G86" s="88" t="n">
        <v>45792</v>
      </c>
      <c r="H86" s="88" t="n">
        <v>46160</v>
      </c>
      <c r="I86" s="88" t="n">
        <v>46495</v>
      </c>
      <c r="J86" s="89" t="n">
        <v>1444</v>
      </c>
      <c r="K86" s="89" t="n">
        <v>1402</v>
      </c>
      <c r="L86" s="89" t="n">
        <v>500</v>
      </c>
    </row>
    <row r="87">
      <c r="A87" t="inlineStr">
        <is>
          <t>EAGL</t>
        </is>
      </c>
      <c r="B87" t="inlineStr">
        <is>
          <t>2479 N Peterson Ct-1</t>
        </is>
      </c>
      <c r="C87" t="inlineStr">
        <is>
          <t>3x3 Townhouse</t>
        </is>
      </c>
      <c r="D87" s="87" t="n">
        <v>1600</v>
      </c>
      <c r="E87" t="inlineStr">
        <is>
          <t>Occupied No Notice</t>
        </is>
      </c>
      <c r="F87" t="inlineStr">
        <is>
          <t>Gregory, Scott</t>
        </is>
      </c>
      <c r="G87" s="88" t="n">
        <v>41836</v>
      </c>
      <c r="H87" s="88" t="n">
        <v>46054</v>
      </c>
      <c r="I87" s="88" t="n">
        <v>46418</v>
      </c>
      <c r="J87" s="89" t="n">
        <v>1584</v>
      </c>
      <c r="K87" s="89" t="n">
        <v>1466</v>
      </c>
      <c r="L87" s="89" t="n">
        <v>650</v>
      </c>
    </row>
    <row r="88">
      <c r="C88" t="inlineStr">
        <is>
          <t>Eagles Eyrie Total:</t>
        </is>
      </c>
      <c r="D88" s="87" t="n">
        <v>112400</v>
      </c>
      <c r="J88" s="89" t="n">
        <v>114490</v>
      </c>
      <c r="K88" s="89" t="n">
        <v>100522</v>
      </c>
      <c r="L88" s="89" t="n">
        <v>41963.5</v>
      </c>
    </row>
    <row r="90">
      <c r="A90" t="inlineStr">
        <is>
          <t>Status Summary</t>
        </is>
      </c>
      <c r="D90" t="inlineStr">
        <is>
          <t>Charge Code Summary</t>
        </is>
      </c>
    </row>
    <row r="91">
      <c r="A91" t="inlineStr">
        <is>
          <t>Description</t>
        </is>
      </c>
      <c r="B91" t="inlineStr">
        <is>
          <t>Unit Count</t>
        </is>
      </c>
      <c r="C91" t="inlineStr">
        <is>
          <t>Percent</t>
        </is>
      </c>
      <c r="D91" t="inlineStr">
        <is>
          <t>Charge Code</t>
        </is>
      </c>
      <c r="E91" t="inlineStr">
        <is>
          <t>Scheduled</t>
        </is>
      </c>
      <c r="F91" t="inlineStr">
        <is>
          <t>Charge Code Type</t>
        </is>
      </c>
      <c r="N91" t="inlineStr">
        <is>
          <t>Status Summary: Scheduled Rent</t>
        </is>
      </c>
      <c r="O91" t="inlineStr">
        <is>
          <t>Status Summary: Scheduled Other</t>
        </is>
      </c>
    </row>
    <row r="92">
      <c r="A92" t="inlineStr">
        <is>
          <t>Occupied No Notice</t>
        </is>
      </c>
      <c r="B92" s="87" t="n">
        <v>71</v>
      </c>
      <c r="C92" s="90" t="n">
        <v>0.8875</v>
      </c>
      <c r="D92" s="91" t="inlineStr">
        <is>
          <t>Ledger: Resident</t>
        </is>
      </c>
      <c r="N92" s="89" t="n">
        <v>96416</v>
      </c>
      <c r="O92" s="89" t="n">
        <v>0</v>
      </c>
    </row>
    <row r="93">
      <c r="A93" t="inlineStr">
        <is>
          <t>Notice Unrented</t>
        </is>
      </c>
      <c r="B93" s="87" t="n">
        <v>3</v>
      </c>
      <c r="C93" s="90" t="n">
        <v>0.0375</v>
      </c>
      <c r="D93" t="inlineStr">
        <is>
          <t>Amenity Rent</t>
        </is>
      </c>
      <c r="E93" s="89" t="n">
        <v>3350</v>
      </c>
      <c r="F93" t="inlineStr">
        <is>
          <t>Rent</t>
        </is>
      </c>
      <c r="N93" s="89" t="n">
        <v>4106</v>
      </c>
      <c r="O93" s="89" t="n">
        <v>0</v>
      </c>
    </row>
    <row r="94">
      <c r="A94" t="inlineStr">
        <is>
          <t>Total Occupied Units</t>
        </is>
      </c>
      <c r="B94" s="92" t="n">
        <v>74</v>
      </c>
      <c r="C94" s="90" t="n">
        <v>0.925</v>
      </c>
      <c r="D94" t="inlineStr">
        <is>
          <t>Rent</t>
        </is>
      </c>
      <c r="E94" s="89" t="n">
        <v>97172</v>
      </c>
      <c r="F94" t="inlineStr">
        <is>
          <t>Rent</t>
        </is>
      </c>
      <c r="N94" s="89" t="n">
        <v>100522</v>
      </c>
      <c r="O94" s="89" t="n">
        <v>0</v>
      </c>
    </row>
    <row r="95">
      <c r="A95" t="inlineStr">
        <is>
          <t>Vacant Rented Ready</t>
        </is>
      </c>
      <c r="B95" s="87" t="n">
        <v>2</v>
      </c>
      <c r="C95" s="90" t="n">
        <v>0.025</v>
      </c>
      <c r="D95" t="inlineStr">
        <is>
          <t>Resident Total:</t>
        </is>
      </c>
      <c r="E95" s="89" t="n">
        <v>100522</v>
      </c>
      <c r="N95" s="89" t="n">
        <v>1436</v>
      </c>
      <c r="O95" s="89" t="n">
        <v>0</v>
      </c>
    </row>
    <row r="96">
      <c r="A96" t="inlineStr">
        <is>
          <t>Vacant Rented Not Ready</t>
        </is>
      </c>
      <c r="B96" s="87" t="n">
        <v>1</v>
      </c>
      <c r="C96" s="90" t="n">
        <v>0.0125</v>
      </c>
      <c r="D96" t="inlineStr">
        <is>
          <t>Total:</t>
        </is>
      </c>
      <c r="E96" s="89" t="n">
        <v>100522</v>
      </c>
      <c r="N96" s="89" t="n">
        <v>0</v>
      </c>
      <c r="O96" s="89" t="n">
        <v>0</v>
      </c>
    </row>
    <row r="97">
      <c r="A97" t="inlineStr">
        <is>
          <t>Vacant Unrented Ready</t>
        </is>
      </c>
      <c r="B97" s="87" t="n">
        <v>2</v>
      </c>
      <c r="C97" s="90" t="n">
        <v>0.025</v>
      </c>
      <c r="N97" s="89" t="n">
        <v>0</v>
      </c>
      <c r="O97" s="89" t="n">
        <v>0</v>
      </c>
    </row>
    <row r="98">
      <c r="A98" t="inlineStr">
        <is>
          <t>Vacant Unrented Not Ready</t>
        </is>
      </c>
      <c r="B98" s="87" t="n">
        <v>1</v>
      </c>
      <c r="C98" s="90" t="n">
        <v>0.0125</v>
      </c>
      <c r="N98" s="89" t="n">
        <v>0</v>
      </c>
      <c r="O98" s="89" t="n">
        <v>0</v>
      </c>
    </row>
    <row r="99">
      <c r="A99" t="inlineStr">
        <is>
          <t>Total Vacant Units</t>
        </is>
      </c>
      <c r="B99" s="92" t="n">
        <v>6</v>
      </c>
      <c r="C99" s="90" t="n">
        <v>0.075</v>
      </c>
      <c r="N99" s="89" t="n">
        <v>1436</v>
      </c>
      <c r="O99" s="89" t="n">
        <v>0</v>
      </c>
    </row>
    <row r="100">
      <c r="A100" t="inlineStr">
        <is>
          <t>Total Rentable Units</t>
        </is>
      </c>
      <c r="B100" s="92" t="n">
        <v>80</v>
      </c>
      <c r="C100" s="90" t="n">
        <v>1</v>
      </c>
      <c r="N100" s="89" t="n">
        <v>101958</v>
      </c>
      <c r="O100" s="89" t="n">
        <v>0</v>
      </c>
    </row>
    <row r="102">
      <c r="A102" t="inlineStr">
        <is>
          <t>Average Charges by Unit Type Summary</t>
        </is>
      </c>
    </row>
    <row r="103">
      <c r="A103" t="inlineStr">
        <is>
          <t>Unit Type</t>
        </is>
      </c>
      <c r="B103" t="inlineStr">
        <is>
          <t>Rentable Units</t>
        </is>
      </c>
      <c r="C103" t="inlineStr">
        <is>
          <t>Occupied Units</t>
        </is>
      </c>
      <c r="D103" t="inlineStr">
        <is>
          <t>Market Rent</t>
        </is>
      </c>
      <c r="E103" t="inlineStr">
        <is>
          <t>Scheduled Charges</t>
        </is>
      </c>
      <c r="N103" t="inlineStr">
        <is>
          <t>Average Charges by Unit Type Summary: Units</t>
        </is>
      </c>
      <c r="O103" t="inlineStr">
        <is>
          <t>Average Charges by Unit Type Summary: Excluded Units</t>
        </is>
      </c>
      <c r="P103" t="inlineStr">
        <is>
          <t>Average Charges by Unit Type Summary: 0</t>
        </is>
      </c>
      <c r="Q103" t="inlineStr">
        <is>
          <t>Average Charges by Unit Type Summary: Budgeted Rent</t>
        </is>
      </c>
      <c r="R103" t="inlineStr">
        <is>
          <t>Average Charges by Unit Type Summary: Market Rent</t>
        </is>
      </c>
      <c r="S103" t="inlineStr">
        <is>
          <t>Average Charges by Unit Type Summary: Total Effective Rent</t>
        </is>
      </c>
      <c r="T103" t="inlineStr">
        <is>
          <t>Average Charges by Unit Type Summary: Total Effective Rent With Gift</t>
        </is>
      </c>
      <c r="U103" t="inlineStr">
        <is>
          <t>Average Charges by Unit Type Summary: Total Actual Rent</t>
        </is>
      </c>
      <c r="V103" t="inlineStr">
        <is>
          <t>Average Charges by Unit Type Summary: Lease Rent</t>
        </is>
      </c>
      <c r="W103" t="inlineStr">
        <is>
          <t>Average Charges by Unit Type Summary: Recurring Concessions</t>
        </is>
      </c>
      <c r="X103" t="inlineStr">
        <is>
          <t>Average Charges by Unit Type Summary: Onetime Concessions</t>
        </is>
      </c>
      <c r="Y103" t="inlineStr">
        <is>
          <t>Average Charges by Unit Type Summary: Gift Incentives</t>
        </is>
      </c>
      <c r="Z103" t="inlineStr">
        <is>
          <t>Average Charges by Unit Type Summary: Scheduled Charges</t>
        </is>
      </c>
      <c r="AA103" t="inlineStr">
        <is>
          <t>Average Charges by Unit Type Summary: Scheduled Rent Sum</t>
        </is>
      </c>
      <c r="AB103" t="inlineStr">
        <is>
          <t>Average Charges by Unit Type Summary: Scheduled Other Sum</t>
        </is>
      </c>
      <c r="AC103" t="inlineStr">
        <is>
          <t>Average Charges by Unit Type Summary: Actual Charges</t>
        </is>
      </c>
      <c r="AD103" t="inlineStr">
        <is>
          <t>Average Charges by Unit Type Summary: Rentable Units Avg</t>
        </is>
      </c>
      <c r="AE103" t="inlineStr">
        <is>
          <t>Average Charges by Unit Type Summary: Rentable Unit Sqft</t>
        </is>
      </c>
      <c r="AF103" t="inlineStr">
        <is>
          <t>Average Charges by Unit Type Summary: Occupied Unit Sqft</t>
        </is>
      </c>
      <c r="AG103" t="inlineStr">
        <is>
          <t>Average Charges by Unit Type Summary: Total Unit Sqft</t>
        </is>
      </c>
      <c r="AH103" t="inlineStr">
        <is>
          <t>Average Charges by Unit Type Summary: Excluded Unit Sqft</t>
        </is>
      </c>
      <c r="AI103" t="inlineStr">
        <is>
          <t>Average Charges by Unit Type Summary: Total Lease Term</t>
        </is>
      </c>
      <c r="AJ103" t="inlineStr">
        <is>
          <t>Average Charges by Unit Type Summary: Total Contract Length Months</t>
        </is>
      </c>
      <c r="AK103" t="inlineStr">
        <is>
          <t>Average Charges by Unit Type Summary: Total Occupied Length Months</t>
        </is>
      </c>
    </row>
    <row r="104">
      <c r="A104" t="inlineStr">
        <is>
          <t>2x2</t>
        </is>
      </c>
      <c r="B104" s="87" t="n">
        <v>24</v>
      </c>
      <c r="C104" s="87" t="n">
        <v>23</v>
      </c>
      <c r="N104" s="87" t="n">
        <v>24</v>
      </c>
      <c r="O104" s="87" t="n">
        <v>0</v>
      </c>
      <c r="P104" s="87" t="n">
        <v>101161</v>
      </c>
      <c r="Q104" s="87" t="n">
        <v>30045</v>
      </c>
      <c r="R104" s="87" t="n">
        <v>29613</v>
      </c>
      <c r="S104" s="87" t="n">
        <v>0</v>
      </c>
      <c r="T104" s="87" t="n">
        <v>0</v>
      </c>
      <c r="U104" s="87" t="n">
        <v>0</v>
      </c>
      <c r="V104" s="87" t="n">
        <v>0</v>
      </c>
      <c r="W104" s="87" t="n">
        <v>0</v>
      </c>
      <c r="X104" s="87" t="n">
        <v>0</v>
      </c>
      <c r="Y104" s="87" t="n">
        <v>0</v>
      </c>
      <c r="Z104" s="87" t="n">
        <v>27759</v>
      </c>
      <c r="AA104" s="87" t="n">
        <v>27759</v>
      </c>
      <c r="AB104" s="87" t="n">
        <v>0</v>
      </c>
      <c r="AC104" s="87" t="n">
        <v>0</v>
      </c>
      <c r="AD104" s="87" t="n">
        <v>24</v>
      </c>
      <c r="AE104" s="87" t="n">
        <v>31200</v>
      </c>
      <c r="AF104" s="87" t="n">
        <v>29900</v>
      </c>
      <c r="AG104" s="87" t="n">
        <v>31200</v>
      </c>
      <c r="AH104" s="87" t="n">
        <v>0</v>
      </c>
      <c r="AI104" s="87" t="n">
        <v>277</v>
      </c>
      <c r="AJ104" s="87" t="n">
        <v>277</v>
      </c>
      <c r="AK104" s="87" t="n">
        <v>277</v>
      </c>
    </row>
    <row r="105">
      <c r="A105" t="inlineStr">
        <is>
          <t>2x2 Townhouse</t>
        </is>
      </c>
      <c r="B105" s="87" t="n">
        <v>28</v>
      </c>
      <c r="C105" s="87" t="n">
        <v>25</v>
      </c>
      <c r="N105" s="87" t="n">
        <v>28</v>
      </c>
      <c r="O105" s="87" t="n">
        <v>0</v>
      </c>
      <c r="P105" s="87" t="n">
        <v>101161</v>
      </c>
      <c r="Q105" s="87" t="n">
        <v>38642</v>
      </c>
      <c r="R105" s="87" t="n">
        <v>38140</v>
      </c>
      <c r="S105" s="87" t="n">
        <v>0</v>
      </c>
      <c r="T105" s="87" t="n">
        <v>0</v>
      </c>
      <c r="U105" s="87" t="n">
        <v>0</v>
      </c>
      <c r="V105" s="87" t="n">
        <v>0</v>
      </c>
      <c r="W105" s="87" t="n">
        <v>0</v>
      </c>
      <c r="X105" s="87" t="n">
        <v>0</v>
      </c>
      <c r="Y105" s="87" t="n">
        <v>0</v>
      </c>
      <c r="Z105" s="87" t="n">
        <v>33371</v>
      </c>
      <c r="AA105" s="87" t="n">
        <v>33371</v>
      </c>
      <c r="AB105" s="87" t="n">
        <v>0</v>
      </c>
      <c r="AC105" s="87" t="n">
        <v>0</v>
      </c>
      <c r="AD105" s="87" t="n">
        <v>28</v>
      </c>
      <c r="AE105" s="87" t="n">
        <v>36400</v>
      </c>
      <c r="AF105" s="87" t="n">
        <v>32500</v>
      </c>
      <c r="AG105" s="87" t="n">
        <v>36400</v>
      </c>
      <c r="AH105" s="87" t="n">
        <v>0</v>
      </c>
      <c r="AI105" s="87" t="n">
        <v>303</v>
      </c>
      <c r="AJ105" s="87" t="n">
        <v>303</v>
      </c>
      <c r="AK105" s="87" t="n">
        <v>303</v>
      </c>
    </row>
    <row r="106">
      <c r="A106" t="inlineStr">
        <is>
          <t>3x3 Townhouse</t>
        </is>
      </c>
      <c r="B106" s="87" t="n">
        <v>28</v>
      </c>
      <c r="C106" s="87" t="n">
        <v>26</v>
      </c>
      <c r="N106" s="87" t="n">
        <v>28</v>
      </c>
      <c r="O106" s="87" t="n">
        <v>0</v>
      </c>
      <c r="P106" s="87" t="n">
        <v>101161</v>
      </c>
      <c r="Q106" s="87" t="n">
        <v>45803</v>
      </c>
      <c r="R106" s="87" t="n">
        <v>46408</v>
      </c>
      <c r="S106" s="87" t="n">
        <v>0</v>
      </c>
      <c r="T106" s="87" t="n">
        <v>0</v>
      </c>
      <c r="U106" s="87" t="n">
        <v>0</v>
      </c>
      <c r="V106" s="87" t="n">
        <v>0</v>
      </c>
      <c r="W106" s="87" t="n">
        <v>0</v>
      </c>
      <c r="X106" s="87" t="n">
        <v>0</v>
      </c>
      <c r="Y106" s="87" t="n">
        <v>0</v>
      </c>
      <c r="Z106" s="87" t="n">
        <v>39392</v>
      </c>
      <c r="AA106" s="87" t="n">
        <v>39392</v>
      </c>
      <c r="AB106" s="87" t="n">
        <v>0</v>
      </c>
      <c r="AC106" s="87" t="n">
        <v>0</v>
      </c>
      <c r="AD106" s="87" t="n">
        <v>28</v>
      </c>
      <c r="AE106" s="87" t="n">
        <v>44800</v>
      </c>
      <c r="AF106" s="87" t="n">
        <v>41600</v>
      </c>
      <c r="AG106" s="87" t="n">
        <v>44800</v>
      </c>
      <c r="AH106" s="87" t="n">
        <v>0</v>
      </c>
      <c r="AI106" s="87" t="n">
        <v>320</v>
      </c>
      <c r="AJ106" s="87" t="n">
        <v>320</v>
      </c>
      <c r="AK106" s="87" t="n">
        <v>320</v>
      </c>
    </row>
    <row r="107">
      <c r="A107" t="inlineStr">
        <is>
          <t>Average:</t>
        </is>
      </c>
      <c r="B107" s="92" t="n">
        <v>80</v>
      </c>
      <c r="C107" s="92" t="n">
        <v>74</v>
      </c>
      <c r="D107" s="89" t="n">
        <v>1427.0125</v>
      </c>
      <c r="E107" s="89" t="n">
        <v>1358.405405405405</v>
      </c>
      <c r="N107" s="92" t="n">
        <v>80</v>
      </c>
      <c r="O107" s="92" t="n">
        <v>0</v>
      </c>
      <c r="Q107" s="87" t="n">
        <v>114490</v>
      </c>
      <c r="R107" s="87" t="n">
        <v>114161</v>
      </c>
      <c r="S107" s="87" t="n">
        <v>0</v>
      </c>
      <c r="T107" s="87" t="n">
        <v>0</v>
      </c>
      <c r="U107" s="87" t="n">
        <v>0</v>
      </c>
      <c r="V107" s="87" t="n">
        <v>0</v>
      </c>
      <c r="W107" s="87" t="n">
        <v>0</v>
      </c>
      <c r="X107" s="87" t="n">
        <v>0</v>
      </c>
      <c r="Y107" s="87" t="n">
        <v>0</v>
      </c>
      <c r="Z107" s="87" t="n">
        <v>100522</v>
      </c>
      <c r="AA107" s="87" t="n">
        <v>100522</v>
      </c>
      <c r="AB107" s="87" t="n">
        <v>0</v>
      </c>
      <c r="AC107" s="87" t="n">
        <v>0</v>
      </c>
      <c r="AD107" s="87" t="n">
        <v>80</v>
      </c>
      <c r="AE107" s="87" t="n">
        <v>112400</v>
      </c>
      <c r="AF107" s="87" t="n">
        <v>104000</v>
      </c>
      <c r="AG107" s="87" t="n">
        <v>112400</v>
      </c>
      <c r="AH107" s="87" t="n">
        <v>0</v>
      </c>
      <c r="AI107" s="87" t="n">
        <v>900</v>
      </c>
      <c r="AJ107" s="87" t="n">
        <v>900</v>
      </c>
      <c r="AK107" s="87" t="n">
        <v>900</v>
      </c>
    </row>
    <row r="109">
      <c r="A109" t="inlineStr">
        <is>
          <t>Future Resident Details</t>
        </is>
      </c>
    </row>
    <row r="110">
      <c r="A110" t="inlineStr">
        <is>
          <t>Bldg-Unit</t>
        </is>
      </c>
      <c r="B110" t="inlineStr">
        <is>
          <t>Unit Type</t>
        </is>
      </c>
      <c r="C110" t="inlineStr">
        <is>
          <t>SQFT</t>
        </is>
      </c>
      <c r="D110" t="inlineStr">
        <is>
          <t>Unit Status</t>
        </is>
      </c>
      <c r="E110" t="inlineStr">
        <is>
          <t>Resident</t>
        </is>
      </c>
      <c r="F110" t="inlineStr">
        <is>
          <t>Move-In</t>
        </is>
      </c>
      <c r="G110" t="inlineStr">
        <is>
          <t>Lease Start</t>
        </is>
      </c>
      <c r="H110" t="inlineStr">
        <is>
          <t>Lease End</t>
        </is>
      </c>
      <c r="I110" t="inlineStr">
        <is>
          <t>Market Rent (RI)</t>
        </is>
      </c>
      <c r="J110" t="inlineStr">
        <is>
          <t>Scheduled Charges</t>
        </is>
      </c>
      <c r="K110" t="inlineStr">
        <is>
          <t>Deposit Held</t>
        </is>
      </c>
    </row>
    <row r="111">
      <c r="A111" t="inlineStr">
        <is>
          <t>2473 Idlewylde Ct-1</t>
        </is>
      </c>
      <c r="B111" t="inlineStr">
        <is>
          <t>2x2 Townhouse</t>
        </is>
      </c>
      <c r="C111" s="87" t="n">
        <v>1300</v>
      </c>
      <c r="D111" t="inlineStr">
        <is>
          <t>Vacant Rented Ready</t>
        </is>
      </c>
      <c r="E111" t="inlineStr">
        <is>
          <t>Thangsing, Khamthianmang</t>
        </is>
      </c>
      <c r="F111" s="88" t="n">
        <v>46283</v>
      </c>
      <c r="G111" s="88" t="n">
        <v>46283</v>
      </c>
      <c r="H111" s="88" t="n">
        <v>46495</v>
      </c>
      <c r="I111" s="89" t="n">
        <v>1394</v>
      </c>
      <c r="J111" s="89" t="n">
        <v>1436</v>
      </c>
      <c r="K111" s="89" t="n">
        <v>500</v>
      </c>
    </row>
    <row r="112">
      <c r="B112" t="inlineStr">
        <is>
          <t>Eagles Eyrie Total:</t>
        </is>
      </c>
      <c r="C112" s="87" t="n">
        <v>1300</v>
      </c>
      <c r="I112" s="89" t="n">
        <v>1394</v>
      </c>
      <c r="J112" s="89" t="n">
        <v>1436</v>
      </c>
      <c r="K112" s="8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2026-10-04T17:34:41Z</dcterms:created>
  <dcterms:modified xsi:type="dcterms:W3CDTF">2026-10-04T17:34:41Z</dcterms:modified>
</cp:coreProperties>
</file>