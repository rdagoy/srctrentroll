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Mix &amp; RR Summary" sheetId="1" state="visible" r:id="rId1"/>
    <sheet name="Recent Leases" sheetId="2" state="visible" r:id="rId2"/>
    <sheet name="Unit Mix based on # of Beds" sheetId="3" state="visible" r:id="rId3"/>
    <sheet name="Pres. Rent Roll" sheetId="4" state="visible" r:id="rId4"/>
    <sheet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Pendale Towers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Pendale Towers</t>
        </is>
      </c>
      <c r="E6" s="7" t="inlineStr">
        <is>
          <t>1 BD / 1 BA</t>
        </is>
      </c>
      <c r="F6" s="8" t="n">
        <v>52</v>
      </c>
      <c r="G6" s="9" t="n">
        <v>55</v>
      </c>
      <c r="H6" s="10" t="n">
        <v>37510</v>
      </c>
      <c r="I6" s="10" t="n">
        <v>682</v>
      </c>
      <c r="J6" s="11" t="n">
        <v>56225</v>
      </c>
      <c r="K6" s="11" t="n">
        <v>1022.272727272727</v>
      </c>
      <c r="L6" s="12" t="n">
        <v>1.498933617701946</v>
      </c>
      <c r="M6" s="11" t="n">
        <v>53698</v>
      </c>
      <c r="N6" s="11" t="n">
        <v>1032.653846153846</v>
      </c>
      <c r="O6" s="12" t="n">
        <v>1.514155199639071</v>
      </c>
      <c r="P6" s="11" t="n">
        <v>1225</v>
      </c>
      <c r="Q6" s="11" t="n">
        <v>0</v>
      </c>
      <c r="S6" s="10" t="n">
        <v>35464</v>
      </c>
    </row>
    <row r="7">
      <c r="D7" s="7" t="inlineStr">
        <is>
          <t>Pendale Towers</t>
        </is>
      </c>
      <c r="E7" s="7" t="inlineStr">
        <is>
          <t>2 BD / 1.5 BA</t>
        </is>
      </c>
      <c r="F7" s="8" t="n">
        <v>42</v>
      </c>
      <c r="G7" s="9" t="n">
        <v>43</v>
      </c>
      <c r="H7" s="10" t="n">
        <v>43344</v>
      </c>
      <c r="I7" s="10" t="n">
        <v>1008</v>
      </c>
      <c r="J7" s="11" t="n">
        <v>60615</v>
      </c>
      <c r="K7" s="11" t="n">
        <v>1409.651162790698</v>
      </c>
      <c r="L7" s="12" t="n">
        <v>1.398463455149502</v>
      </c>
      <c r="M7" s="11" t="n">
        <v>57627</v>
      </c>
      <c r="N7" s="11" t="n">
        <v>1372.071428571429</v>
      </c>
      <c r="O7" s="12" t="n">
        <v>1.361181972789116</v>
      </c>
      <c r="P7" s="11" t="n">
        <v>1600</v>
      </c>
      <c r="Q7" s="11" t="n">
        <v>0</v>
      </c>
      <c r="S7" s="10" t="n">
        <v>42336</v>
      </c>
    </row>
    <row r="8">
      <c r="D8" s="7" t="inlineStr">
        <is>
          <t>Pendale Towers</t>
        </is>
      </c>
      <c r="E8" s="7" t="inlineStr">
        <is>
          <t>2 BD / 2 BA</t>
        </is>
      </c>
      <c r="F8" s="8" t="n">
        <v>18</v>
      </c>
      <c r="G8" s="9" t="n">
        <v>20</v>
      </c>
      <c r="H8" s="10" t="n">
        <v>18888</v>
      </c>
      <c r="I8" s="10" t="n">
        <v>944.4</v>
      </c>
      <c r="J8" s="11" t="n">
        <v>27950</v>
      </c>
      <c r="K8" s="11" t="n">
        <v>1397.5</v>
      </c>
      <c r="L8" s="12" t="n">
        <v>1.479775518847946</v>
      </c>
      <c r="M8" s="11" t="n">
        <v>25990</v>
      </c>
      <c r="N8" s="11" t="n">
        <v>1443.888888888889</v>
      </c>
      <c r="O8" s="12" t="n">
        <v>1.525234741784038</v>
      </c>
      <c r="P8" s="11" t="n">
        <v>1923</v>
      </c>
      <c r="Q8" s="11" t="n">
        <v>0</v>
      </c>
      <c r="S8" s="10" t="n">
        <v>17040</v>
      </c>
    </row>
    <row r="9">
      <c r="D9" s="7" t="inlineStr">
        <is>
          <t>Pendale Towers</t>
        </is>
      </c>
      <c r="E9" s="7" t="inlineStr">
        <is>
          <t>3 BD / 2 BA</t>
        </is>
      </c>
      <c r="F9" s="8" t="n">
        <v>12</v>
      </c>
      <c r="G9" s="9" t="n">
        <v>12</v>
      </c>
      <c r="H9" s="10" t="n">
        <v>15072</v>
      </c>
      <c r="I9" s="10" t="n">
        <v>1256</v>
      </c>
      <c r="J9" s="11" t="n">
        <v>20820</v>
      </c>
      <c r="K9" s="11" t="n">
        <v>1735</v>
      </c>
      <c r="L9" s="12" t="n">
        <v>1.381369426751592</v>
      </c>
      <c r="M9" s="11" t="n">
        <v>21395</v>
      </c>
      <c r="N9" s="11" t="n">
        <v>1782.916666666667</v>
      </c>
      <c r="O9" s="12" t="n">
        <v>1.419519639065817</v>
      </c>
      <c r="P9" s="11" t="n">
        <v>2106</v>
      </c>
      <c r="Q9" s="11" t="n">
        <v>0</v>
      </c>
      <c r="S9" s="10" t="n">
        <v>15072</v>
      </c>
    </row>
    <row r="10">
      <c r="C10" s="13" t="inlineStr">
        <is>
          <t>Total/Wtd Average</t>
        </is>
      </c>
      <c r="D10" s="13" t="n"/>
      <c r="E10" s="13" t="n"/>
      <c r="F10" s="14" t="n">
        <v>124</v>
      </c>
      <c r="G10" s="15" t="n">
        <v>130</v>
      </c>
      <c r="H10" s="16" t="n">
        <v>114814</v>
      </c>
      <c r="I10" s="16" t="n">
        <v>883.1846153846154</v>
      </c>
      <c r="J10" s="17" t="n">
        <v>165610</v>
      </c>
      <c r="K10" s="17" t="n">
        <v>1273.923076923077</v>
      </c>
      <c r="L10" s="18" t="n">
        <v>1.442419913947776</v>
      </c>
      <c r="M10" s="17" t="n">
        <v>158710</v>
      </c>
      <c r="N10" s="17" t="n">
        <v>1279.91935483871</v>
      </c>
      <c r="O10" s="18" t="n">
        <v>1.443973360506587</v>
      </c>
      <c r="P10" s="17" t="n">
        <v>1537.746153846154</v>
      </c>
      <c r="Q10" s="17" t="n">
        <v>0</v>
      </c>
      <c r="S10" s="16" t="n">
        <v>109912</v>
      </c>
    </row>
    <row r="12">
      <c r="C12" s="19" t="inlineStr">
        <is>
          <t>Total Units</t>
        </is>
      </c>
      <c r="D12" s="20" t="n"/>
      <c r="E12" s="20" t="n"/>
      <c r="F12" s="20" t="n"/>
      <c r="G12" s="21" t="n">
        <v>130</v>
      </c>
    </row>
    <row r="13">
      <c r="C13" s="19" t="inlineStr">
        <is>
          <t>Occupied Units</t>
        </is>
      </c>
      <c r="D13" s="20" t="n"/>
      <c r="E13" s="20" t="n"/>
      <c r="F13" s="20" t="n"/>
      <c r="G13" s="21" t="n">
        <v>124</v>
      </c>
    </row>
    <row r="14">
      <c r="C14" s="19" t="inlineStr">
        <is>
          <t>Unit Occupancy</t>
        </is>
      </c>
      <c r="D14" s="20" t="n"/>
      <c r="E14" s="20" t="n"/>
      <c r="F14" s="20" t="n"/>
      <c r="G14" s="22" t="n">
        <v>0.9538461538461539</v>
      </c>
    </row>
    <row r="15">
      <c r="C15" s="19" t="inlineStr">
        <is>
          <t>Total Square Feet</t>
        </is>
      </c>
      <c r="D15" s="20" t="n"/>
      <c r="E15" s="20" t="n"/>
      <c r="F15" s="20" t="n"/>
      <c r="G15" s="23" t="n">
        <v>114814</v>
      </c>
    </row>
    <row r="16">
      <c r="C16" s="19" t="inlineStr">
        <is>
          <t>Occupied Square Feet</t>
        </is>
      </c>
      <c r="D16" s="20" t="n"/>
      <c r="E16" s="20" t="n"/>
      <c r="F16" s="20" t="n"/>
      <c r="G16" s="23" t="n">
        <v>109912</v>
      </c>
    </row>
    <row r="17">
      <c r="C17" s="19" t="inlineStr">
        <is>
          <t>Square Feet Occupancy</t>
        </is>
      </c>
      <c r="D17" s="20" t="n"/>
      <c r="E17" s="20" t="n"/>
      <c r="F17" s="20" t="n"/>
      <c r="G17" s="22" t="n">
        <v>0.9573048582925427</v>
      </c>
    </row>
    <row r="19">
      <c r="C19" s="19" t="inlineStr">
        <is>
          <t>Market Rent Annualized</t>
        </is>
      </c>
      <c r="D19" s="20" t="n"/>
      <c r="E19" s="20" t="n"/>
      <c r="F19" s="20" t="n"/>
      <c r="G19" s="24" t="n">
        <v>1987320</v>
      </c>
    </row>
    <row r="20">
      <c r="C20" s="19" t="inlineStr">
        <is>
          <t>In-Place Rent Annualized</t>
        </is>
      </c>
      <c r="D20" s="20" t="n"/>
      <c r="E20" s="20" t="n"/>
      <c r="F20" s="20" t="n"/>
      <c r="G20" s="24" t="n">
        <v>1904520</v>
      </c>
    </row>
    <row r="21">
      <c r="C21" s="19" t="inlineStr">
        <is>
          <t>Other Income Annualized</t>
        </is>
      </c>
      <c r="D21" s="20" t="n"/>
      <c r="E21" s="20" t="n"/>
      <c r="F21" s="20" t="n"/>
      <c r="G21" s="24" t="n">
        <v>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130</v>
      </c>
    </row>
    <row r="43">
      <c r="U43" s="26" t="inlineStr">
        <is>
          <t>Occ Units</t>
        </is>
      </c>
      <c r="W43" s="27" t="n">
        <v>124</v>
      </c>
    </row>
    <row r="44">
      <c r="U44" s="26" t="inlineStr">
        <is>
          <t>Unit %Occ</t>
        </is>
      </c>
      <c r="W44" s="28" t="n">
        <v>0.9538461538461539</v>
      </c>
    </row>
    <row r="45">
      <c r="U45" s="26" t="inlineStr">
        <is>
          <t>Net Sq Ft</t>
        </is>
      </c>
      <c r="W45" s="27" t="n">
        <v>114814</v>
      </c>
    </row>
    <row r="46">
      <c r="U46" s="26" t="inlineStr">
        <is>
          <t>SF Occ</t>
        </is>
      </c>
      <c r="W46" s="27" t="n">
        <v>109912</v>
      </c>
    </row>
    <row r="47">
      <c r="U47" s="26" t="inlineStr">
        <is>
          <t>% SF Occ</t>
        </is>
      </c>
      <c r="W47" s="28" t="n">
        <v>0.9573048582925427</v>
      </c>
    </row>
    <row r="48">
      <c r="U48" s="26" t="inlineStr">
        <is>
          <t>Mkt Rent</t>
        </is>
      </c>
      <c r="W48" s="27" t="n">
        <v>165610</v>
      </c>
    </row>
    <row r="49">
      <c r="U49" s="26" t="inlineStr">
        <is>
          <t>Cont Rent</t>
        </is>
      </c>
      <c r="W49" s="27" t="n">
        <v>158710</v>
      </c>
    </row>
    <row r="50">
      <c r="U50" s="26" t="inlineStr">
        <is>
          <t>Conc</t>
        </is>
      </c>
      <c r="W50" s="27" t="n">
        <v>0</v>
      </c>
    </row>
    <row r="51">
      <c r="U51" s="26" t="inlineStr">
        <is>
          <t>Other Inc</t>
        </is>
      </c>
      <c r="W51" s="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Pendale Towers</t>
        </is>
      </c>
      <c r="Y3" s="30" t="n">
        <v>46233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Pendale Towers</t>
        </is>
      </c>
      <c r="E7" s="36" t="inlineStr">
        <is>
          <t>1 BD / 1 BA</t>
        </is>
      </c>
      <c r="F7" s="37" t="n">
        <v>52</v>
      </c>
      <c r="G7" s="9" t="n">
        <v>55</v>
      </c>
      <c r="H7" s="10" t="n">
        <v>37510</v>
      </c>
      <c r="I7" s="10" t="n">
        <v>682</v>
      </c>
      <c r="J7" s="11" t="n">
        <v>1022.272727272727</v>
      </c>
      <c r="K7" s="38" t="n">
        <v>1025</v>
      </c>
      <c r="L7" s="11" t="n">
        <v>1032.653846153846</v>
      </c>
      <c r="M7" s="39" t="n">
        <v>1.007467166979362</v>
      </c>
      <c r="N7" s="38" t="n">
        <v>982.1428571428571</v>
      </c>
      <c r="O7" s="40" t="n">
        <v>7</v>
      </c>
      <c r="P7" s="11" t="n">
        <v>975</v>
      </c>
      <c r="Q7" s="40" t="n">
        <v>3</v>
      </c>
      <c r="R7" s="11" t="n">
        <v>975</v>
      </c>
      <c r="S7" s="40" t="n">
        <v>1</v>
      </c>
      <c r="T7" s="11" t="inlineStr">
        <is>
          <t>n/a</t>
        </is>
      </c>
      <c r="U7" s="40" t="n">
        <v>0</v>
      </c>
      <c r="V7" s="11" t="inlineStr">
        <is>
          <t>n/a</t>
        </is>
      </c>
      <c r="W7" s="40" t="n">
        <v>0</v>
      </c>
    </row>
    <row r="8">
      <c r="D8" s="36" t="inlineStr">
        <is>
          <t>Pendale Towers</t>
        </is>
      </c>
      <c r="E8" s="36" t="inlineStr">
        <is>
          <t>2 BD / 1.5 BA</t>
        </is>
      </c>
      <c r="F8" s="37" t="n">
        <v>42</v>
      </c>
      <c r="G8" s="9" t="n">
        <v>43</v>
      </c>
      <c r="H8" s="10" t="n">
        <v>43344</v>
      </c>
      <c r="I8" s="10" t="n">
        <v>1008</v>
      </c>
      <c r="J8" s="11" t="n">
        <v>1409.651162790698</v>
      </c>
      <c r="K8" s="38" t="n">
        <v>1411.904761904762</v>
      </c>
      <c r="L8" s="11" t="n">
        <v>1372.071428571429</v>
      </c>
      <c r="M8" s="39" t="n">
        <v>0.971787521079258</v>
      </c>
      <c r="N8" s="38" t="n">
        <v>1372</v>
      </c>
      <c r="O8" s="40" t="n">
        <v>5</v>
      </c>
      <c r="P8" s="11" t="n">
        <v>1386.25</v>
      </c>
      <c r="Q8" s="40" t="n">
        <v>4</v>
      </c>
      <c r="R8" s="11" t="n">
        <v>1410</v>
      </c>
      <c r="S8" s="40" t="n">
        <v>3</v>
      </c>
      <c r="T8" s="11" t="n">
        <v>1315</v>
      </c>
      <c r="U8" s="40" t="n">
        <v>2</v>
      </c>
      <c r="V8" s="11" t="inlineStr">
        <is>
          <t>n/a</t>
        </is>
      </c>
      <c r="W8" s="40" t="n">
        <v>0</v>
      </c>
    </row>
    <row r="9">
      <c r="D9" s="36" t="inlineStr">
        <is>
          <t>Pendale Towers</t>
        </is>
      </c>
      <c r="E9" s="36" t="inlineStr">
        <is>
          <t>2 BD / 2 BA</t>
        </is>
      </c>
      <c r="F9" s="37" t="n">
        <v>18</v>
      </c>
      <c r="G9" s="9" t="n">
        <v>20</v>
      </c>
      <c r="H9" s="10" t="n">
        <v>18888</v>
      </c>
      <c r="I9" s="10" t="n">
        <v>944.4</v>
      </c>
      <c r="J9" s="11" t="n">
        <v>1397.5</v>
      </c>
      <c r="K9" s="38" t="n">
        <v>1401.111111111111</v>
      </c>
      <c r="L9" s="11" t="n">
        <v>1443.888888888889</v>
      </c>
      <c r="M9" s="39" t="n">
        <v>1.030531324345757</v>
      </c>
      <c r="N9" s="38" t="n">
        <v>1405</v>
      </c>
      <c r="O9" s="40" t="n">
        <v>6</v>
      </c>
      <c r="P9" s="11" t="n">
        <v>1423</v>
      </c>
      <c r="Q9" s="40" t="n">
        <v>5</v>
      </c>
      <c r="R9" s="11" t="n">
        <v>1423</v>
      </c>
      <c r="S9" s="40" t="n">
        <v>5</v>
      </c>
      <c r="T9" s="11" t="n">
        <v>1403.75</v>
      </c>
      <c r="U9" s="40" t="n">
        <v>4</v>
      </c>
      <c r="V9" s="11" t="n">
        <v>1365</v>
      </c>
      <c r="W9" s="40" t="n">
        <v>1</v>
      </c>
    </row>
    <row r="10">
      <c r="D10" s="36" t="inlineStr">
        <is>
          <t>Pendale Towers</t>
        </is>
      </c>
      <c r="E10" s="36" t="inlineStr">
        <is>
          <t>3 BD / 2 BA</t>
        </is>
      </c>
      <c r="F10" s="37" t="n">
        <v>12</v>
      </c>
      <c r="G10" s="9" t="n">
        <v>12</v>
      </c>
      <c r="H10" s="10" t="n">
        <v>15072</v>
      </c>
      <c r="I10" s="10" t="n">
        <v>1256</v>
      </c>
      <c r="J10" s="11" t="n">
        <v>1735</v>
      </c>
      <c r="K10" s="38" t="n">
        <v>1735</v>
      </c>
      <c r="L10" s="11" t="n">
        <v>1782.916666666667</v>
      </c>
      <c r="M10" s="39" t="n">
        <v>1.0276176753122</v>
      </c>
      <c r="N10" s="38" t="n">
        <v>1765</v>
      </c>
      <c r="O10" s="40" t="n">
        <v>3</v>
      </c>
      <c r="P10" s="11" t="n">
        <v>1872.5</v>
      </c>
      <c r="Q10" s="40" t="n">
        <v>2</v>
      </c>
      <c r="R10" s="11" t="n">
        <v>1872.5</v>
      </c>
      <c r="S10" s="40" t="n">
        <v>2</v>
      </c>
      <c r="T10" s="11" t="n">
        <v>1872.5</v>
      </c>
      <c r="U10" s="40" t="n">
        <v>2</v>
      </c>
      <c r="V10" s="11" t="n">
        <v>1845</v>
      </c>
      <c r="W10" s="40" t="n">
        <v>1</v>
      </c>
    </row>
    <row r="11">
      <c r="C11" s="13" t="inlineStr">
        <is>
          <t>Total/Wtd Average</t>
        </is>
      </c>
      <c r="D11" s="41" t="n"/>
      <c r="E11" s="41" t="n"/>
      <c r="F11" s="15" t="n">
        <v>124</v>
      </c>
      <c r="G11" s="15" t="n">
        <v>130</v>
      </c>
      <c r="H11" s="16" t="n">
        <v>114814</v>
      </c>
      <c r="I11" s="16" t="n">
        <v>883.1846153846154</v>
      </c>
      <c r="J11" s="17" t="n">
        <v>1273.923076923077</v>
      </c>
      <c r="K11" s="42" t="n">
        <v>1279.354838709677</v>
      </c>
      <c r="L11" s="17" t="n">
        <v>1279.91935483871</v>
      </c>
      <c r="M11" s="43" t="n">
        <v>1.000441250630358</v>
      </c>
      <c r="N11" s="42" t="inlineStr">
        <is>
          <t>n/a</t>
        </is>
      </c>
      <c r="O11" s="44" t="n">
        <v>21</v>
      </c>
      <c r="P11" s="17" t="inlineStr">
        <is>
          <t>n/a</t>
        </is>
      </c>
      <c r="Q11" s="44" t="n">
        <v>14</v>
      </c>
      <c r="R11" s="17" t="inlineStr">
        <is>
          <t>n/a</t>
        </is>
      </c>
      <c r="S11" s="44" t="n">
        <v>11</v>
      </c>
      <c r="T11" s="17" t="inlineStr">
        <is>
          <t>n/a</t>
        </is>
      </c>
      <c r="U11" s="44" t="n">
        <v>8</v>
      </c>
      <c r="V11" s="17" t="inlineStr">
        <is>
          <t>n/a</t>
        </is>
      </c>
      <c r="W11" s="45" t="n">
        <v>2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130</v>
      </c>
    </row>
    <row r="60">
      <c r="Z60" s="26" t="inlineStr">
        <is>
          <t>Occ Units</t>
        </is>
      </c>
      <c r="AB60" s="27" t="n">
        <v>124</v>
      </c>
    </row>
    <row r="61">
      <c r="Z61" s="26" t="inlineStr">
        <is>
          <t>Unit %Occ</t>
        </is>
      </c>
      <c r="AB61" s="28" t="n">
        <v>0.9538461538461539</v>
      </c>
    </row>
    <row r="62">
      <c r="Z62" s="26" t="inlineStr">
        <is>
          <t>Net Sq Ft</t>
        </is>
      </c>
      <c r="AB62" s="27" t="n">
        <v>114814</v>
      </c>
    </row>
    <row r="63">
      <c r="Z63" s="26" t="inlineStr">
        <is>
          <t>SF Occ</t>
        </is>
      </c>
      <c r="AB63" s="27" t="n">
        <v>109912</v>
      </c>
    </row>
    <row r="64">
      <c r="Z64" s="26" t="inlineStr">
        <is>
          <t>% SF Occ</t>
        </is>
      </c>
      <c r="AB64" s="28" t="n">
        <v>0.9573048582925427</v>
      </c>
    </row>
    <row r="65">
      <c r="Z65" s="26" t="inlineStr">
        <is>
          <t>Mkt Rent</t>
        </is>
      </c>
      <c r="AB65" s="27" t="n">
        <v>165610</v>
      </c>
    </row>
    <row r="66">
      <c r="Z66" s="26" t="inlineStr">
        <is>
          <t>Cont Rent</t>
        </is>
      </c>
      <c r="AB66" s="27" t="n">
        <v>158710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20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Pendale Towers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Pendale Towers</t>
        </is>
      </c>
      <c r="E6" s="46" t="n">
        <v>1</v>
      </c>
      <c r="F6" s="8" t="n">
        <v>52</v>
      </c>
      <c r="G6" s="9" t="n">
        <v>55</v>
      </c>
      <c r="H6" s="10" t="n">
        <v>37510</v>
      </c>
      <c r="I6" s="10" t="n">
        <v>682</v>
      </c>
      <c r="J6" s="11" t="n">
        <v>56225</v>
      </c>
      <c r="K6" s="11" t="n">
        <v>1022.272727272727</v>
      </c>
      <c r="L6" s="12" t="n">
        <v>1.498933617701946</v>
      </c>
      <c r="M6" s="11" t="n">
        <v>53698</v>
      </c>
      <c r="N6" s="11" t="n">
        <v>1032.653846153846</v>
      </c>
      <c r="O6" s="12" t="n">
        <v>1.514155199639071</v>
      </c>
      <c r="P6" s="11" t="n">
        <v>1225</v>
      </c>
      <c r="Q6" s="11" t="n">
        <v>0</v>
      </c>
      <c r="S6" s="10" t="n">
        <v>35464</v>
      </c>
    </row>
    <row r="7">
      <c r="D7" s="7" t="inlineStr">
        <is>
          <t>Pendale Towers</t>
        </is>
      </c>
      <c r="E7" s="46" t="n">
        <v>2</v>
      </c>
      <c r="F7" s="8" t="n">
        <v>60</v>
      </c>
      <c r="G7" s="9" t="n">
        <v>63</v>
      </c>
      <c r="H7" s="10" t="n">
        <v>62232</v>
      </c>
      <c r="I7" s="10" t="n">
        <v>987.8095238095239</v>
      </c>
      <c r="J7" s="11" t="n">
        <v>88565</v>
      </c>
      <c r="K7" s="11" t="n">
        <v>1405.793650793651</v>
      </c>
      <c r="L7" s="12" t="n">
        <v>1.423142434760252</v>
      </c>
      <c r="M7" s="11" t="n">
        <v>83617</v>
      </c>
      <c r="N7" s="11" t="n">
        <v>1393.616666666667</v>
      </c>
      <c r="O7" s="12" t="n">
        <v>1.408262597682565</v>
      </c>
      <c r="P7" s="11" t="n">
        <v>1923</v>
      </c>
      <c r="Q7" s="11" t="n">
        <v>0</v>
      </c>
      <c r="S7" s="10" t="n">
        <v>59376</v>
      </c>
    </row>
    <row r="8">
      <c r="D8" s="7" t="inlineStr">
        <is>
          <t>Pendale Towers</t>
        </is>
      </c>
      <c r="E8" s="46" t="n">
        <v>3</v>
      </c>
      <c r="F8" s="8" t="n">
        <v>12</v>
      </c>
      <c r="G8" s="9" t="n">
        <v>12</v>
      </c>
      <c r="H8" s="10" t="n">
        <v>15072</v>
      </c>
      <c r="I8" s="10" t="n">
        <v>1256</v>
      </c>
      <c r="J8" s="11" t="n">
        <v>20820</v>
      </c>
      <c r="K8" s="11" t="n">
        <v>1735</v>
      </c>
      <c r="L8" s="12" t="n">
        <v>1.381369426751592</v>
      </c>
      <c r="M8" s="11" t="n">
        <v>21395</v>
      </c>
      <c r="N8" s="11" t="n">
        <v>1782.916666666667</v>
      </c>
      <c r="O8" s="12" t="n">
        <v>1.419519639065817</v>
      </c>
      <c r="P8" s="11" t="n">
        <v>2106</v>
      </c>
      <c r="Q8" s="11" t="n">
        <v>0</v>
      </c>
      <c r="S8" s="10" t="n">
        <v>15072</v>
      </c>
    </row>
    <row r="9">
      <c r="C9" s="13" t="inlineStr">
        <is>
          <t>Total/Wtd Average</t>
        </is>
      </c>
      <c r="D9" s="13" t="n"/>
      <c r="E9" s="13" t="n"/>
      <c r="F9" s="14" t="n">
        <v>124</v>
      </c>
      <c r="G9" s="15" t="n">
        <v>130</v>
      </c>
      <c r="H9" s="16" t="n">
        <v>114814</v>
      </c>
      <c r="I9" s="16" t="n">
        <v>883.1846153846154</v>
      </c>
      <c r="J9" s="17" t="n">
        <v>165610</v>
      </c>
      <c r="K9" s="17" t="n">
        <v>1273.923076923077</v>
      </c>
      <c r="L9" s="18" t="n">
        <v>1.442419913947776</v>
      </c>
      <c r="M9" s="17" t="n">
        <v>158710</v>
      </c>
      <c r="N9" s="17" t="n">
        <v>1279.91935483871</v>
      </c>
      <c r="O9" s="18" t="n">
        <v>1.443973360506587</v>
      </c>
      <c r="P9" s="17" t="inlineStr">
        <is>
          <t>N/A</t>
        </is>
      </c>
      <c r="Q9" s="17" t="n">
        <v>0</v>
      </c>
      <c r="S9" s="16" t="n">
        <v>109912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130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124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0.9538461538461539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114814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109912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0.9573048582925427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1987320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1904520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1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Pendale Towers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Pendale Towers</t>
        </is>
      </c>
      <c r="E8" s="54" t="inlineStr">
        <is>
          <t>Guest Suite (3rd Floor)</t>
        </is>
      </c>
      <c r="F8" s="54" t="inlineStr">
        <is>
          <t>1 BD / 1 BA</t>
        </is>
      </c>
      <c r="G8" s="54" t="inlineStr">
        <is>
          <t>1 BD / 1 BA</t>
        </is>
      </c>
      <c r="K8" s="36" t="inlineStr">
        <is>
          <t>Birgo AirBnB</t>
        </is>
      </c>
      <c r="L8" s="55" t="n">
        <v>682</v>
      </c>
      <c r="M8" s="56" t="n">
        <v>1</v>
      </c>
      <c r="N8" s="56" t="n">
        <v>1</v>
      </c>
      <c r="Q8" s="57" t="inlineStr">
        <is>
          <t>Occ</t>
        </is>
      </c>
      <c r="U8" s="58" t="n">
        <v>1025</v>
      </c>
      <c r="V8" s="58" t="n">
        <v>1025</v>
      </c>
      <c r="W8" s="58" t="n">
        <v>0</v>
      </c>
      <c r="X8" s="58" t="n">
        <v>0</v>
      </c>
      <c r="Y8" s="58" t="n">
        <v>0</v>
      </c>
      <c r="AA8" s="59" t="n">
        <v>44197</v>
      </c>
    </row>
    <row r="9">
      <c r="D9" s="36" t="inlineStr">
        <is>
          <t>Pendale Towers</t>
        </is>
      </c>
      <c r="E9" s="54" t="inlineStr">
        <is>
          <t>Penthouse P-1</t>
        </is>
      </c>
      <c r="F9" s="54" t="inlineStr">
        <is>
          <t>3 BD / 2 BA</t>
        </is>
      </c>
      <c r="G9" s="54" t="inlineStr">
        <is>
          <t>3 BD / 2 BA</t>
        </is>
      </c>
      <c r="K9" s="36" t="inlineStr">
        <is>
          <t>Jennifer Jaumotte</t>
        </is>
      </c>
      <c r="L9" s="55" t="n">
        <v>1421</v>
      </c>
      <c r="M9" s="56" t="n">
        <v>3</v>
      </c>
      <c r="N9" s="56" t="n">
        <v>2</v>
      </c>
      <c r="Q9" s="57" t="inlineStr">
        <is>
          <t>Occ</t>
        </is>
      </c>
      <c r="U9" s="58" t="n">
        <v>1845</v>
      </c>
      <c r="V9" s="58" t="n">
        <v>2106</v>
      </c>
      <c r="W9" s="58" t="n">
        <v>0</v>
      </c>
      <c r="X9" s="58" t="n">
        <v>0</v>
      </c>
      <c r="Y9" s="58" t="n">
        <v>0</v>
      </c>
      <c r="AA9" s="59" t="n">
        <v>45108</v>
      </c>
      <c r="AB9" s="59" t="n">
        <v>46559</v>
      </c>
    </row>
    <row r="10">
      <c r="D10" s="36" t="inlineStr">
        <is>
          <t>Pendale Towers</t>
        </is>
      </c>
      <c r="E10" s="54" t="inlineStr">
        <is>
          <t>Penthouse P-2</t>
        </is>
      </c>
      <c r="F10" s="54" t="inlineStr">
        <is>
          <t>2 BD / 2 BA</t>
        </is>
      </c>
      <c r="G10" s="54" t="inlineStr">
        <is>
          <t>2 BD / 2 BA</t>
        </is>
      </c>
      <c r="K10" s="36" t="inlineStr">
        <is>
          <t>Karen  Gallimore</t>
        </is>
      </c>
      <c r="L10" s="55" t="n">
        <v>1044</v>
      </c>
      <c r="M10" s="56" t="n">
        <v>2</v>
      </c>
      <c r="N10" s="56" t="n">
        <v>2</v>
      </c>
      <c r="Q10" s="57" t="inlineStr">
        <is>
          <t>Occ</t>
        </is>
      </c>
      <c r="U10" s="58" t="n">
        <v>1465</v>
      </c>
      <c r="V10" s="58" t="n">
        <v>1923</v>
      </c>
      <c r="W10" s="58" t="n">
        <v>0</v>
      </c>
      <c r="X10" s="58" t="n">
        <v>0</v>
      </c>
      <c r="Y10" s="58" t="n">
        <v>0</v>
      </c>
      <c r="AA10" s="59" t="n">
        <v>44958</v>
      </c>
      <c r="AB10" s="59" t="n">
        <v>46510</v>
      </c>
    </row>
    <row r="11">
      <c r="D11" s="36" t="inlineStr">
        <is>
          <t>Pendale Towers</t>
        </is>
      </c>
      <c r="E11" s="54" t="inlineStr">
        <is>
          <t>Penthouse P-3</t>
        </is>
      </c>
      <c r="F11" s="54" t="inlineStr">
        <is>
          <t>2 BD / 2 BA</t>
        </is>
      </c>
      <c r="G11" s="54" t="inlineStr">
        <is>
          <t>2 BD / 2 BA</t>
        </is>
      </c>
      <c r="K11" s="36" t="inlineStr">
        <is>
          <t>Mary                   Amenta</t>
        </is>
      </c>
      <c r="L11" s="55" t="n">
        <v>1044</v>
      </c>
      <c r="M11" s="56" t="n">
        <v>2</v>
      </c>
      <c r="N11" s="56" t="n">
        <v>2</v>
      </c>
      <c r="Q11" s="57" t="inlineStr">
        <is>
          <t>Occ</t>
        </is>
      </c>
      <c r="U11" s="58" t="n">
        <v>1465</v>
      </c>
      <c r="V11" s="58" t="n">
        <v>1709</v>
      </c>
      <c r="W11" s="58" t="n">
        <v>0</v>
      </c>
      <c r="X11" s="58" t="n">
        <v>0</v>
      </c>
      <c r="Y11" s="58" t="n">
        <v>0</v>
      </c>
      <c r="AA11" s="59" t="n">
        <v>44866</v>
      </c>
      <c r="AB11" s="59" t="n">
        <v>46314</v>
      </c>
    </row>
    <row r="12">
      <c r="D12" s="36" t="inlineStr">
        <is>
          <t>Pendale Towers</t>
        </is>
      </c>
      <c r="E12" s="54" t="inlineStr">
        <is>
          <t>Penthouse P-4</t>
        </is>
      </c>
      <c r="F12" s="54" t="inlineStr">
        <is>
          <t>3 BD / 2 BA</t>
        </is>
      </c>
      <c r="G12" s="54" t="inlineStr">
        <is>
          <t>3 BD / 2 BA</t>
        </is>
      </c>
      <c r="K12" s="36" t="inlineStr">
        <is>
          <t>Paul  Battisti</t>
        </is>
      </c>
      <c r="L12" s="55" t="n">
        <v>1421</v>
      </c>
      <c r="M12" s="56" t="n">
        <v>3</v>
      </c>
      <c r="N12" s="56" t="n">
        <v>2</v>
      </c>
      <c r="Q12" s="57" t="inlineStr">
        <is>
          <t>Occ</t>
        </is>
      </c>
      <c r="U12" s="58" t="n">
        <v>1845</v>
      </c>
      <c r="V12" s="58" t="n">
        <v>1897</v>
      </c>
      <c r="W12" s="58" t="n">
        <v>0</v>
      </c>
      <c r="X12" s="58" t="n">
        <v>0</v>
      </c>
      <c r="Y12" s="58" t="n">
        <v>0</v>
      </c>
      <c r="AA12" s="59" t="n">
        <v>44927</v>
      </c>
      <c r="AB12" s="59" t="n">
        <v>46496</v>
      </c>
    </row>
    <row r="13">
      <c r="D13" s="36" t="inlineStr">
        <is>
          <t>Pendale Towers</t>
        </is>
      </c>
      <c r="E13" s="54" t="inlineStr">
        <is>
          <t>Penthouse P-5</t>
        </is>
      </c>
      <c r="F13" s="54" t="inlineStr">
        <is>
          <t>3 BD / 2 BA</t>
        </is>
      </c>
      <c r="G13" s="54" t="inlineStr">
        <is>
          <t>3 BD / 2 BA</t>
        </is>
      </c>
      <c r="K13" s="36" t="inlineStr">
        <is>
          <t>Thomas   Burgunder</t>
        </is>
      </c>
      <c r="L13" s="55" t="n">
        <v>1384</v>
      </c>
      <c r="M13" s="56" t="n">
        <v>3</v>
      </c>
      <c r="N13" s="56" t="n">
        <v>2</v>
      </c>
      <c r="Q13" s="57" t="inlineStr">
        <is>
          <t>Occ</t>
        </is>
      </c>
      <c r="U13" s="58" t="n">
        <v>1845</v>
      </c>
      <c r="V13" s="58" t="n">
        <v>1919</v>
      </c>
      <c r="W13" s="58" t="n">
        <v>0</v>
      </c>
      <c r="X13" s="58" t="n">
        <v>0</v>
      </c>
      <c r="Y13" s="58" t="n">
        <v>0</v>
      </c>
      <c r="AA13" s="59" t="n">
        <v>45017</v>
      </c>
      <c r="AB13" s="59" t="n">
        <v>46510</v>
      </c>
    </row>
    <row r="14">
      <c r="D14" s="36" t="inlineStr">
        <is>
          <t>Pendale Towers</t>
        </is>
      </c>
      <c r="E14" s="54" t="inlineStr">
        <is>
          <t>Penthouse P-6</t>
        </is>
      </c>
      <c r="F14" s="54" t="inlineStr">
        <is>
          <t>3 BD / 2 BA</t>
        </is>
      </c>
      <c r="G14" s="54" t="inlineStr">
        <is>
          <t>3 BD / 2 BA</t>
        </is>
      </c>
      <c r="K14" s="36" t="inlineStr">
        <is>
          <t>Samantha E. Cobaugh</t>
        </is>
      </c>
      <c r="L14" s="55" t="n">
        <v>1232</v>
      </c>
      <c r="M14" s="56" t="n">
        <v>3</v>
      </c>
      <c r="N14" s="56" t="n">
        <v>2</v>
      </c>
      <c r="Q14" s="57" t="inlineStr">
        <is>
          <t>Occ</t>
        </is>
      </c>
      <c r="U14" s="58" t="n">
        <v>1845</v>
      </c>
      <c r="V14" s="58" t="n">
        <v>1845</v>
      </c>
      <c r="W14" s="58" t="n">
        <v>0</v>
      </c>
      <c r="X14" s="58" t="n">
        <v>0</v>
      </c>
      <c r="Y14" s="58" t="n">
        <v>0</v>
      </c>
      <c r="AA14" s="59" t="n">
        <v>46203</v>
      </c>
      <c r="AB14" s="59" t="n">
        <v>46566</v>
      </c>
    </row>
    <row r="15">
      <c r="D15" s="36" t="inlineStr">
        <is>
          <t>Pendale Towers</t>
        </is>
      </c>
      <c r="E15" s="54" t="inlineStr">
        <is>
          <t>Penthouse P-7</t>
        </is>
      </c>
      <c r="F15" s="54" t="inlineStr">
        <is>
          <t>3 BD / 2 BA</t>
        </is>
      </c>
      <c r="G15" s="54" t="inlineStr">
        <is>
          <t>3 BD / 2 BA</t>
        </is>
      </c>
      <c r="K15" s="36" t="inlineStr">
        <is>
          <t>Lois Palladino</t>
        </is>
      </c>
      <c r="L15" s="55" t="n">
        <v>1276</v>
      </c>
      <c r="M15" s="56" t="n">
        <v>3</v>
      </c>
      <c r="N15" s="56" t="n">
        <v>2</v>
      </c>
      <c r="Q15" s="57" t="inlineStr">
        <is>
          <t>Occ</t>
        </is>
      </c>
      <c r="U15" s="58" t="n">
        <v>1845</v>
      </c>
      <c r="V15" s="58" t="n">
        <v>1882</v>
      </c>
      <c r="W15" s="58" t="n">
        <v>0</v>
      </c>
      <c r="X15" s="58" t="n">
        <v>0</v>
      </c>
      <c r="Y15" s="58" t="n">
        <v>0</v>
      </c>
      <c r="AA15" s="59" t="n">
        <v>44866</v>
      </c>
      <c r="AB15" s="59" t="n">
        <v>46314</v>
      </c>
    </row>
    <row r="16">
      <c r="D16" s="36" t="inlineStr">
        <is>
          <t>Pendale Towers</t>
        </is>
      </c>
      <c r="E16" s="54" t="inlineStr">
        <is>
          <t>Penthouse P-8</t>
        </is>
      </c>
      <c r="F16" s="54" t="inlineStr">
        <is>
          <t>3 BD / 2 BA</t>
        </is>
      </c>
      <c r="G16" s="54" t="inlineStr">
        <is>
          <t>3 BD / 2 BA</t>
        </is>
      </c>
      <c r="K16" s="36" t="inlineStr">
        <is>
          <t>Richard Calhoun</t>
        </is>
      </c>
      <c r="L16" s="55" t="n">
        <v>1276</v>
      </c>
      <c r="M16" s="56" t="n">
        <v>3</v>
      </c>
      <c r="N16" s="56" t="n">
        <v>2</v>
      </c>
      <c r="Q16" s="57" t="inlineStr">
        <is>
          <t>Occ</t>
        </is>
      </c>
      <c r="U16" s="58" t="n">
        <v>1845</v>
      </c>
      <c r="V16" s="58" t="n">
        <v>1976</v>
      </c>
      <c r="W16" s="58" t="n">
        <v>0</v>
      </c>
      <c r="X16" s="58" t="n">
        <v>0</v>
      </c>
      <c r="Y16" s="58" t="n">
        <v>0</v>
      </c>
      <c r="AA16" s="59" t="n">
        <v>45047</v>
      </c>
      <c r="AB16" s="59" t="n">
        <v>46132</v>
      </c>
    </row>
    <row r="17">
      <c r="D17" s="36" t="inlineStr">
        <is>
          <t>Pendale Towers</t>
        </is>
      </c>
      <c r="E17" s="54" t="inlineStr">
        <is>
          <t>Penthouse P-9</t>
        </is>
      </c>
      <c r="F17" s="54" t="inlineStr">
        <is>
          <t>3 BD / 2 BA</t>
        </is>
      </c>
      <c r="G17" s="54" t="inlineStr">
        <is>
          <t>3 BD / 2 BA</t>
        </is>
      </c>
      <c r="K17" s="36" t="inlineStr">
        <is>
          <t>Lynn P. Martinez</t>
        </is>
      </c>
      <c r="L17" s="55" t="n">
        <v>1232</v>
      </c>
      <c r="M17" s="56" t="n">
        <v>3</v>
      </c>
      <c r="N17" s="56" t="n">
        <v>2</v>
      </c>
      <c r="Q17" s="57" t="inlineStr">
        <is>
          <t>Occ</t>
        </is>
      </c>
      <c r="U17" s="58" t="n">
        <v>2000</v>
      </c>
      <c r="V17" s="58" t="n">
        <v>1900</v>
      </c>
      <c r="W17" s="58" t="n">
        <v>0</v>
      </c>
      <c r="X17" s="58" t="n">
        <v>0</v>
      </c>
      <c r="Y17" s="58" t="n">
        <v>0</v>
      </c>
      <c r="AA17" s="59" t="n">
        <v>46193</v>
      </c>
      <c r="AB17" s="59" t="n">
        <v>46559</v>
      </c>
    </row>
    <row r="18">
      <c r="D18" s="36" t="inlineStr">
        <is>
          <t>Pendale Towers</t>
        </is>
      </c>
      <c r="E18" s="54" t="inlineStr">
        <is>
          <t>Unit G-01</t>
        </is>
      </c>
      <c r="F18" s="54" t="inlineStr">
        <is>
          <t>1 BD / 1 BA</t>
        </is>
      </c>
      <c r="G18" s="54" t="inlineStr">
        <is>
          <t>1 BD / 1 BA</t>
        </is>
      </c>
      <c r="K18" s="36" t="inlineStr">
        <is>
          <t>Vacant</t>
        </is>
      </c>
      <c r="L18" s="55" t="n">
        <v>682</v>
      </c>
      <c r="M18" s="56" t="n">
        <v>1</v>
      </c>
      <c r="N18" s="56" t="n">
        <v>1</v>
      </c>
      <c r="Q18" s="57" t="inlineStr">
        <is>
          <t>Vac</t>
        </is>
      </c>
      <c r="U18" s="58" t="n">
        <v>975</v>
      </c>
      <c r="V18" s="58" t="n">
        <v>0</v>
      </c>
      <c r="W18" s="58" t="n">
        <v>0</v>
      </c>
      <c r="X18" s="58" t="n">
        <v>0</v>
      </c>
      <c r="Y18" s="58" t="n">
        <v>0</v>
      </c>
    </row>
    <row r="19">
      <c r="D19" s="36" t="inlineStr">
        <is>
          <t>Pendale Towers</t>
        </is>
      </c>
      <c r="E19" s="54" t="inlineStr">
        <is>
          <t>Unit G-02</t>
        </is>
      </c>
      <c r="F19" s="54" t="inlineStr">
        <is>
          <t>2 BD / 2 BA</t>
        </is>
      </c>
      <c r="G19" s="54" t="inlineStr">
        <is>
          <t>2 BD / 2 BA</t>
        </is>
      </c>
      <c r="K19" s="36" t="inlineStr">
        <is>
          <t>Jose E. Celedon</t>
        </is>
      </c>
      <c r="L19" s="55" t="n">
        <v>1008</v>
      </c>
      <c r="M19" s="56" t="n">
        <v>2</v>
      </c>
      <c r="N19" s="56" t="n">
        <v>2</v>
      </c>
      <c r="Q19" s="57" t="inlineStr">
        <is>
          <t>Occ</t>
        </is>
      </c>
      <c r="U19" s="58" t="n">
        <v>1500</v>
      </c>
      <c r="V19" s="58" t="n">
        <v>1500</v>
      </c>
      <c r="W19" s="58" t="n">
        <v>0</v>
      </c>
      <c r="X19" s="58" t="n">
        <v>0</v>
      </c>
      <c r="Y19" s="58" t="n">
        <v>0</v>
      </c>
      <c r="AA19" s="59" t="n">
        <v>46142</v>
      </c>
      <c r="AB19" s="59" t="n">
        <v>46503</v>
      </c>
    </row>
    <row r="20">
      <c r="D20" s="36" t="inlineStr">
        <is>
          <t>Pendale Towers</t>
        </is>
      </c>
      <c r="E20" s="54" t="inlineStr">
        <is>
          <t>Unit G-03</t>
        </is>
      </c>
      <c r="F20" s="54" t="inlineStr">
        <is>
          <t>2 BD / 1.5 BA</t>
        </is>
      </c>
      <c r="G20" s="54" t="inlineStr">
        <is>
          <t>2 BD / 1.5 BA</t>
        </is>
      </c>
      <c r="K20" s="36" t="inlineStr">
        <is>
          <t>Joseph L. Trozzo</t>
        </is>
      </c>
      <c r="L20" s="55" t="n">
        <v>1008</v>
      </c>
      <c r="M20" s="56" t="n">
        <v>2</v>
      </c>
      <c r="N20" s="56" t="n">
        <v>1.5</v>
      </c>
      <c r="Q20" s="57" t="inlineStr">
        <is>
          <t>Occ</t>
        </is>
      </c>
      <c r="U20" s="58" t="n">
        <v>1315</v>
      </c>
      <c r="V20" s="58" t="n">
        <v>1315</v>
      </c>
      <c r="W20" s="58" t="n">
        <v>0</v>
      </c>
      <c r="X20" s="58" t="n">
        <v>0</v>
      </c>
      <c r="Y20" s="58" t="n">
        <v>0</v>
      </c>
      <c r="AA20" s="59" t="n">
        <v>46082</v>
      </c>
      <c r="AB20" s="59" t="n">
        <v>46475</v>
      </c>
    </row>
    <row r="21">
      <c r="D21" s="36" t="inlineStr">
        <is>
          <t>Pendale Towers</t>
        </is>
      </c>
      <c r="E21" s="54" t="inlineStr">
        <is>
          <t>Unit G-04</t>
        </is>
      </c>
      <c r="F21" s="54" t="inlineStr">
        <is>
          <t>1 BD / 1 BA</t>
        </is>
      </c>
      <c r="G21" s="54" t="inlineStr">
        <is>
          <t>1 BD / 1 BA</t>
        </is>
      </c>
      <c r="K21" s="36" t="inlineStr">
        <is>
          <t>Aaron M. Bucchino</t>
        </is>
      </c>
      <c r="L21" s="55" t="n">
        <v>682</v>
      </c>
      <c r="M21" s="56" t="n">
        <v>1</v>
      </c>
      <c r="N21" s="56" t="n">
        <v>1</v>
      </c>
      <c r="Q21" s="57" t="inlineStr">
        <is>
          <t>Occ</t>
        </is>
      </c>
      <c r="U21" s="58" t="n">
        <v>1025</v>
      </c>
      <c r="V21" s="58" t="n">
        <v>1025</v>
      </c>
      <c r="W21" s="58" t="n">
        <v>0</v>
      </c>
      <c r="X21" s="58" t="n">
        <v>0</v>
      </c>
      <c r="Y21" s="58" t="n">
        <v>0</v>
      </c>
      <c r="AA21" s="59" t="n">
        <v>46108</v>
      </c>
      <c r="AB21" s="59" t="n">
        <v>46475</v>
      </c>
    </row>
    <row r="22">
      <c r="D22" s="36" t="inlineStr">
        <is>
          <t>Pendale Towers</t>
        </is>
      </c>
      <c r="E22" s="54" t="inlineStr">
        <is>
          <t>Unit G-05</t>
        </is>
      </c>
      <c r="F22" s="54" t="inlineStr">
        <is>
          <t>1 BD / 1 BA</t>
        </is>
      </c>
      <c r="G22" s="54" t="inlineStr">
        <is>
          <t>1 BD / 1 BA</t>
        </is>
      </c>
      <c r="K22" s="36" t="inlineStr">
        <is>
          <t>Betty  Byrne</t>
        </is>
      </c>
      <c r="L22" s="55" t="n">
        <v>682</v>
      </c>
      <c r="M22" s="56" t="n">
        <v>1</v>
      </c>
      <c r="N22" s="56" t="n">
        <v>1</v>
      </c>
      <c r="Q22" s="57" t="inlineStr">
        <is>
          <t>Occ</t>
        </is>
      </c>
      <c r="U22" s="58" t="n">
        <v>1025</v>
      </c>
      <c r="V22" s="58" t="n">
        <v>975</v>
      </c>
      <c r="W22" s="58" t="n">
        <v>0</v>
      </c>
      <c r="X22" s="58" t="n">
        <v>0</v>
      </c>
      <c r="Y22" s="58" t="n">
        <v>0</v>
      </c>
      <c r="AA22" s="59" t="n">
        <v>46084</v>
      </c>
      <c r="AB22" s="59" t="n">
        <v>46482</v>
      </c>
    </row>
    <row r="23">
      <c r="D23" s="36" t="inlineStr">
        <is>
          <t>Pendale Towers</t>
        </is>
      </c>
      <c r="E23" s="54" t="inlineStr">
        <is>
          <t>Unit G-06</t>
        </is>
      </c>
      <c r="F23" s="54" t="inlineStr">
        <is>
          <t>2 BD / 2 BA</t>
        </is>
      </c>
      <c r="G23" s="54" t="inlineStr">
        <is>
          <t>2 BD / 2 BA</t>
        </is>
      </c>
      <c r="K23" s="36" t="inlineStr">
        <is>
          <t>Jorge O. Rodriguez-Barroso</t>
        </is>
      </c>
      <c r="L23" s="55" t="n">
        <v>924</v>
      </c>
      <c r="M23" s="56" t="n">
        <v>2</v>
      </c>
      <c r="N23" s="56" t="n">
        <v>2</v>
      </c>
      <c r="Q23" s="57" t="inlineStr">
        <is>
          <t>Occ</t>
        </is>
      </c>
      <c r="U23" s="58" t="n">
        <v>1425</v>
      </c>
      <c r="V23" s="58" t="n">
        <v>1425</v>
      </c>
      <c r="W23" s="58" t="n">
        <v>0</v>
      </c>
      <c r="X23" s="58" t="n">
        <v>0</v>
      </c>
      <c r="Y23" s="58" t="n">
        <v>0</v>
      </c>
      <c r="AA23" s="59" t="n">
        <v>46021</v>
      </c>
      <c r="AB23" s="59" t="n">
        <v>46349</v>
      </c>
    </row>
    <row r="24">
      <c r="D24" s="36" t="inlineStr">
        <is>
          <t>Pendale Towers</t>
        </is>
      </c>
      <c r="E24" s="54" t="inlineStr">
        <is>
          <t>Unit G-07</t>
        </is>
      </c>
      <c r="F24" s="54" t="inlineStr">
        <is>
          <t>2 BD / 1.5 BA</t>
        </is>
      </c>
      <c r="G24" s="54" t="inlineStr">
        <is>
          <t>2 BD / 1.5 BA</t>
        </is>
      </c>
      <c r="K24" s="36" t="inlineStr">
        <is>
          <t>Denise  Cantelm</t>
        </is>
      </c>
      <c r="L24" s="55" t="n">
        <v>1008</v>
      </c>
      <c r="M24" s="56" t="n">
        <v>2</v>
      </c>
      <c r="N24" s="56" t="n">
        <v>1.5</v>
      </c>
      <c r="Q24" s="57" t="inlineStr">
        <is>
          <t>Occ</t>
        </is>
      </c>
      <c r="U24" s="58" t="n">
        <v>1500</v>
      </c>
      <c r="V24" s="58" t="n">
        <v>1368</v>
      </c>
      <c r="W24" s="58" t="n">
        <v>0</v>
      </c>
      <c r="X24" s="58" t="n">
        <v>0</v>
      </c>
      <c r="Y24" s="58" t="n">
        <v>0</v>
      </c>
      <c r="AA24" s="59" t="n">
        <v>44958</v>
      </c>
      <c r="AB24" s="59" t="n">
        <v>46461</v>
      </c>
    </row>
    <row r="25">
      <c r="D25" s="36" t="inlineStr">
        <is>
          <t>Pendale Towers</t>
        </is>
      </c>
      <c r="E25" s="54" t="inlineStr">
        <is>
          <t>Unit G-08</t>
        </is>
      </c>
      <c r="F25" s="54" t="inlineStr">
        <is>
          <t>1 BD / 1 BA</t>
        </is>
      </c>
      <c r="G25" s="54" t="inlineStr">
        <is>
          <t>1 BD / 1 BA</t>
        </is>
      </c>
      <c r="K25" s="36" t="inlineStr">
        <is>
          <t>Beverly Jacobson</t>
        </is>
      </c>
      <c r="L25" s="55" t="n">
        <v>682</v>
      </c>
      <c r="M25" s="56" t="n">
        <v>1</v>
      </c>
      <c r="N25" s="56" t="n">
        <v>1</v>
      </c>
      <c r="Q25" s="57" t="inlineStr">
        <is>
          <t>Occ</t>
        </is>
      </c>
      <c r="U25" s="58" t="n">
        <v>1025</v>
      </c>
      <c r="V25" s="58" t="n">
        <v>1049</v>
      </c>
      <c r="W25" s="58" t="n">
        <v>0</v>
      </c>
      <c r="X25" s="58" t="n">
        <v>0</v>
      </c>
      <c r="Y25" s="58" t="n">
        <v>0</v>
      </c>
      <c r="AA25" s="59" t="n">
        <v>45047</v>
      </c>
      <c r="AB25" s="59" t="n">
        <v>46482</v>
      </c>
    </row>
    <row r="26">
      <c r="D26" s="36" t="inlineStr">
        <is>
          <t>Pendale Towers</t>
        </is>
      </c>
      <c r="E26" s="54" t="inlineStr">
        <is>
          <t>Unit G-09</t>
        </is>
      </c>
      <c r="F26" s="54" t="inlineStr">
        <is>
          <t>2 BD / 1.5 BA</t>
        </is>
      </c>
      <c r="G26" s="54" t="inlineStr">
        <is>
          <t>2 BD / 1.5 BA</t>
        </is>
      </c>
      <c r="K26" s="36" t="inlineStr">
        <is>
          <t>MARK G. LEVEQUE</t>
        </is>
      </c>
      <c r="L26" s="55" t="n">
        <v>1008</v>
      </c>
      <c r="M26" s="56" t="n">
        <v>2</v>
      </c>
      <c r="N26" s="56" t="n">
        <v>1.5</v>
      </c>
      <c r="Q26" s="57" t="inlineStr">
        <is>
          <t>Occ</t>
        </is>
      </c>
      <c r="U26" s="58" t="n">
        <v>1500</v>
      </c>
      <c r="V26" s="58" t="n">
        <v>1315</v>
      </c>
      <c r="W26" s="58" t="n">
        <v>0</v>
      </c>
      <c r="X26" s="58" t="n">
        <v>0</v>
      </c>
      <c r="Y26" s="58" t="n">
        <v>0</v>
      </c>
      <c r="AA26" s="59" t="n">
        <v>46132</v>
      </c>
      <c r="AB26" s="59" t="n">
        <v>46489</v>
      </c>
    </row>
    <row r="27">
      <c r="D27" s="36" t="inlineStr">
        <is>
          <t>Pendale Towers</t>
        </is>
      </c>
      <c r="E27" s="54" t="inlineStr">
        <is>
          <t>Unit G-10</t>
        </is>
      </c>
      <c r="F27" s="54" t="inlineStr">
        <is>
          <t>2 BD / 2 BA</t>
        </is>
      </c>
      <c r="G27" s="54" t="inlineStr">
        <is>
          <t>2 BD / 2 BA</t>
        </is>
      </c>
      <c r="K27" s="36" t="inlineStr">
        <is>
          <t>Mainstay Life Services</t>
        </is>
      </c>
      <c r="L27" s="55" t="n">
        <v>924</v>
      </c>
      <c r="M27" s="56" t="n">
        <v>2</v>
      </c>
      <c r="N27" s="56" t="n">
        <v>2</v>
      </c>
      <c r="Q27" s="57" t="inlineStr">
        <is>
          <t>Occ</t>
        </is>
      </c>
      <c r="U27" s="58" t="n">
        <v>1425</v>
      </c>
      <c r="V27" s="58" t="n">
        <v>1425</v>
      </c>
      <c r="W27" s="58" t="n">
        <v>0</v>
      </c>
      <c r="X27" s="58" t="n">
        <v>0</v>
      </c>
      <c r="Y27" s="58" t="n">
        <v>0</v>
      </c>
      <c r="AA27" s="59" t="n">
        <v>46174</v>
      </c>
      <c r="AB27" s="59" t="n">
        <v>46545</v>
      </c>
    </row>
    <row r="28">
      <c r="D28" s="36" t="inlineStr">
        <is>
          <t>Pendale Towers</t>
        </is>
      </c>
      <c r="E28" s="54" t="inlineStr">
        <is>
          <t>Unit G-11</t>
        </is>
      </c>
      <c r="F28" s="54" t="inlineStr">
        <is>
          <t>1 BD / 1 BA</t>
        </is>
      </c>
      <c r="G28" s="54" t="inlineStr">
        <is>
          <t>1 BD / 1 BA</t>
        </is>
      </c>
      <c r="K28" s="36" t="inlineStr">
        <is>
          <t>Nancy Iovino</t>
        </is>
      </c>
      <c r="L28" s="55" t="n">
        <v>682</v>
      </c>
      <c r="M28" s="56" t="n">
        <v>1</v>
      </c>
      <c r="N28" s="56" t="n">
        <v>1</v>
      </c>
      <c r="Q28" s="57" t="inlineStr">
        <is>
          <t>Occ</t>
        </is>
      </c>
      <c r="U28" s="58" t="n">
        <v>1025</v>
      </c>
      <c r="V28" s="58" t="n">
        <v>1021</v>
      </c>
      <c r="W28" s="58" t="n">
        <v>0</v>
      </c>
      <c r="X28" s="58" t="n">
        <v>0</v>
      </c>
      <c r="Y28" s="58" t="n">
        <v>0</v>
      </c>
      <c r="AA28" s="59" t="n">
        <v>44986</v>
      </c>
      <c r="AB28" s="59" t="n">
        <v>46524</v>
      </c>
    </row>
    <row r="29">
      <c r="D29" s="36" t="inlineStr">
        <is>
          <t>Pendale Towers</t>
        </is>
      </c>
      <c r="E29" s="54" t="inlineStr">
        <is>
          <t>Unit 101</t>
        </is>
      </c>
      <c r="F29" s="54" t="inlineStr">
        <is>
          <t>1 BD / 1 BA</t>
        </is>
      </c>
      <c r="G29" s="54" t="inlineStr">
        <is>
          <t>1 BD / 1 BA</t>
        </is>
      </c>
      <c r="K29" s="36" t="inlineStr">
        <is>
          <t>Mamadou  S. Diallo</t>
        </is>
      </c>
      <c r="L29" s="55" t="n">
        <v>682</v>
      </c>
      <c r="M29" s="56" t="n">
        <v>1</v>
      </c>
      <c r="N29" s="56" t="n">
        <v>1</v>
      </c>
      <c r="Q29" s="57" t="inlineStr">
        <is>
          <t>Occ</t>
        </is>
      </c>
      <c r="U29" s="58" t="n">
        <v>1025</v>
      </c>
      <c r="V29" s="58" t="n">
        <v>975</v>
      </c>
      <c r="W29" s="58" t="n">
        <v>0</v>
      </c>
      <c r="X29" s="58" t="n">
        <v>0</v>
      </c>
      <c r="Y29" s="58" t="n">
        <v>0</v>
      </c>
      <c r="AA29" s="59" t="n">
        <v>45779</v>
      </c>
      <c r="AB29" s="59" t="n">
        <v>46559</v>
      </c>
    </row>
    <row r="30">
      <c r="D30" s="36" t="inlineStr">
        <is>
          <t>Pendale Towers</t>
        </is>
      </c>
      <c r="E30" s="54" t="inlineStr">
        <is>
          <t>Unit 102</t>
        </is>
      </c>
      <c r="F30" s="54" t="inlineStr">
        <is>
          <t>2 BD / 1.5 BA</t>
        </is>
      </c>
      <c r="G30" s="54" t="inlineStr">
        <is>
          <t>2 BD / 1.5 BA</t>
        </is>
      </c>
      <c r="K30" s="36" t="inlineStr">
        <is>
          <t>Elizabeth A. Warren</t>
        </is>
      </c>
      <c r="L30" s="55" t="n">
        <v>1008</v>
      </c>
      <c r="M30" s="56" t="n">
        <v>2</v>
      </c>
      <c r="N30" s="56" t="n">
        <v>1.5</v>
      </c>
      <c r="Q30" s="57" t="inlineStr">
        <is>
          <t>Occ</t>
        </is>
      </c>
      <c r="U30" s="58" t="n">
        <v>1500</v>
      </c>
      <c r="V30" s="58" t="n">
        <v>1335</v>
      </c>
      <c r="W30" s="58" t="n">
        <v>0</v>
      </c>
      <c r="X30" s="58" t="n">
        <v>0</v>
      </c>
      <c r="Y30" s="58" t="n">
        <v>0</v>
      </c>
      <c r="AA30" s="59" t="n">
        <v>44866</v>
      </c>
      <c r="AB30" s="59" t="n">
        <v>46510</v>
      </c>
    </row>
    <row r="31">
      <c r="D31" s="36" t="inlineStr">
        <is>
          <t>Pendale Towers</t>
        </is>
      </c>
      <c r="E31" s="54" t="inlineStr">
        <is>
          <t>Unit 103</t>
        </is>
      </c>
      <c r="F31" s="54" t="inlineStr">
        <is>
          <t>2 BD / 1.5 BA</t>
        </is>
      </c>
      <c r="G31" s="54" t="inlineStr">
        <is>
          <t>2 BD / 1.5 BA</t>
        </is>
      </c>
      <c r="K31" s="36" t="inlineStr">
        <is>
          <t>Robert   Stock</t>
        </is>
      </c>
      <c r="L31" s="55" t="n">
        <v>1008</v>
      </c>
      <c r="M31" s="56" t="n">
        <v>2</v>
      </c>
      <c r="N31" s="56" t="n">
        <v>1.5</v>
      </c>
      <c r="Q31" s="57" t="inlineStr">
        <is>
          <t>Occ</t>
        </is>
      </c>
      <c r="U31" s="58" t="n">
        <v>1315</v>
      </c>
      <c r="V31" s="58" t="n">
        <v>1414</v>
      </c>
      <c r="W31" s="58" t="n">
        <v>0</v>
      </c>
      <c r="X31" s="58" t="n">
        <v>0</v>
      </c>
      <c r="Y31" s="58" t="n">
        <v>0</v>
      </c>
      <c r="AA31" s="59" t="n">
        <v>44986</v>
      </c>
      <c r="AB31" s="59" t="n">
        <v>46524</v>
      </c>
    </row>
    <row r="32">
      <c r="D32" s="36" t="inlineStr">
        <is>
          <t>Pendale Towers</t>
        </is>
      </c>
      <c r="E32" s="54" t="inlineStr">
        <is>
          <t>Unit 104</t>
        </is>
      </c>
      <c r="F32" s="54" t="inlineStr">
        <is>
          <t>1 BD / 1 BA</t>
        </is>
      </c>
      <c r="G32" s="54" t="inlineStr">
        <is>
          <t>1 BD / 1 BA</t>
        </is>
      </c>
      <c r="K32" s="36" t="inlineStr">
        <is>
          <t>Christopher     Ashley</t>
        </is>
      </c>
      <c r="L32" s="55" t="n">
        <v>682</v>
      </c>
      <c r="M32" s="56" t="n">
        <v>1</v>
      </c>
      <c r="N32" s="56" t="n">
        <v>1</v>
      </c>
      <c r="Q32" s="57" t="inlineStr">
        <is>
          <t>Occ</t>
        </is>
      </c>
      <c r="U32" s="58" t="n">
        <v>1025</v>
      </c>
      <c r="V32" s="58" t="n">
        <v>1025</v>
      </c>
      <c r="W32" s="58" t="n">
        <v>0</v>
      </c>
      <c r="X32" s="58" t="n">
        <v>0</v>
      </c>
      <c r="Y32" s="58" t="n">
        <v>0</v>
      </c>
      <c r="AA32" s="59" t="n">
        <v>44896</v>
      </c>
      <c r="AB32" s="59" t="n">
        <v>46587</v>
      </c>
    </row>
    <row r="33">
      <c r="D33" s="36" t="inlineStr">
        <is>
          <t>Pendale Towers</t>
        </is>
      </c>
      <c r="E33" s="54" t="inlineStr">
        <is>
          <t>Unit 108</t>
        </is>
      </c>
      <c r="F33" s="54" t="inlineStr">
        <is>
          <t>1 BD / 1 BA</t>
        </is>
      </c>
      <c r="G33" s="54" t="inlineStr">
        <is>
          <t>1 BD / 1 BA</t>
        </is>
      </c>
      <c r="K33" s="36" t="inlineStr">
        <is>
          <t>Zakiya E. Moses</t>
        </is>
      </c>
      <c r="L33" s="55" t="n">
        <v>682</v>
      </c>
      <c r="M33" s="56" t="n">
        <v>1</v>
      </c>
      <c r="N33" s="56" t="n">
        <v>1</v>
      </c>
      <c r="Q33" s="57" t="inlineStr">
        <is>
          <t>Occ</t>
        </is>
      </c>
      <c r="U33" s="58" t="n">
        <v>1025</v>
      </c>
      <c r="V33" s="58" t="n">
        <v>1025</v>
      </c>
      <c r="W33" s="58" t="n">
        <v>0</v>
      </c>
      <c r="X33" s="58" t="n">
        <v>0</v>
      </c>
      <c r="Y33" s="58" t="n">
        <v>0</v>
      </c>
      <c r="AA33" s="59" t="n">
        <v>45486</v>
      </c>
      <c r="AB33" s="59" t="n">
        <v>46573</v>
      </c>
    </row>
    <row r="34">
      <c r="D34" s="36" t="inlineStr">
        <is>
          <t>Pendale Towers</t>
        </is>
      </c>
      <c r="E34" s="54" t="inlineStr">
        <is>
          <t>Unit 109</t>
        </is>
      </c>
      <c r="F34" s="54" t="inlineStr">
        <is>
          <t>2 BD / 1.5 BA</t>
        </is>
      </c>
      <c r="G34" s="54" t="inlineStr">
        <is>
          <t>2 BD / 1.5 BA</t>
        </is>
      </c>
      <c r="K34" s="36" t="inlineStr">
        <is>
          <t>Julia Schulte</t>
        </is>
      </c>
      <c r="L34" s="55" t="n">
        <v>1008</v>
      </c>
      <c r="M34" s="56" t="n">
        <v>2</v>
      </c>
      <c r="N34" s="56" t="n">
        <v>1.5</v>
      </c>
      <c r="Q34" s="57" t="inlineStr">
        <is>
          <t>Occ</t>
        </is>
      </c>
      <c r="U34" s="58" t="n">
        <v>1315</v>
      </c>
      <c r="V34" s="58" t="n">
        <v>1270</v>
      </c>
      <c r="W34" s="58" t="n">
        <v>0</v>
      </c>
      <c r="X34" s="58" t="n">
        <v>0</v>
      </c>
      <c r="Y34" s="58" t="n">
        <v>0</v>
      </c>
      <c r="AA34" s="59" t="n">
        <v>44470</v>
      </c>
      <c r="AB34" s="59" t="n">
        <v>46650</v>
      </c>
    </row>
    <row r="35">
      <c r="D35" s="36" t="inlineStr">
        <is>
          <t>Pendale Towers</t>
        </is>
      </c>
      <c r="E35" s="54" t="inlineStr">
        <is>
          <t>Unit 110</t>
        </is>
      </c>
      <c r="F35" s="54" t="inlineStr">
        <is>
          <t>1 BD / 1 BA</t>
        </is>
      </c>
      <c r="G35" s="54" t="inlineStr">
        <is>
          <t>1 BD / 1 BA</t>
        </is>
      </c>
      <c r="K35" s="36" t="inlineStr">
        <is>
          <t>Mamadou O. Bah</t>
        </is>
      </c>
      <c r="L35" s="55" t="n">
        <v>682</v>
      </c>
      <c r="M35" s="56" t="n">
        <v>1</v>
      </c>
      <c r="N35" s="56" t="n">
        <v>1</v>
      </c>
      <c r="Q35" s="57" t="inlineStr">
        <is>
          <t>Occ</t>
        </is>
      </c>
      <c r="U35" s="58" t="n">
        <v>1025</v>
      </c>
      <c r="V35" s="58" t="n">
        <v>975</v>
      </c>
      <c r="W35" s="58" t="n">
        <v>0</v>
      </c>
      <c r="X35" s="58" t="n">
        <v>0</v>
      </c>
      <c r="Y35" s="58" t="n">
        <v>0</v>
      </c>
      <c r="AA35" s="59" t="n">
        <v>45904</v>
      </c>
      <c r="AB35" s="59" t="n">
        <v>46636</v>
      </c>
    </row>
    <row r="36">
      <c r="D36" s="36" t="inlineStr">
        <is>
          <t>Pendale Towers</t>
        </is>
      </c>
      <c r="E36" s="54" t="inlineStr">
        <is>
          <t>Unit 111</t>
        </is>
      </c>
      <c r="F36" s="54" t="inlineStr">
        <is>
          <t>2 BD / 2 BA</t>
        </is>
      </c>
      <c r="G36" s="54" t="inlineStr">
        <is>
          <t>2 BD / 2 BA</t>
        </is>
      </c>
      <c r="K36" s="36" t="inlineStr">
        <is>
          <t>Thomas Trageser</t>
        </is>
      </c>
      <c r="L36" s="55" t="n">
        <v>924</v>
      </c>
      <c r="M36" s="56" t="n">
        <v>2</v>
      </c>
      <c r="N36" s="56" t="n">
        <v>2</v>
      </c>
      <c r="Q36" s="57" t="inlineStr">
        <is>
          <t>Occ</t>
        </is>
      </c>
      <c r="U36" s="58" t="n">
        <v>1365</v>
      </c>
      <c r="V36" s="58" t="n">
        <v>1506</v>
      </c>
      <c r="W36" s="58" t="n">
        <v>0</v>
      </c>
      <c r="X36" s="58" t="n">
        <v>0</v>
      </c>
      <c r="Y36" s="58" t="n">
        <v>0</v>
      </c>
      <c r="AA36" s="59" t="n">
        <v>44713</v>
      </c>
      <c r="AB36" s="59" t="n">
        <v>46524</v>
      </c>
    </row>
    <row r="37">
      <c r="D37" s="36" t="inlineStr">
        <is>
          <t>Pendale Towers</t>
        </is>
      </c>
      <c r="E37" s="54" t="inlineStr">
        <is>
          <t>Unit 112</t>
        </is>
      </c>
      <c r="F37" s="54" t="inlineStr">
        <is>
          <t>2 BD / 1.5 BA</t>
        </is>
      </c>
      <c r="G37" s="54" t="inlineStr">
        <is>
          <t>2 BD / 1.5 BA</t>
        </is>
      </c>
      <c r="K37" s="36" t="inlineStr">
        <is>
          <t>Colleen Wick</t>
        </is>
      </c>
      <c r="L37" s="55" t="n">
        <v>1008</v>
      </c>
      <c r="M37" s="56" t="n">
        <v>2</v>
      </c>
      <c r="N37" s="56" t="n">
        <v>1.5</v>
      </c>
      <c r="Q37" s="57" t="inlineStr">
        <is>
          <t>Occ</t>
        </is>
      </c>
      <c r="U37" s="58" t="n">
        <v>1500</v>
      </c>
      <c r="V37" s="58" t="n">
        <v>1600</v>
      </c>
      <c r="W37" s="58" t="n">
        <v>0</v>
      </c>
      <c r="X37" s="58" t="n">
        <v>0</v>
      </c>
      <c r="Y37" s="58" t="n">
        <v>0</v>
      </c>
      <c r="AA37" s="59" t="n">
        <v>46164</v>
      </c>
      <c r="AB37" s="59" t="n">
        <v>46545</v>
      </c>
    </row>
    <row r="38">
      <c r="D38" s="36" t="inlineStr">
        <is>
          <t>Pendale Towers</t>
        </is>
      </c>
      <c r="E38" s="54" t="inlineStr">
        <is>
          <t>Unit 114</t>
        </is>
      </c>
      <c r="F38" s="54" t="inlineStr">
        <is>
          <t>1 BD / 1 BA</t>
        </is>
      </c>
      <c r="G38" s="54" t="inlineStr">
        <is>
          <t>1 BD / 1 BA</t>
        </is>
      </c>
      <c r="K38" s="36" t="inlineStr">
        <is>
          <t>Anthony   Bucci</t>
        </is>
      </c>
      <c r="L38" s="55" t="n">
        <v>682</v>
      </c>
      <c r="M38" s="56" t="n">
        <v>1</v>
      </c>
      <c r="N38" s="56" t="n">
        <v>1</v>
      </c>
      <c r="Q38" s="57" t="inlineStr">
        <is>
          <t>Occ</t>
        </is>
      </c>
      <c r="U38" s="58" t="n">
        <v>1025</v>
      </c>
      <c r="V38" s="58" t="n">
        <v>1065</v>
      </c>
      <c r="W38" s="58" t="n">
        <v>0</v>
      </c>
      <c r="X38" s="58" t="n">
        <v>0</v>
      </c>
      <c r="Y38" s="58" t="n">
        <v>0</v>
      </c>
      <c r="AA38" s="59" t="n">
        <v>44470</v>
      </c>
      <c r="AB38" s="59" t="n">
        <v>46482</v>
      </c>
    </row>
    <row r="39">
      <c r="D39" s="36" t="inlineStr">
        <is>
          <t>Pendale Towers</t>
        </is>
      </c>
      <c r="E39" s="54" t="inlineStr">
        <is>
          <t>Unit 115</t>
        </is>
      </c>
      <c r="F39" s="54" t="inlineStr">
        <is>
          <t>2 BD / 1.5 BA</t>
        </is>
      </c>
      <c r="G39" s="54" t="inlineStr">
        <is>
          <t>2 BD / 1.5 BA</t>
        </is>
      </c>
      <c r="K39" s="36" t="inlineStr">
        <is>
          <t>William T. Doorley</t>
        </is>
      </c>
      <c r="L39" s="55" t="n">
        <v>1008</v>
      </c>
      <c r="M39" s="56" t="n">
        <v>2</v>
      </c>
      <c r="N39" s="56" t="n">
        <v>1.5</v>
      </c>
      <c r="Q39" s="57" t="inlineStr">
        <is>
          <t>Occ</t>
        </is>
      </c>
      <c r="U39" s="58" t="n">
        <v>1500</v>
      </c>
      <c r="V39" s="58" t="n">
        <v>1381</v>
      </c>
      <c r="W39" s="58" t="n">
        <v>0</v>
      </c>
      <c r="X39" s="58" t="n">
        <v>0</v>
      </c>
      <c r="Y39" s="58" t="n">
        <v>0</v>
      </c>
      <c r="AA39" s="59" t="n">
        <v>45619</v>
      </c>
      <c r="AB39" s="59" t="n">
        <v>46587</v>
      </c>
    </row>
    <row r="40">
      <c r="D40" s="36" t="inlineStr">
        <is>
          <t>Pendale Towers</t>
        </is>
      </c>
      <c r="E40" s="54" t="inlineStr">
        <is>
          <t>Unit 116</t>
        </is>
      </c>
      <c r="F40" s="54" t="inlineStr">
        <is>
          <t>2 BD / 2 BA</t>
        </is>
      </c>
      <c r="G40" s="54" t="inlineStr">
        <is>
          <t>2 BD / 2 BA</t>
        </is>
      </c>
      <c r="K40" s="36" t="inlineStr">
        <is>
          <t>Brett A. Skonieczny</t>
        </is>
      </c>
      <c r="L40" s="55" t="n">
        <v>924</v>
      </c>
      <c r="M40" s="56" t="n">
        <v>2</v>
      </c>
      <c r="N40" s="56" t="n">
        <v>2</v>
      </c>
      <c r="Q40" s="57" t="inlineStr">
        <is>
          <t>Occ</t>
        </is>
      </c>
      <c r="U40" s="58" t="n">
        <v>1365</v>
      </c>
      <c r="V40" s="58" t="n">
        <v>1315</v>
      </c>
      <c r="W40" s="58" t="n">
        <v>0</v>
      </c>
      <c r="X40" s="58" t="n">
        <v>0</v>
      </c>
      <c r="Y40" s="58" t="n">
        <v>0</v>
      </c>
      <c r="AA40" s="59" t="n">
        <v>46104</v>
      </c>
      <c r="AB40" s="59" t="n">
        <v>46482</v>
      </c>
    </row>
    <row r="41">
      <c r="D41" s="36" t="inlineStr">
        <is>
          <t>Pendale Towers</t>
        </is>
      </c>
      <c r="E41" s="54" t="inlineStr">
        <is>
          <t>Unit 117</t>
        </is>
      </c>
      <c r="F41" s="54" t="inlineStr">
        <is>
          <t>1 BD / 1 BA</t>
        </is>
      </c>
      <c r="G41" s="54" t="inlineStr">
        <is>
          <t>1 BD / 1 BA</t>
        </is>
      </c>
      <c r="K41" s="36" t="inlineStr">
        <is>
          <t>Michael W. Newton</t>
        </is>
      </c>
      <c r="L41" s="55" t="n">
        <v>682</v>
      </c>
      <c r="M41" s="56" t="n">
        <v>1</v>
      </c>
      <c r="N41" s="56" t="n">
        <v>1</v>
      </c>
      <c r="Q41" s="57" t="inlineStr">
        <is>
          <t>Occ</t>
        </is>
      </c>
      <c r="U41" s="58" t="n">
        <v>1025</v>
      </c>
      <c r="V41" s="58" t="n">
        <v>1014</v>
      </c>
      <c r="W41" s="58" t="n">
        <v>0</v>
      </c>
      <c r="X41" s="58" t="n">
        <v>0</v>
      </c>
      <c r="Y41" s="58" t="n">
        <v>0</v>
      </c>
      <c r="AA41" s="59" t="n">
        <v>44991</v>
      </c>
      <c r="AB41" s="59" t="n">
        <v>46482</v>
      </c>
    </row>
    <row r="42">
      <c r="D42" s="36" t="inlineStr">
        <is>
          <t>Pendale Towers</t>
        </is>
      </c>
      <c r="E42" s="54" t="inlineStr">
        <is>
          <t>Unit 201</t>
        </is>
      </c>
      <c r="F42" s="54" t="inlineStr">
        <is>
          <t>1 BD / 1 BA</t>
        </is>
      </c>
      <c r="G42" s="54" t="inlineStr">
        <is>
          <t>1 BD / 1 BA</t>
        </is>
      </c>
      <c r="K42" s="36" t="inlineStr">
        <is>
          <t>Gary M. Staller</t>
        </is>
      </c>
      <c r="L42" s="55" t="n">
        <v>682</v>
      </c>
      <c r="M42" s="56" t="n">
        <v>1</v>
      </c>
      <c r="N42" s="56" t="n">
        <v>1</v>
      </c>
      <c r="Q42" s="57" t="inlineStr">
        <is>
          <t>Occ</t>
        </is>
      </c>
      <c r="U42" s="58" t="n">
        <v>1025</v>
      </c>
      <c r="V42" s="58" t="n">
        <v>1014</v>
      </c>
      <c r="W42" s="58" t="n">
        <v>0</v>
      </c>
      <c r="X42" s="58" t="n">
        <v>0</v>
      </c>
      <c r="Y42" s="58" t="n">
        <v>0</v>
      </c>
      <c r="AA42" s="59" t="n">
        <v>45748</v>
      </c>
      <c r="AB42" s="59" t="n">
        <v>46510</v>
      </c>
    </row>
    <row r="43">
      <c r="D43" s="36" t="inlineStr">
        <is>
          <t>Pendale Towers</t>
        </is>
      </c>
      <c r="E43" s="54" t="inlineStr">
        <is>
          <t>Unit 202</t>
        </is>
      </c>
      <c r="F43" s="54" t="inlineStr">
        <is>
          <t>2 BD / 2 BA</t>
        </is>
      </c>
      <c r="G43" s="54" t="inlineStr">
        <is>
          <t>2 BD / 2 BA</t>
        </is>
      </c>
      <c r="K43" s="36" t="inlineStr">
        <is>
          <t>Gunasekaran Vadivel</t>
        </is>
      </c>
      <c r="L43" s="55" t="n">
        <v>1008</v>
      </c>
      <c r="M43" s="56" t="n">
        <v>2</v>
      </c>
      <c r="N43" s="56" t="n">
        <v>2</v>
      </c>
      <c r="Q43" s="57" t="inlineStr">
        <is>
          <t>Occ</t>
        </is>
      </c>
      <c r="U43" s="58" t="n">
        <v>1500</v>
      </c>
      <c r="V43" s="58" t="n">
        <v>1400</v>
      </c>
      <c r="W43" s="58" t="n">
        <v>0</v>
      </c>
      <c r="X43" s="58" t="n">
        <v>0</v>
      </c>
      <c r="Y43" s="58" t="n">
        <v>0</v>
      </c>
      <c r="AA43" s="59" t="n">
        <v>46197</v>
      </c>
      <c r="AB43" s="59" t="n">
        <v>46559</v>
      </c>
    </row>
    <row r="44">
      <c r="D44" s="36" t="inlineStr">
        <is>
          <t>Pendale Towers</t>
        </is>
      </c>
      <c r="E44" s="54" t="inlineStr">
        <is>
          <t>Unit 203</t>
        </is>
      </c>
      <c r="F44" s="54" t="inlineStr">
        <is>
          <t>2 BD / 1.5 BA</t>
        </is>
      </c>
      <c r="G44" s="54" t="inlineStr">
        <is>
          <t>2 BD / 1.5 BA</t>
        </is>
      </c>
      <c r="K44" s="36" t="inlineStr">
        <is>
          <t>Doris M. Priore</t>
        </is>
      </c>
      <c r="L44" s="55" t="n">
        <v>1008</v>
      </c>
      <c r="M44" s="56" t="n">
        <v>2</v>
      </c>
      <c r="N44" s="56" t="n">
        <v>1.5</v>
      </c>
      <c r="Q44" s="57" t="inlineStr">
        <is>
          <t>Occ</t>
        </is>
      </c>
      <c r="U44" s="58" t="n">
        <v>1315</v>
      </c>
      <c r="V44" s="58" t="n">
        <v>1381</v>
      </c>
      <c r="W44" s="58" t="n">
        <v>0</v>
      </c>
      <c r="X44" s="58" t="n">
        <v>0</v>
      </c>
      <c r="Y44" s="58" t="n">
        <v>0</v>
      </c>
      <c r="AA44" s="59" t="n">
        <v>44896</v>
      </c>
      <c r="AB44" s="59" t="n">
        <v>46587</v>
      </c>
    </row>
    <row r="45">
      <c r="D45" s="36" t="inlineStr">
        <is>
          <t>Pendale Towers</t>
        </is>
      </c>
      <c r="E45" s="54" t="inlineStr">
        <is>
          <t>Unit 204</t>
        </is>
      </c>
      <c r="F45" s="54" t="inlineStr">
        <is>
          <t>1 BD / 1 BA</t>
        </is>
      </c>
      <c r="G45" s="54" t="inlineStr">
        <is>
          <t>1 BD / 1 BA</t>
        </is>
      </c>
      <c r="K45" s="36" t="inlineStr">
        <is>
          <t>Jim   DelBianco</t>
        </is>
      </c>
      <c r="L45" s="55" t="n">
        <v>682</v>
      </c>
      <c r="M45" s="56" t="n">
        <v>1</v>
      </c>
      <c r="N45" s="56" t="n">
        <v>1</v>
      </c>
      <c r="Q45" s="57" t="inlineStr">
        <is>
          <t>Occ</t>
        </is>
      </c>
      <c r="U45" s="58" t="n">
        <v>1025</v>
      </c>
      <c r="V45" s="58" t="n">
        <v>1064</v>
      </c>
      <c r="W45" s="58" t="n">
        <v>0</v>
      </c>
      <c r="X45" s="58" t="n">
        <v>0</v>
      </c>
      <c r="Y45" s="58" t="n">
        <v>0</v>
      </c>
      <c r="AA45" s="59" t="n">
        <v>45200</v>
      </c>
      <c r="AB45" s="59" t="n">
        <v>46650</v>
      </c>
    </row>
    <row r="46">
      <c r="D46" s="36" t="inlineStr">
        <is>
          <t>Pendale Towers</t>
        </is>
      </c>
      <c r="E46" s="54" t="inlineStr">
        <is>
          <t>Unit 205</t>
        </is>
      </c>
      <c r="F46" s="54" t="inlineStr">
        <is>
          <t>3 BD / 2 BA</t>
        </is>
      </c>
      <c r="G46" s="54" t="inlineStr">
        <is>
          <t>3 BD / 2 BA</t>
        </is>
      </c>
      <c r="K46" s="36" t="inlineStr">
        <is>
          <t>Thierno  M. Bah</t>
        </is>
      </c>
      <c r="L46" s="55" t="n">
        <v>1166</v>
      </c>
      <c r="M46" s="56" t="n">
        <v>3</v>
      </c>
      <c r="N46" s="56" t="n">
        <v>2</v>
      </c>
      <c r="Q46" s="57" t="inlineStr">
        <is>
          <t>Occ</t>
        </is>
      </c>
      <c r="U46" s="58" t="n">
        <v>1550</v>
      </c>
      <c r="V46" s="58" t="n">
        <v>1550</v>
      </c>
      <c r="W46" s="58" t="n">
        <v>0</v>
      </c>
      <c r="X46" s="58" t="n">
        <v>0</v>
      </c>
      <c r="Y46" s="58" t="n">
        <v>0</v>
      </c>
      <c r="AA46" s="59" t="n">
        <v>45147</v>
      </c>
      <c r="AB46" s="59" t="n">
        <v>46615</v>
      </c>
    </row>
    <row r="47">
      <c r="D47" s="36" t="inlineStr">
        <is>
          <t>Pendale Towers</t>
        </is>
      </c>
      <c r="E47" s="54" t="inlineStr">
        <is>
          <t>Unit 206</t>
        </is>
      </c>
      <c r="F47" s="54" t="inlineStr">
        <is>
          <t>1 BD / 1 BA</t>
        </is>
      </c>
      <c r="G47" s="54" t="inlineStr">
        <is>
          <t>1 BD / 1 BA</t>
        </is>
      </c>
      <c r="K47" s="36" t="inlineStr">
        <is>
          <t>Jeremia L. Powell</t>
        </is>
      </c>
      <c r="L47" s="55" t="n">
        <v>682</v>
      </c>
      <c r="M47" s="56" t="n">
        <v>1</v>
      </c>
      <c r="N47" s="56" t="n">
        <v>1</v>
      </c>
      <c r="Q47" s="57" t="inlineStr">
        <is>
          <t>Occ</t>
        </is>
      </c>
      <c r="U47" s="58" t="n">
        <v>1025</v>
      </c>
      <c r="V47" s="58" t="n">
        <v>1066</v>
      </c>
      <c r="W47" s="58" t="n">
        <v>0</v>
      </c>
      <c r="X47" s="58" t="n">
        <v>0</v>
      </c>
      <c r="Y47" s="58" t="n">
        <v>0</v>
      </c>
      <c r="AA47" s="59" t="n">
        <v>45352</v>
      </c>
      <c r="AB47" s="59" t="n">
        <v>46524</v>
      </c>
    </row>
    <row r="48">
      <c r="D48" s="36" t="inlineStr">
        <is>
          <t>Pendale Towers</t>
        </is>
      </c>
      <c r="E48" s="54" t="inlineStr">
        <is>
          <t>Unit 207</t>
        </is>
      </c>
      <c r="F48" s="54" t="inlineStr">
        <is>
          <t>2 BD / 1.5 BA</t>
        </is>
      </c>
      <c r="G48" s="54" t="inlineStr">
        <is>
          <t>2 BD / 1.5 BA</t>
        </is>
      </c>
      <c r="K48" s="36" t="inlineStr">
        <is>
          <t>April L. Moore</t>
        </is>
      </c>
      <c r="L48" s="55" t="n">
        <v>1008</v>
      </c>
      <c r="M48" s="56" t="n">
        <v>2</v>
      </c>
      <c r="N48" s="56" t="n">
        <v>1.5</v>
      </c>
      <c r="Q48" s="57" t="inlineStr">
        <is>
          <t>Occ</t>
        </is>
      </c>
      <c r="U48" s="58" t="n">
        <v>1315</v>
      </c>
      <c r="V48" s="58" t="n">
        <v>1375</v>
      </c>
      <c r="W48" s="58" t="n">
        <v>0</v>
      </c>
      <c r="X48" s="58" t="n">
        <v>0</v>
      </c>
      <c r="Y48" s="58" t="n">
        <v>0</v>
      </c>
      <c r="AA48" s="59" t="n">
        <v>44958</v>
      </c>
      <c r="AB48" s="59" t="n">
        <v>46461</v>
      </c>
    </row>
    <row r="49">
      <c r="D49" s="36" t="inlineStr">
        <is>
          <t>Pendale Towers</t>
        </is>
      </c>
      <c r="E49" s="54" t="inlineStr">
        <is>
          <t>Unit 208</t>
        </is>
      </c>
      <c r="F49" s="54" t="inlineStr">
        <is>
          <t>2 BD / 2 BA</t>
        </is>
      </c>
      <c r="G49" s="54" t="inlineStr">
        <is>
          <t>2 BD / 2 BA</t>
        </is>
      </c>
      <c r="K49" s="36" t="inlineStr">
        <is>
          <t>James  Sedley</t>
        </is>
      </c>
      <c r="L49" s="55" t="n">
        <v>924</v>
      </c>
      <c r="M49" s="56" t="n">
        <v>2</v>
      </c>
      <c r="N49" s="56" t="n">
        <v>2</v>
      </c>
      <c r="Q49" s="57" t="inlineStr">
        <is>
          <t>Occ</t>
        </is>
      </c>
      <c r="U49" s="58" t="n">
        <v>1365</v>
      </c>
      <c r="V49" s="58" t="n">
        <v>1386</v>
      </c>
      <c r="W49" s="58" t="n">
        <v>0</v>
      </c>
      <c r="X49" s="58" t="n">
        <v>0</v>
      </c>
      <c r="Y49" s="58" t="n">
        <v>0</v>
      </c>
      <c r="AA49" s="59" t="n">
        <v>45139</v>
      </c>
      <c r="AB49" s="59" t="n">
        <v>46587</v>
      </c>
    </row>
    <row r="50">
      <c r="D50" s="36" t="inlineStr">
        <is>
          <t>Pendale Towers</t>
        </is>
      </c>
      <c r="E50" s="54" t="inlineStr">
        <is>
          <t>Unit 209</t>
        </is>
      </c>
      <c r="F50" s="54" t="inlineStr">
        <is>
          <t>1 BD / 1 BA</t>
        </is>
      </c>
      <c r="G50" s="54" t="inlineStr">
        <is>
          <t>1 BD / 1 BA</t>
        </is>
      </c>
      <c r="K50" s="36" t="inlineStr">
        <is>
          <t>Joshua T. Sikora</t>
        </is>
      </c>
      <c r="L50" s="55" t="n">
        <v>682</v>
      </c>
      <c r="M50" s="56" t="n">
        <v>1</v>
      </c>
      <c r="N50" s="56" t="n">
        <v>1</v>
      </c>
      <c r="Q50" s="57" t="inlineStr">
        <is>
          <t>Occ</t>
        </is>
      </c>
      <c r="U50" s="58" t="n">
        <v>1025</v>
      </c>
      <c r="V50" s="58" t="n">
        <v>1095</v>
      </c>
      <c r="W50" s="58" t="n">
        <v>0</v>
      </c>
      <c r="X50" s="58" t="n">
        <v>0</v>
      </c>
      <c r="Y50" s="58" t="n">
        <v>0</v>
      </c>
      <c r="AA50" s="59" t="n">
        <v>45047</v>
      </c>
      <c r="AB50" s="59" t="n">
        <v>46524</v>
      </c>
    </row>
    <row r="51">
      <c r="D51" s="36" t="inlineStr">
        <is>
          <t>Pendale Towers</t>
        </is>
      </c>
      <c r="E51" s="54" t="inlineStr">
        <is>
          <t>Unit 210</t>
        </is>
      </c>
      <c r="F51" s="54" t="inlineStr">
        <is>
          <t>1 BD / 1 BA</t>
        </is>
      </c>
      <c r="G51" s="54" t="inlineStr">
        <is>
          <t>1 BD / 1 BA</t>
        </is>
      </c>
      <c r="K51" s="36" t="inlineStr">
        <is>
          <t>Vacant</t>
        </is>
      </c>
      <c r="L51" s="55" t="n">
        <v>682</v>
      </c>
      <c r="M51" s="56" t="n">
        <v>1</v>
      </c>
      <c r="N51" s="56" t="n">
        <v>1</v>
      </c>
      <c r="Q51" s="57" t="inlineStr">
        <is>
          <t>Vac</t>
        </is>
      </c>
      <c r="U51" s="58" t="n">
        <v>975</v>
      </c>
      <c r="V51" s="58" t="n">
        <v>0</v>
      </c>
      <c r="W51" s="58" t="n">
        <v>0</v>
      </c>
      <c r="X51" s="58" t="n">
        <v>0</v>
      </c>
      <c r="Y51" s="58" t="n">
        <v>0</v>
      </c>
    </row>
    <row r="52">
      <c r="D52" s="36" t="inlineStr">
        <is>
          <t>Pendale Towers</t>
        </is>
      </c>
      <c r="E52" s="54" t="inlineStr">
        <is>
          <t>Unit 211</t>
        </is>
      </c>
      <c r="F52" s="54" t="inlineStr">
        <is>
          <t>2 BD / 2 BA</t>
        </is>
      </c>
      <c r="G52" s="54" t="inlineStr">
        <is>
          <t>2 BD / 2 BA</t>
        </is>
      </c>
      <c r="K52" s="36" t="inlineStr">
        <is>
          <t>Jason C. Freidet</t>
        </is>
      </c>
      <c r="L52" s="55" t="n">
        <v>924</v>
      </c>
      <c r="M52" s="56" t="n">
        <v>2</v>
      </c>
      <c r="N52" s="56" t="n">
        <v>2</v>
      </c>
      <c r="Q52" s="57" t="inlineStr">
        <is>
          <t>Occ</t>
        </is>
      </c>
      <c r="U52" s="58" t="n">
        <v>1365</v>
      </c>
      <c r="V52" s="58" t="n">
        <v>1365</v>
      </c>
      <c r="W52" s="58" t="n">
        <v>0</v>
      </c>
      <c r="X52" s="58" t="n">
        <v>0</v>
      </c>
      <c r="Y52" s="58" t="n">
        <v>0</v>
      </c>
      <c r="AA52" s="59" t="n">
        <v>46216</v>
      </c>
      <c r="AB52" s="59" t="n">
        <v>46594</v>
      </c>
    </row>
    <row r="53">
      <c r="D53" s="36" t="inlineStr">
        <is>
          <t>Pendale Towers</t>
        </is>
      </c>
      <c r="E53" s="54" t="inlineStr">
        <is>
          <t>Unit 212</t>
        </is>
      </c>
      <c r="F53" s="54" t="inlineStr">
        <is>
          <t>2 BD / 1.5 BA</t>
        </is>
      </c>
      <c r="G53" s="54" t="inlineStr">
        <is>
          <t>2 BD / 1.5 BA</t>
        </is>
      </c>
      <c r="K53" s="36" t="inlineStr">
        <is>
          <t>Vacant</t>
        </is>
      </c>
      <c r="L53" s="55" t="n">
        <v>1008</v>
      </c>
      <c r="M53" s="56" t="n">
        <v>2</v>
      </c>
      <c r="N53" s="56" t="n">
        <v>1.5</v>
      </c>
      <c r="Q53" s="57" t="inlineStr">
        <is>
          <t>Vac</t>
        </is>
      </c>
      <c r="U53" s="58" t="n">
        <v>1315</v>
      </c>
      <c r="V53" s="58" t="n">
        <v>0</v>
      </c>
      <c r="W53" s="58" t="n">
        <v>0</v>
      </c>
      <c r="X53" s="58" t="n">
        <v>0</v>
      </c>
      <c r="Y53" s="58" t="n">
        <v>0</v>
      </c>
    </row>
    <row r="54">
      <c r="D54" s="36" t="inlineStr">
        <is>
          <t>Pendale Towers</t>
        </is>
      </c>
      <c r="E54" s="54" t="inlineStr">
        <is>
          <t>Unit 214</t>
        </is>
      </c>
      <c r="F54" s="54" t="inlineStr">
        <is>
          <t>1 BD / 1 BA</t>
        </is>
      </c>
      <c r="G54" s="54" t="inlineStr">
        <is>
          <t>1 BD / 1 BA</t>
        </is>
      </c>
      <c r="K54" s="36" t="inlineStr">
        <is>
          <t>Moses L. Cunningham</t>
        </is>
      </c>
      <c r="L54" s="55" t="n">
        <v>682</v>
      </c>
      <c r="M54" s="56" t="n">
        <v>1</v>
      </c>
      <c r="N54" s="56" t="n">
        <v>1</v>
      </c>
      <c r="Q54" s="57" t="inlineStr">
        <is>
          <t>Occ</t>
        </is>
      </c>
      <c r="U54" s="58" t="n">
        <v>1025</v>
      </c>
      <c r="V54" s="58" t="n">
        <v>995</v>
      </c>
      <c r="W54" s="58" t="n">
        <v>0</v>
      </c>
      <c r="X54" s="58" t="n">
        <v>0</v>
      </c>
      <c r="Y54" s="58" t="n">
        <v>0</v>
      </c>
      <c r="AA54" s="59" t="n">
        <v>44860</v>
      </c>
      <c r="AB54" s="59" t="n">
        <v>46314</v>
      </c>
    </row>
    <row r="55">
      <c r="D55" s="36" t="inlineStr">
        <is>
          <t>Pendale Towers</t>
        </is>
      </c>
      <c r="E55" s="54" t="inlineStr">
        <is>
          <t>Unit 215</t>
        </is>
      </c>
      <c r="F55" s="54" t="inlineStr">
        <is>
          <t>2 BD / 1.5 BA</t>
        </is>
      </c>
      <c r="G55" s="54" t="inlineStr">
        <is>
          <t>2 BD / 1.5 BA</t>
        </is>
      </c>
      <c r="K55" s="36" t="inlineStr">
        <is>
          <t>Janardan Jayaraman</t>
        </is>
      </c>
      <c r="L55" s="55" t="n">
        <v>1008</v>
      </c>
      <c r="M55" s="56" t="n">
        <v>2</v>
      </c>
      <c r="N55" s="56" t="n">
        <v>1.5</v>
      </c>
      <c r="Q55" s="57" t="inlineStr">
        <is>
          <t>Occ</t>
        </is>
      </c>
      <c r="U55" s="58" t="n">
        <v>1500</v>
      </c>
      <c r="V55" s="58" t="n">
        <v>1368</v>
      </c>
      <c r="W55" s="58" t="n">
        <v>0</v>
      </c>
      <c r="X55" s="58" t="n">
        <v>0</v>
      </c>
      <c r="Y55" s="58" t="n">
        <v>0</v>
      </c>
      <c r="AA55" s="59" t="n">
        <v>44958</v>
      </c>
      <c r="AB55" s="59" t="n">
        <v>46482</v>
      </c>
    </row>
    <row r="56">
      <c r="D56" s="36" t="inlineStr">
        <is>
          <t>Pendale Towers</t>
        </is>
      </c>
      <c r="E56" s="54" t="inlineStr">
        <is>
          <t>Unit 216</t>
        </is>
      </c>
      <c r="F56" s="54" t="inlineStr">
        <is>
          <t>2 BD / 2 BA</t>
        </is>
      </c>
      <c r="G56" s="54" t="inlineStr">
        <is>
          <t>2 BD / 2 BA</t>
        </is>
      </c>
      <c r="K56" s="36" t="inlineStr">
        <is>
          <t>Joe Vogel</t>
        </is>
      </c>
      <c r="L56" s="55" t="n">
        <v>924</v>
      </c>
      <c r="M56" s="56" t="n">
        <v>2</v>
      </c>
      <c r="N56" s="56" t="n">
        <v>2</v>
      </c>
      <c r="Q56" s="57" t="inlineStr">
        <is>
          <t>Occ</t>
        </is>
      </c>
      <c r="U56" s="58" t="n">
        <v>1425</v>
      </c>
      <c r="V56" s="58" t="n">
        <v>1425</v>
      </c>
      <c r="W56" s="58" t="n">
        <v>0</v>
      </c>
      <c r="X56" s="58" t="n">
        <v>0</v>
      </c>
      <c r="Y56" s="58" t="n">
        <v>0</v>
      </c>
      <c r="AA56" s="59" t="n">
        <v>46176</v>
      </c>
      <c r="AB56" s="59" t="n">
        <v>46545</v>
      </c>
    </row>
    <row r="57">
      <c r="D57" s="36" t="inlineStr">
        <is>
          <t>Pendale Towers</t>
        </is>
      </c>
      <c r="E57" s="54" t="inlineStr">
        <is>
          <t>Unit 217</t>
        </is>
      </c>
      <c r="F57" s="54" t="inlineStr">
        <is>
          <t>1 BD / 1 BA</t>
        </is>
      </c>
      <c r="G57" s="54" t="inlineStr">
        <is>
          <t>1 BD / 1 BA</t>
        </is>
      </c>
      <c r="K57" s="36" t="inlineStr">
        <is>
          <t>James B. Phillips</t>
        </is>
      </c>
      <c r="L57" s="55" t="n">
        <v>682</v>
      </c>
      <c r="M57" s="56" t="n">
        <v>1</v>
      </c>
      <c r="N57" s="56" t="n">
        <v>1</v>
      </c>
      <c r="Q57" s="57" t="inlineStr">
        <is>
          <t>Occ</t>
        </is>
      </c>
      <c r="U57" s="58" t="n">
        <v>1025</v>
      </c>
      <c r="V57" s="58" t="n">
        <v>975</v>
      </c>
      <c r="W57" s="58" t="n">
        <v>0</v>
      </c>
      <c r="X57" s="58" t="n">
        <v>0</v>
      </c>
      <c r="Y57" s="58" t="n">
        <v>0</v>
      </c>
      <c r="AA57" s="59" t="n">
        <v>46127</v>
      </c>
      <c r="AB57" s="59" t="n">
        <v>46510</v>
      </c>
    </row>
    <row r="58">
      <c r="D58" s="36" t="inlineStr">
        <is>
          <t>Pendale Towers</t>
        </is>
      </c>
      <c r="E58" s="54" t="inlineStr">
        <is>
          <t>Unit 301</t>
        </is>
      </c>
      <c r="F58" s="54" t="inlineStr">
        <is>
          <t>1 BD / 1 BA</t>
        </is>
      </c>
      <c r="G58" s="54" t="inlineStr">
        <is>
          <t>1 BD / 1 BA</t>
        </is>
      </c>
      <c r="K58" s="36" t="inlineStr">
        <is>
          <t>David C. Campbell</t>
        </is>
      </c>
      <c r="L58" s="55" t="n">
        <v>682</v>
      </c>
      <c r="M58" s="56" t="n">
        <v>1</v>
      </c>
      <c r="N58" s="56" t="n">
        <v>1</v>
      </c>
      <c r="Q58" s="57" t="inlineStr">
        <is>
          <t>Occ</t>
        </is>
      </c>
      <c r="U58" s="58" t="n">
        <v>1025</v>
      </c>
      <c r="V58" s="58" t="n">
        <v>975</v>
      </c>
      <c r="W58" s="58" t="n">
        <v>0</v>
      </c>
      <c r="X58" s="58" t="n">
        <v>0</v>
      </c>
      <c r="Y58" s="58" t="n">
        <v>0</v>
      </c>
      <c r="AA58" s="59" t="n">
        <v>46080</v>
      </c>
      <c r="AB58" s="59" t="n">
        <v>46468</v>
      </c>
    </row>
    <row r="59">
      <c r="D59" s="36" t="inlineStr">
        <is>
          <t>Pendale Towers</t>
        </is>
      </c>
      <c r="E59" s="54" t="inlineStr">
        <is>
          <t>Unit 302</t>
        </is>
      </c>
      <c r="F59" s="54" t="inlineStr">
        <is>
          <t>2 BD / 1.5 BA</t>
        </is>
      </c>
      <c r="G59" s="54" t="inlineStr">
        <is>
          <t>2 BD / 1.5 BA</t>
        </is>
      </c>
      <c r="K59" s="36" t="inlineStr">
        <is>
          <t>Robert    Chiodo</t>
        </is>
      </c>
      <c r="L59" s="55" t="n">
        <v>1008</v>
      </c>
      <c r="M59" s="56" t="n">
        <v>2</v>
      </c>
      <c r="N59" s="56" t="n">
        <v>1.5</v>
      </c>
      <c r="Q59" s="57" t="inlineStr">
        <is>
          <t>Occ</t>
        </is>
      </c>
      <c r="U59" s="58" t="n">
        <v>1500</v>
      </c>
      <c r="V59" s="58" t="n">
        <v>1401</v>
      </c>
      <c r="W59" s="58" t="n">
        <v>0</v>
      </c>
      <c r="X59" s="58" t="n">
        <v>0</v>
      </c>
      <c r="Y59" s="58" t="n">
        <v>0</v>
      </c>
      <c r="AA59" s="59" t="n">
        <v>45047</v>
      </c>
      <c r="AB59" s="59" t="n">
        <v>46524</v>
      </c>
    </row>
    <row r="60">
      <c r="D60" s="36" t="inlineStr">
        <is>
          <t>Pendale Towers</t>
        </is>
      </c>
      <c r="E60" s="54" t="inlineStr">
        <is>
          <t>Unit 303</t>
        </is>
      </c>
      <c r="F60" s="54" t="inlineStr">
        <is>
          <t>2 BD / 1.5 BA</t>
        </is>
      </c>
      <c r="G60" s="54" t="inlineStr">
        <is>
          <t>2 BD / 1.5 BA</t>
        </is>
      </c>
      <c r="K60" s="36" t="inlineStr">
        <is>
          <t>Elizabeth Camargo</t>
        </is>
      </c>
      <c r="L60" s="55" t="n">
        <v>1008</v>
      </c>
      <c r="M60" s="56" t="n">
        <v>2</v>
      </c>
      <c r="N60" s="56" t="n">
        <v>1.5</v>
      </c>
      <c r="Q60" s="57" t="inlineStr">
        <is>
          <t>Occ</t>
        </is>
      </c>
      <c r="U60" s="58" t="n">
        <v>1315</v>
      </c>
      <c r="V60" s="58" t="n">
        <v>1354</v>
      </c>
      <c r="W60" s="58" t="n">
        <v>0</v>
      </c>
      <c r="X60" s="58" t="n">
        <v>0</v>
      </c>
      <c r="Y60" s="58" t="n">
        <v>0</v>
      </c>
      <c r="AA60" s="59" t="n">
        <v>44774</v>
      </c>
      <c r="AB60" s="59" t="n">
        <v>46587</v>
      </c>
    </row>
    <row r="61">
      <c r="D61" s="36" t="inlineStr">
        <is>
          <t>Pendale Towers</t>
        </is>
      </c>
      <c r="E61" s="54" t="inlineStr">
        <is>
          <t>Unit 304</t>
        </is>
      </c>
      <c r="F61" s="54" t="inlineStr">
        <is>
          <t>1 BD / 1 BA</t>
        </is>
      </c>
      <c r="G61" s="54" t="inlineStr">
        <is>
          <t>1 BD / 1 BA</t>
        </is>
      </c>
      <c r="K61" s="36" t="inlineStr">
        <is>
          <t>Anita Feitt</t>
        </is>
      </c>
      <c r="L61" s="55" t="n">
        <v>682</v>
      </c>
      <c r="M61" s="56" t="n">
        <v>1</v>
      </c>
      <c r="N61" s="56" t="n">
        <v>1</v>
      </c>
      <c r="Q61" s="57" t="inlineStr">
        <is>
          <t>Occ</t>
        </is>
      </c>
      <c r="U61" s="58" t="n">
        <v>1025</v>
      </c>
      <c r="V61" s="58" t="n">
        <v>995</v>
      </c>
      <c r="W61" s="58" t="n">
        <v>0</v>
      </c>
      <c r="X61" s="58" t="n">
        <v>0</v>
      </c>
      <c r="Y61" s="58" t="n">
        <v>0</v>
      </c>
      <c r="AA61" s="59" t="n">
        <v>45153</v>
      </c>
      <c r="AB61" s="59" t="n">
        <v>46615</v>
      </c>
    </row>
    <row r="62">
      <c r="D62" s="36" t="inlineStr">
        <is>
          <t>Pendale Towers</t>
        </is>
      </c>
      <c r="E62" s="54" t="inlineStr">
        <is>
          <t>Unit 305</t>
        </is>
      </c>
      <c r="F62" s="54" t="inlineStr">
        <is>
          <t>1 BD / 1 BA</t>
        </is>
      </c>
      <c r="G62" s="54" t="inlineStr">
        <is>
          <t>1 BD / 1 BA</t>
        </is>
      </c>
      <c r="K62" s="36" t="inlineStr">
        <is>
          <t>Gary S. Tarleton</t>
        </is>
      </c>
      <c r="L62" s="55" t="n">
        <v>682</v>
      </c>
      <c r="M62" s="56" t="n">
        <v>1</v>
      </c>
      <c r="N62" s="56" t="n">
        <v>1</v>
      </c>
      <c r="Q62" s="57" t="inlineStr">
        <is>
          <t>Occ</t>
        </is>
      </c>
      <c r="U62" s="58" t="n">
        <v>1025</v>
      </c>
      <c r="V62" s="58" t="n">
        <v>1049</v>
      </c>
      <c r="W62" s="58" t="n">
        <v>0</v>
      </c>
      <c r="X62" s="58" t="n">
        <v>0</v>
      </c>
      <c r="Y62" s="58" t="n">
        <v>0</v>
      </c>
      <c r="AA62" s="59" t="n">
        <v>45170</v>
      </c>
      <c r="AB62" s="59" t="n">
        <v>46615</v>
      </c>
    </row>
    <row r="63">
      <c r="D63" s="36" t="inlineStr">
        <is>
          <t>Pendale Towers</t>
        </is>
      </c>
      <c r="E63" s="54" t="inlineStr">
        <is>
          <t>Unit 306</t>
        </is>
      </c>
      <c r="F63" s="54" t="inlineStr">
        <is>
          <t>1 BD / 1 BA</t>
        </is>
      </c>
      <c r="G63" s="54" t="inlineStr">
        <is>
          <t>1 BD / 1 BA</t>
        </is>
      </c>
      <c r="K63" s="36" t="inlineStr">
        <is>
          <t>Theresa  Good</t>
        </is>
      </c>
      <c r="L63" s="55" t="n">
        <v>682</v>
      </c>
      <c r="M63" s="56" t="n">
        <v>1</v>
      </c>
      <c r="N63" s="56" t="n">
        <v>1</v>
      </c>
      <c r="Q63" s="57" t="inlineStr">
        <is>
          <t>Occ</t>
        </is>
      </c>
      <c r="U63" s="58" t="n">
        <v>1025</v>
      </c>
      <c r="V63" s="58" t="n">
        <v>1014</v>
      </c>
      <c r="W63" s="58" t="n">
        <v>0</v>
      </c>
      <c r="X63" s="58" t="n">
        <v>0</v>
      </c>
      <c r="Y63" s="58" t="n">
        <v>0</v>
      </c>
      <c r="AA63" s="59" t="n">
        <v>45017</v>
      </c>
      <c r="AB63" s="59" t="n">
        <v>46482</v>
      </c>
    </row>
    <row r="64">
      <c r="D64" s="36" t="inlineStr">
        <is>
          <t>Pendale Towers</t>
        </is>
      </c>
      <c r="E64" s="54" t="inlineStr">
        <is>
          <t>Unit 307</t>
        </is>
      </c>
      <c r="F64" s="54" t="inlineStr">
        <is>
          <t>2 BD / 1.5 BA</t>
        </is>
      </c>
      <c r="G64" s="54" t="inlineStr">
        <is>
          <t>2 BD / 1.5 BA</t>
        </is>
      </c>
      <c r="K64" s="36" t="inlineStr">
        <is>
          <t>Sarah A. McCormick</t>
        </is>
      </c>
      <c r="L64" s="55" t="n">
        <v>1008</v>
      </c>
      <c r="M64" s="56" t="n">
        <v>2</v>
      </c>
      <c r="N64" s="56" t="n">
        <v>1.5</v>
      </c>
      <c r="Q64" s="57" t="inlineStr">
        <is>
          <t>Occ</t>
        </is>
      </c>
      <c r="U64" s="58" t="n">
        <v>1315</v>
      </c>
      <c r="V64" s="58" t="n">
        <v>1315</v>
      </c>
      <c r="W64" s="58" t="n">
        <v>0</v>
      </c>
      <c r="X64" s="58" t="n">
        <v>0</v>
      </c>
      <c r="Y64" s="58" t="n">
        <v>0</v>
      </c>
      <c r="AA64" s="59" t="n">
        <v>45017</v>
      </c>
      <c r="AB64" s="59" t="n">
        <v>46461</v>
      </c>
    </row>
    <row r="65">
      <c r="D65" s="36" t="inlineStr">
        <is>
          <t>Pendale Towers</t>
        </is>
      </c>
      <c r="E65" s="54" t="inlineStr">
        <is>
          <t>Unit 308</t>
        </is>
      </c>
      <c r="F65" s="54" t="inlineStr">
        <is>
          <t>2 BD / 1.5 BA</t>
        </is>
      </c>
      <c r="G65" s="54" t="inlineStr">
        <is>
          <t>2 BD / 1.5 BA</t>
        </is>
      </c>
      <c r="K65" s="36" t="inlineStr">
        <is>
          <t>Ruth N. Erl</t>
        </is>
      </c>
      <c r="L65" s="55" t="n">
        <v>1008</v>
      </c>
      <c r="M65" s="56" t="n">
        <v>2</v>
      </c>
      <c r="N65" s="56" t="n">
        <v>1.5</v>
      </c>
      <c r="Q65" s="57" t="inlineStr">
        <is>
          <t>Occ</t>
        </is>
      </c>
      <c r="U65" s="58" t="n">
        <v>1315</v>
      </c>
      <c r="V65" s="58" t="n">
        <v>1320</v>
      </c>
      <c r="W65" s="58" t="n">
        <v>0</v>
      </c>
      <c r="X65" s="58" t="n">
        <v>0</v>
      </c>
      <c r="Y65" s="58" t="n">
        <v>0</v>
      </c>
      <c r="AA65" s="59" t="n">
        <v>45566</v>
      </c>
    </row>
    <row r="66">
      <c r="D66" s="36" t="inlineStr">
        <is>
          <t>Pendale Towers</t>
        </is>
      </c>
      <c r="E66" s="54" t="inlineStr">
        <is>
          <t>Unit 309</t>
        </is>
      </c>
      <c r="F66" s="54" t="inlineStr">
        <is>
          <t>1 BD / 1 BA</t>
        </is>
      </c>
      <c r="G66" s="54" t="inlineStr">
        <is>
          <t>1 BD / 1 BA</t>
        </is>
      </c>
      <c r="K66" s="36" t="inlineStr">
        <is>
          <t>Samantha M. Irvin</t>
        </is>
      </c>
      <c r="L66" s="55" t="n">
        <v>682</v>
      </c>
      <c r="M66" s="56" t="n">
        <v>1</v>
      </c>
      <c r="N66" s="56" t="n">
        <v>1</v>
      </c>
      <c r="Q66" s="57" t="inlineStr">
        <is>
          <t>Occ</t>
        </is>
      </c>
      <c r="U66" s="58" t="n">
        <v>1025</v>
      </c>
      <c r="V66" s="58" t="n">
        <v>975</v>
      </c>
      <c r="W66" s="58" t="n">
        <v>0</v>
      </c>
      <c r="X66" s="58" t="n">
        <v>0</v>
      </c>
      <c r="Y66" s="58" t="n">
        <v>0</v>
      </c>
      <c r="AA66" s="59" t="n">
        <v>46066</v>
      </c>
      <c r="AB66" s="59" t="n">
        <v>46433</v>
      </c>
    </row>
    <row r="67">
      <c r="D67" s="36" t="inlineStr">
        <is>
          <t>Pendale Towers</t>
        </is>
      </c>
      <c r="E67" s="54" t="inlineStr">
        <is>
          <t>Unit 310</t>
        </is>
      </c>
      <c r="F67" s="54" t="inlineStr">
        <is>
          <t>1 BD / 1 BA</t>
        </is>
      </c>
      <c r="G67" s="54" t="inlineStr">
        <is>
          <t>1 BD / 1 BA</t>
        </is>
      </c>
      <c r="K67" s="36" t="inlineStr">
        <is>
          <t>Emma   Nelson</t>
        </is>
      </c>
      <c r="L67" s="55" t="n">
        <v>682</v>
      </c>
      <c r="M67" s="56" t="n">
        <v>1</v>
      </c>
      <c r="N67" s="56" t="n">
        <v>1</v>
      </c>
      <c r="Q67" s="57" t="inlineStr">
        <is>
          <t>Occ</t>
        </is>
      </c>
      <c r="U67" s="58" t="n">
        <v>1025</v>
      </c>
      <c r="V67" s="58" t="n">
        <v>1225</v>
      </c>
      <c r="W67" s="58" t="n">
        <v>0</v>
      </c>
      <c r="X67" s="58" t="n">
        <v>0</v>
      </c>
      <c r="Y67" s="58" t="n">
        <v>0</v>
      </c>
      <c r="AA67" s="59" t="n">
        <v>45797</v>
      </c>
      <c r="AB67" s="59" t="n">
        <v>46524</v>
      </c>
    </row>
    <row r="68">
      <c r="D68" s="36" t="inlineStr">
        <is>
          <t>Pendale Towers</t>
        </is>
      </c>
      <c r="E68" s="54" t="inlineStr">
        <is>
          <t>Unit 311</t>
        </is>
      </c>
      <c r="F68" s="54" t="inlineStr">
        <is>
          <t>2 BD / 2 BA</t>
        </is>
      </c>
      <c r="G68" s="54" t="inlineStr">
        <is>
          <t>2 BD / 2 BA</t>
        </is>
      </c>
      <c r="K68" s="36" t="inlineStr">
        <is>
          <t>Dan  Burrows</t>
        </is>
      </c>
      <c r="L68" s="55" t="n">
        <v>924</v>
      </c>
      <c r="M68" s="56" t="n">
        <v>2</v>
      </c>
      <c r="N68" s="56" t="n">
        <v>2</v>
      </c>
      <c r="Q68" s="57" t="inlineStr">
        <is>
          <t>Occ</t>
        </is>
      </c>
      <c r="U68" s="58" t="n">
        <v>1365</v>
      </c>
      <c r="V68" s="58" t="n">
        <v>1360</v>
      </c>
      <c r="W68" s="58" t="n">
        <v>0</v>
      </c>
      <c r="X68" s="58" t="n">
        <v>0</v>
      </c>
      <c r="Y68" s="58" t="n">
        <v>0</v>
      </c>
      <c r="AA68" s="59" t="n">
        <v>44896</v>
      </c>
      <c r="AB68" s="59" t="n">
        <v>46601</v>
      </c>
    </row>
    <row r="69">
      <c r="D69" s="36" t="inlineStr">
        <is>
          <t>Pendale Towers</t>
        </is>
      </c>
      <c r="E69" s="54" t="inlineStr">
        <is>
          <t>Unit 312</t>
        </is>
      </c>
      <c r="F69" s="54" t="inlineStr">
        <is>
          <t>2 BD / 1.5 BA</t>
        </is>
      </c>
      <c r="G69" s="54" t="inlineStr">
        <is>
          <t>2 BD / 1.5 BA</t>
        </is>
      </c>
      <c r="K69" s="36" t="inlineStr">
        <is>
          <t>Marilyn McDonald</t>
        </is>
      </c>
      <c r="L69" s="55" t="n">
        <v>1008</v>
      </c>
      <c r="M69" s="56" t="n">
        <v>2</v>
      </c>
      <c r="N69" s="56" t="n">
        <v>1.5</v>
      </c>
      <c r="Q69" s="57" t="inlineStr">
        <is>
          <t>Occ</t>
        </is>
      </c>
      <c r="U69" s="58" t="n">
        <v>1500</v>
      </c>
      <c r="V69" s="58" t="n">
        <v>1398</v>
      </c>
      <c r="W69" s="58" t="n">
        <v>0</v>
      </c>
      <c r="X69" s="58" t="n">
        <v>0</v>
      </c>
      <c r="Y69" s="58" t="n">
        <v>0</v>
      </c>
      <c r="AA69" s="59" t="n">
        <v>44986</v>
      </c>
      <c r="AB69" s="59" t="n">
        <v>46524</v>
      </c>
    </row>
    <row r="70">
      <c r="D70" s="36" t="inlineStr">
        <is>
          <t>Pendale Towers</t>
        </is>
      </c>
      <c r="E70" s="54" t="inlineStr">
        <is>
          <t>Unit 314</t>
        </is>
      </c>
      <c r="F70" s="54" t="inlineStr">
        <is>
          <t>1 BD / 1 BA</t>
        </is>
      </c>
      <c r="G70" s="54" t="inlineStr">
        <is>
          <t>1 BD / 1 BA</t>
        </is>
      </c>
      <c r="K70" s="36" t="inlineStr">
        <is>
          <t>Judith  Ismail-Beigi</t>
        </is>
      </c>
      <c r="L70" s="55" t="n">
        <v>682</v>
      </c>
      <c r="M70" s="56" t="n">
        <v>1</v>
      </c>
      <c r="N70" s="56" t="n">
        <v>1</v>
      </c>
      <c r="Q70" s="57" t="inlineStr">
        <is>
          <t>Occ</t>
        </is>
      </c>
      <c r="U70" s="58" t="n">
        <v>1025</v>
      </c>
      <c r="V70" s="58" t="n">
        <v>1080</v>
      </c>
      <c r="W70" s="58" t="n">
        <v>0</v>
      </c>
      <c r="X70" s="58" t="n">
        <v>0</v>
      </c>
      <c r="Y70" s="58" t="n">
        <v>0</v>
      </c>
      <c r="AA70" s="59" t="n">
        <v>45047</v>
      </c>
      <c r="AB70" s="59" t="n">
        <v>46559</v>
      </c>
    </row>
    <row r="71">
      <c r="D71" s="36" t="inlineStr">
        <is>
          <t>Pendale Towers</t>
        </is>
      </c>
      <c r="E71" s="54" t="inlineStr">
        <is>
          <t>Unit 315</t>
        </is>
      </c>
      <c r="F71" s="54" t="inlineStr">
        <is>
          <t>2 BD / 1.5 BA</t>
        </is>
      </c>
      <c r="G71" s="54" t="inlineStr">
        <is>
          <t>2 BD / 1.5 BA</t>
        </is>
      </c>
      <c r="K71" s="36" t="inlineStr">
        <is>
          <t>Margaret    Critchlow</t>
        </is>
      </c>
      <c r="L71" s="55" t="n">
        <v>1008</v>
      </c>
      <c r="M71" s="56" t="n">
        <v>2</v>
      </c>
      <c r="N71" s="56" t="n">
        <v>1.5</v>
      </c>
      <c r="Q71" s="57" t="inlineStr">
        <is>
          <t>Occ</t>
        </is>
      </c>
      <c r="U71" s="58" t="n">
        <v>1500</v>
      </c>
      <c r="V71" s="58" t="n">
        <v>1464</v>
      </c>
      <c r="W71" s="58" t="n">
        <v>0</v>
      </c>
      <c r="X71" s="58" t="n">
        <v>0</v>
      </c>
      <c r="Y71" s="58" t="n">
        <v>0</v>
      </c>
      <c r="AA71" s="59" t="n">
        <v>45078</v>
      </c>
      <c r="AB71" s="59" t="n">
        <v>46524</v>
      </c>
    </row>
    <row r="72">
      <c r="D72" s="36" t="inlineStr">
        <is>
          <t>Pendale Towers</t>
        </is>
      </c>
      <c r="E72" s="54" t="inlineStr">
        <is>
          <t>Unit 316</t>
        </is>
      </c>
      <c r="F72" s="54" t="inlineStr">
        <is>
          <t>2 BD / 2 BA</t>
        </is>
      </c>
      <c r="G72" s="54" t="inlineStr">
        <is>
          <t>2 BD / 2 BA</t>
        </is>
      </c>
      <c r="K72" s="36" t="inlineStr">
        <is>
          <t>Patricia Callahan</t>
        </is>
      </c>
      <c r="L72" s="55" t="n">
        <v>924</v>
      </c>
      <c r="M72" s="56" t="n">
        <v>2</v>
      </c>
      <c r="N72" s="56" t="n">
        <v>2</v>
      </c>
      <c r="Q72" s="57" t="inlineStr">
        <is>
          <t>Occ</t>
        </is>
      </c>
      <c r="U72" s="58" t="n">
        <v>1365</v>
      </c>
      <c r="V72" s="58" t="n">
        <v>1315</v>
      </c>
      <c r="W72" s="58" t="n">
        <v>0</v>
      </c>
      <c r="X72" s="58" t="n">
        <v>0</v>
      </c>
      <c r="Y72" s="58" t="n">
        <v>0</v>
      </c>
      <c r="AA72" s="59" t="n">
        <v>44470</v>
      </c>
      <c r="AB72" s="59" t="n">
        <v>46650</v>
      </c>
    </row>
    <row r="73">
      <c r="D73" s="36" t="inlineStr">
        <is>
          <t>Pendale Towers</t>
        </is>
      </c>
      <c r="E73" s="54" t="inlineStr">
        <is>
          <t>Unit 317</t>
        </is>
      </c>
      <c r="F73" s="54" t="inlineStr">
        <is>
          <t>1 BD / 1 BA</t>
        </is>
      </c>
      <c r="G73" s="54" t="inlineStr">
        <is>
          <t>1 BD / 1 BA</t>
        </is>
      </c>
      <c r="K73" s="36" t="inlineStr">
        <is>
          <t>Kathleen Niebling</t>
        </is>
      </c>
      <c r="L73" s="55" t="n">
        <v>682</v>
      </c>
      <c r="M73" s="56" t="n">
        <v>1</v>
      </c>
      <c r="N73" s="56" t="n">
        <v>1</v>
      </c>
      <c r="Q73" s="57" t="inlineStr">
        <is>
          <t>Occ</t>
        </is>
      </c>
      <c r="U73" s="58" t="n">
        <v>1025</v>
      </c>
      <c r="V73" s="58" t="n">
        <v>975</v>
      </c>
      <c r="W73" s="58" t="n">
        <v>0</v>
      </c>
      <c r="X73" s="58" t="n">
        <v>0</v>
      </c>
      <c r="Y73" s="58" t="n">
        <v>0</v>
      </c>
      <c r="AA73" s="59" t="n">
        <v>44896</v>
      </c>
      <c r="AB73" s="59" t="n">
        <v>45985</v>
      </c>
    </row>
    <row r="74">
      <c r="D74" s="36" t="inlineStr">
        <is>
          <t>Pendale Towers</t>
        </is>
      </c>
      <c r="E74" s="54" t="inlineStr">
        <is>
          <t>Unit 401</t>
        </is>
      </c>
      <c r="F74" s="54" t="inlineStr">
        <is>
          <t>1 BD / 1 BA</t>
        </is>
      </c>
      <c r="G74" s="54" t="inlineStr">
        <is>
          <t>1 BD / 1 BA</t>
        </is>
      </c>
      <c r="K74" s="36" t="inlineStr">
        <is>
          <t>Janet  Jordan</t>
        </is>
      </c>
      <c r="L74" s="55" t="n">
        <v>682</v>
      </c>
      <c r="M74" s="56" t="n">
        <v>1</v>
      </c>
      <c r="N74" s="56" t="n">
        <v>1</v>
      </c>
      <c r="Q74" s="57" t="inlineStr">
        <is>
          <t>Occ</t>
        </is>
      </c>
      <c r="U74" s="58" t="n">
        <v>1025</v>
      </c>
      <c r="V74" s="58" t="n">
        <v>1024</v>
      </c>
      <c r="W74" s="58" t="n">
        <v>0</v>
      </c>
      <c r="X74" s="58" t="n">
        <v>0</v>
      </c>
      <c r="Y74" s="58" t="n">
        <v>0</v>
      </c>
      <c r="AA74" s="59" t="n">
        <v>45047</v>
      </c>
      <c r="AB74" s="59" t="n">
        <v>46139</v>
      </c>
    </row>
    <row r="75">
      <c r="D75" s="36" t="inlineStr">
        <is>
          <t>Pendale Towers</t>
        </is>
      </c>
      <c r="E75" s="54" t="inlineStr">
        <is>
          <t>Unit 402</t>
        </is>
      </c>
      <c r="F75" s="54" t="inlineStr">
        <is>
          <t>2 BD / 1.5 BA</t>
        </is>
      </c>
      <c r="G75" s="54" t="inlineStr">
        <is>
          <t>2 BD / 1.5 BA</t>
        </is>
      </c>
      <c r="K75" s="36" t="inlineStr">
        <is>
          <t>Kaleigh M. Mace</t>
        </is>
      </c>
      <c r="L75" s="55" t="n">
        <v>1008</v>
      </c>
      <c r="M75" s="56" t="n">
        <v>2</v>
      </c>
      <c r="N75" s="56" t="n">
        <v>1.5</v>
      </c>
      <c r="Q75" s="57" t="inlineStr">
        <is>
          <t>Occ</t>
        </is>
      </c>
      <c r="U75" s="58" t="n">
        <v>1500</v>
      </c>
      <c r="V75" s="58" t="n">
        <v>1438</v>
      </c>
      <c r="W75" s="58" t="n">
        <v>0</v>
      </c>
      <c r="X75" s="58" t="n">
        <v>0</v>
      </c>
      <c r="Y75" s="58" t="n">
        <v>0</v>
      </c>
      <c r="AA75" s="59" t="n">
        <v>45412</v>
      </c>
      <c r="AB75" s="59" t="n">
        <v>46524</v>
      </c>
    </row>
    <row r="76">
      <c r="D76" s="36" t="inlineStr">
        <is>
          <t>Pendale Towers</t>
        </is>
      </c>
      <c r="E76" s="54" t="inlineStr">
        <is>
          <t>Unit 403</t>
        </is>
      </c>
      <c r="F76" s="54" t="inlineStr">
        <is>
          <t>2 BD / 1.5 BA</t>
        </is>
      </c>
      <c r="G76" s="54" t="inlineStr">
        <is>
          <t>2 BD / 1.5 BA</t>
        </is>
      </c>
      <c r="K76" s="36" t="inlineStr">
        <is>
          <t>Sarah F. Molitoris</t>
        </is>
      </c>
      <c r="L76" s="55" t="n">
        <v>1008</v>
      </c>
      <c r="M76" s="56" t="n">
        <v>2</v>
      </c>
      <c r="N76" s="56" t="n">
        <v>1.5</v>
      </c>
      <c r="Q76" s="57" t="inlineStr">
        <is>
          <t>Occ</t>
        </is>
      </c>
      <c r="U76" s="58" t="n">
        <v>1315</v>
      </c>
      <c r="V76" s="58" t="n">
        <v>1315</v>
      </c>
      <c r="W76" s="58" t="n">
        <v>0</v>
      </c>
      <c r="X76" s="58" t="n">
        <v>0</v>
      </c>
      <c r="Y76" s="58" t="n">
        <v>0</v>
      </c>
      <c r="AA76" s="59" t="n">
        <v>46179</v>
      </c>
      <c r="AB76" s="59" t="n">
        <v>46552</v>
      </c>
    </row>
    <row r="77">
      <c r="D77" s="36" t="inlineStr">
        <is>
          <t>Pendale Towers</t>
        </is>
      </c>
      <c r="E77" s="54" t="inlineStr">
        <is>
          <t>Unit 404</t>
        </is>
      </c>
      <c r="F77" s="54" t="inlineStr">
        <is>
          <t>1 BD / 1 BA</t>
        </is>
      </c>
      <c r="G77" s="54" t="inlineStr">
        <is>
          <t>1 BD / 1 BA</t>
        </is>
      </c>
      <c r="K77" s="36" t="inlineStr">
        <is>
          <t>Mariah A. Mullen</t>
        </is>
      </c>
      <c r="L77" s="55" t="n">
        <v>682</v>
      </c>
      <c r="M77" s="56" t="n">
        <v>1</v>
      </c>
      <c r="N77" s="56" t="n">
        <v>1</v>
      </c>
      <c r="Q77" s="57" t="inlineStr">
        <is>
          <t>Occ</t>
        </is>
      </c>
      <c r="U77" s="58" t="n">
        <v>1025</v>
      </c>
      <c r="V77" s="58" t="n">
        <v>1080</v>
      </c>
      <c r="W77" s="58" t="n">
        <v>0</v>
      </c>
      <c r="X77" s="58" t="n">
        <v>0</v>
      </c>
      <c r="Y77" s="58" t="n">
        <v>0</v>
      </c>
      <c r="AA77" s="59" t="n">
        <v>45047</v>
      </c>
      <c r="AB77" s="59" t="n">
        <v>46510</v>
      </c>
    </row>
    <row r="78">
      <c r="D78" s="36" t="inlineStr">
        <is>
          <t>Pendale Towers</t>
        </is>
      </c>
      <c r="E78" s="54" t="inlineStr">
        <is>
          <t>Unit 405</t>
        </is>
      </c>
      <c r="F78" s="54" t="inlineStr">
        <is>
          <t>3 BD / 2 BA</t>
        </is>
      </c>
      <c r="G78" s="54" t="inlineStr">
        <is>
          <t>3 BD / 2 BA</t>
        </is>
      </c>
      <c r="K78" s="36" t="inlineStr">
        <is>
          <t>Martha  Lynch</t>
        </is>
      </c>
      <c r="L78" s="55" t="n">
        <v>1166</v>
      </c>
      <c r="M78" s="56" t="n">
        <v>3</v>
      </c>
      <c r="N78" s="56" t="n">
        <v>2</v>
      </c>
      <c r="Q78" s="57" t="inlineStr">
        <is>
          <t>Occ</t>
        </is>
      </c>
      <c r="U78" s="58" t="n">
        <v>1550</v>
      </c>
      <c r="V78" s="58" t="n">
        <v>1608</v>
      </c>
      <c r="W78" s="58" t="n">
        <v>0</v>
      </c>
      <c r="X78" s="58" t="n">
        <v>0</v>
      </c>
      <c r="Y78" s="58" t="n">
        <v>0</v>
      </c>
      <c r="AA78" s="59" t="n">
        <v>44805</v>
      </c>
      <c r="AB78" s="59" t="n">
        <v>46615</v>
      </c>
    </row>
    <row r="79">
      <c r="D79" s="36" t="inlineStr">
        <is>
          <t>Pendale Towers</t>
        </is>
      </c>
      <c r="E79" s="54" t="inlineStr">
        <is>
          <t>Unit 406</t>
        </is>
      </c>
      <c r="F79" s="54" t="inlineStr">
        <is>
          <t>1 BD / 1 BA</t>
        </is>
      </c>
      <c r="G79" s="54" t="inlineStr">
        <is>
          <t>1 BD / 1 BA</t>
        </is>
      </c>
      <c r="K79" s="36" t="inlineStr">
        <is>
          <t>Adelaide Eperthener</t>
        </is>
      </c>
      <c r="L79" s="55" t="n">
        <v>682</v>
      </c>
      <c r="M79" s="56" t="n">
        <v>1</v>
      </c>
      <c r="N79" s="56" t="n">
        <v>1</v>
      </c>
      <c r="Q79" s="57" t="inlineStr">
        <is>
          <t>Occ</t>
        </is>
      </c>
      <c r="U79" s="58" t="n">
        <v>1025</v>
      </c>
      <c r="V79" s="58" t="n">
        <v>1102</v>
      </c>
      <c r="W79" s="58" t="n">
        <v>0</v>
      </c>
      <c r="X79" s="58" t="n">
        <v>0</v>
      </c>
      <c r="Y79" s="58" t="n">
        <v>0</v>
      </c>
      <c r="AA79" s="59" t="n">
        <v>45139</v>
      </c>
      <c r="AB79" s="59" t="n">
        <v>46573</v>
      </c>
    </row>
    <row r="80">
      <c r="D80" s="36" t="inlineStr">
        <is>
          <t>Pendale Towers</t>
        </is>
      </c>
      <c r="E80" s="54" t="inlineStr">
        <is>
          <t>Unit 407</t>
        </is>
      </c>
      <c r="F80" s="54" t="inlineStr">
        <is>
          <t>2 BD / 1.5 BA</t>
        </is>
      </c>
      <c r="G80" s="54" t="inlineStr">
        <is>
          <t>2 BD / 1.5 BA</t>
        </is>
      </c>
      <c r="K80" s="36" t="inlineStr">
        <is>
          <t>Rose McCarthy</t>
        </is>
      </c>
      <c r="L80" s="55" t="n">
        <v>1008</v>
      </c>
      <c r="M80" s="56" t="n">
        <v>2</v>
      </c>
      <c r="N80" s="56" t="n">
        <v>1.5</v>
      </c>
      <c r="Q80" s="57" t="inlineStr">
        <is>
          <t>Occ</t>
        </is>
      </c>
      <c r="U80" s="58" t="n">
        <v>1315</v>
      </c>
      <c r="V80" s="58" t="n">
        <v>1315</v>
      </c>
      <c r="W80" s="58" t="n">
        <v>0</v>
      </c>
      <c r="X80" s="58" t="n">
        <v>0</v>
      </c>
      <c r="Y80" s="58" t="n">
        <v>0</v>
      </c>
      <c r="AA80" s="59" t="n">
        <v>44805</v>
      </c>
      <c r="AB80" s="59" t="n">
        <v>46251</v>
      </c>
    </row>
    <row r="81">
      <c r="D81" s="36" t="inlineStr">
        <is>
          <t>Pendale Towers</t>
        </is>
      </c>
      <c r="E81" s="54" t="inlineStr">
        <is>
          <t>Unit 408</t>
        </is>
      </c>
      <c r="F81" s="54" t="inlineStr">
        <is>
          <t>2 BD / 1.5 BA</t>
        </is>
      </c>
      <c r="G81" s="54" t="inlineStr">
        <is>
          <t>2 BD / 1.5 BA</t>
        </is>
      </c>
      <c r="K81" s="36" t="inlineStr">
        <is>
          <t>Elaine S. Goodstein</t>
        </is>
      </c>
      <c r="L81" s="55" t="n">
        <v>1008</v>
      </c>
      <c r="M81" s="56" t="n">
        <v>2</v>
      </c>
      <c r="N81" s="56" t="n">
        <v>1.5</v>
      </c>
      <c r="Q81" s="57" t="inlineStr">
        <is>
          <t>Occ</t>
        </is>
      </c>
      <c r="U81" s="58" t="n">
        <v>1315</v>
      </c>
      <c r="V81" s="58" t="n">
        <v>1315</v>
      </c>
      <c r="W81" s="58" t="n">
        <v>0</v>
      </c>
      <c r="X81" s="58" t="n">
        <v>0</v>
      </c>
      <c r="Y81" s="58" t="n">
        <v>0</v>
      </c>
      <c r="AA81" s="59" t="n">
        <v>45170</v>
      </c>
      <c r="AB81" s="59" t="n">
        <v>46615</v>
      </c>
    </row>
    <row r="82">
      <c r="D82" s="36" t="inlineStr">
        <is>
          <t>Pendale Towers</t>
        </is>
      </c>
      <c r="E82" s="54" t="inlineStr">
        <is>
          <t>Unit 409</t>
        </is>
      </c>
      <c r="F82" s="54" t="inlineStr">
        <is>
          <t>1 BD / 1 BA</t>
        </is>
      </c>
      <c r="G82" s="54" t="inlineStr">
        <is>
          <t>1 BD / 1 BA</t>
        </is>
      </c>
      <c r="K82" s="36" t="inlineStr">
        <is>
          <t>Jon A. Caldart</t>
        </is>
      </c>
      <c r="L82" s="55" t="n">
        <v>682</v>
      </c>
      <c r="M82" s="56" t="n">
        <v>1</v>
      </c>
      <c r="N82" s="56" t="n">
        <v>1</v>
      </c>
      <c r="Q82" s="57" t="inlineStr">
        <is>
          <t>Occ</t>
        </is>
      </c>
      <c r="U82" s="58" t="n">
        <v>1025</v>
      </c>
      <c r="V82" s="58" t="n">
        <v>995</v>
      </c>
      <c r="W82" s="58" t="n">
        <v>0</v>
      </c>
      <c r="X82" s="58" t="n">
        <v>0</v>
      </c>
      <c r="Y82" s="58" t="n">
        <v>0</v>
      </c>
      <c r="AA82" s="59" t="n">
        <v>44861</v>
      </c>
      <c r="AB82" s="59" t="n">
        <v>46314</v>
      </c>
    </row>
    <row r="83">
      <c r="D83" s="36" t="inlineStr">
        <is>
          <t>Pendale Towers</t>
        </is>
      </c>
      <c r="E83" s="54" t="inlineStr">
        <is>
          <t>Unit 410</t>
        </is>
      </c>
      <c r="F83" s="54" t="inlineStr">
        <is>
          <t>1 BD / 1 BA</t>
        </is>
      </c>
      <c r="G83" s="54" t="inlineStr">
        <is>
          <t>1 BD / 1 BA</t>
        </is>
      </c>
      <c r="K83" s="36" t="inlineStr">
        <is>
          <t>Kimberly  A. Stockton</t>
        </is>
      </c>
      <c r="L83" s="55" t="n">
        <v>682</v>
      </c>
      <c r="M83" s="56" t="n">
        <v>1</v>
      </c>
      <c r="N83" s="56" t="n">
        <v>1</v>
      </c>
      <c r="Q83" s="57" t="inlineStr">
        <is>
          <t>Occ</t>
        </is>
      </c>
      <c r="U83" s="58" t="n">
        <v>1025</v>
      </c>
      <c r="V83" s="58" t="n">
        <v>1025</v>
      </c>
      <c r="W83" s="58" t="n">
        <v>0</v>
      </c>
      <c r="X83" s="58" t="n">
        <v>0</v>
      </c>
      <c r="Y83" s="58" t="n">
        <v>0</v>
      </c>
      <c r="AA83" s="59" t="n">
        <v>45337</v>
      </c>
      <c r="AB83" s="59" t="n">
        <v>46461</v>
      </c>
    </row>
    <row r="84">
      <c r="D84" s="36" t="inlineStr">
        <is>
          <t>Pendale Towers</t>
        </is>
      </c>
      <c r="E84" s="54" t="inlineStr">
        <is>
          <t>Unit 411</t>
        </is>
      </c>
      <c r="F84" s="54" t="inlineStr">
        <is>
          <t>2 BD / 2 BA</t>
        </is>
      </c>
      <c r="G84" s="54" t="inlineStr">
        <is>
          <t>2 BD / 2 BA</t>
        </is>
      </c>
      <c r="K84" s="36" t="inlineStr">
        <is>
          <t>Charles   Hinderliter</t>
        </is>
      </c>
      <c r="L84" s="55" t="n">
        <v>924</v>
      </c>
      <c r="M84" s="56" t="n">
        <v>2</v>
      </c>
      <c r="N84" s="56" t="n">
        <v>2</v>
      </c>
      <c r="Q84" s="57" t="inlineStr">
        <is>
          <t>Occ</t>
        </is>
      </c>
      <c r="U84" s="58" t="n">
        <v>1365</v>
      </c>
      <c r="V84" s="58" t="n">
        <v>1439</v>
      </c>
      <c r="W84" s="58" t="n">
        <v>0</v>
      </c>
      <c r="X84" s="58" t="n">
        <v>0</v>
      </c>
      <c r="Y84" s="58" t="n">
        <v>0</v>
      </c>
      <c r="AA84" s="59" t="n">
        <v>45108</v>
      </c>
      <c r="AB84" s="59" t="n">
        <v>46559</v>
      </c>
    </row>
    <row r="85">
      <c r="D85" s="36" t="inlineStr">
        <is>
          <t>Pendale Towers</t>
        </is>
      </c>
      <c r="E85" s="54" t="inlineStr">
        <is>
          <t>Unit 412</t>
        </is>
      </c>
      <c r="F85" s="54" t="inlineStr">
        <is>
          <t>2 BD / 1.5 BA</t>
        </is>
      </c>
      <c r="G85" s="54" t="inlineStr">
        <is>
          <t>2 BD / 1.5 BA</t>
        </is>
      </c>
      <c r="K85" s="36" t="inlineStr">
        <is>
          <t>Peter E. Gilmore</t>
        </is>
      </c>
      <c r="L85" s="55" t="n">
        <v>1008</v>
      </c>
      <c r="M85" s="56" t="n">
        <v>2</v>
      </c>
      <c r="N85" s="56" t="n">
        <v>1.5</v>
      </c>
      <c r="Q85" s="57" t="inlineStr">
        <is>
          <t>Occ</t>
        </is>
      </c>
      <c r="U85" s="58" t="n">
        <v>1500</v>
      </c>
      <c r="V85" s="58" t="n">
        <v>1375</v>
      </c>
      <c r="W85" s="58" t="n">
        <v>0</v>
      </c>
      <c r="X85" s="58" t="n">
        <v>0</v>
      </c>
      <c r="Y85" s="58" t="n">
        <v>0</v>
      </c>
      <c r="AA85" s="59" t="n">
        <v>44958</v>
      </c>
      <c r="AB85" s="59" t="n">
        <v>46461</v>
      </c>
    </row>
    <row r="86">
      <c r="D86" s="36" t="inlineStr">
        <is>
          <t>Pendale Towers</t>
        </is>
      </c>
      <c r="E86" s="54" t="inlineStr">
        <is>
          <t>Unit 414</t>
        </is>
      </c>
      <c r="F86" s="54" t="inlineStr">
        <is>
          <t>1 BD / 1 BA</t>
        </is>
      </c>
      <c r="G86" s="54" t="inlineStr">
        <is>
          <t>1 BD / 1 BA</t>
        </is>
      </c>
      <c r="K86" s="36" t="inlineStr">
        <is>
          <t>Judith A. Hilliard</t>
        </is>
      </c>
      <c r="L86" s="55" t="n">
        <v>682</v>
      </c>
      <c r="M86" s="56" t="n">
        <v>1</v>
      </c>
      <c r="N86" s="56" t="n">
        <v>1</v>
      </c>
      <c r="Q86" s="57" t="inlineStr">
        <is>
          <t>Occ</t>
        </is>
      </c>
      <c r="U86" s="58" t="n">
        <v>1025</v>
      </c>
      <c r="V86" s="58" t="n">
        <v>1065</v>
      </c>
      <c r="W86" s="58" t="n">
        <v>0</v>
      </c>
      <c r="X86" s="58" t="n">
        <v>0</v>
      </c>
      <c r="Y86" s="58" t="n">
        <v>0</v>
      </c>
      <c r="AA86" s="59" t="n">
        <v>45411</v>
      </c>
      <c r="AB86" s="59" t="n">
        <v>46524</v>
      </c>
    </row>
    <row r="87">
      <c r="D87" s="36" t="inlineStr">
        <is>
          <t>Pendale Towers</t>
        </is>
      </c>
      <c r="E87" s="54" t="inlineStr">
        <is>
          <t>Unit 415</t>
        </is>
      </c>
      <c r="F87" s="54" t="inlineStr">
        <is>
          <t>2 BD / 1.5 BA</t>
        </is>
      </c>
      <c r="G87" s="54" t="inlineStr">
        <is>
          <t>2 BD / 1.5 BA</t>
        </is>
      </c>
      <c r="K87" s="36" t="inlineStr">
        <is>
          <t>Larry  Keeling</t>
        </is>
      </c>
      <c r="L87" s="55" t="n">
        <v>1008</v>
      </c>
      <c r="M87" s="56" t="n">
        <v>2</v>
      </c>
      <c r="N87" s="56" t="n">
        <v>1.5</v>
      </c>
      <c r="Q87" s="57" t="inlineStr">
        <is>
          <t>Occ</t>
        </is>
      </c>
      <c r="U87" s="58" t="n">
        <v>1500</v>
      </c>
      <c r="V87" s="58" t="n">
        <v>1368</v>
      </c>
      <c r="W87" s="58" t="n">
        <v>0</v>
      </c>
      <c r="X87" s="58" t="n">
        <v>0</v>
      </c>
      <c r="Y87" s="58" t="n">
        <v>0</v>
      </c>
      <c r="AA87" s="59" t="n">
        <v>44986</v>
      </c>
      <c r="AB87" s="59" t="n">
        <v>46482</v>
      </c>
    </row>
    <row r="88">
      <c r="D88" s="36" t="inlineStr">
        <is>
          <t>Pendale Towers</t>
        </is>
      </c>
      <c r="E88" s="54" t="inlineStr">
        <is>
          <t>Unit 416</t>
        </is>
      </c>
      <c r="F88" s="54" t="inlineStr">
        <is>
          <t>2 BD / 2 BA</t>
        </is>
      </c>
      <c r="G88" s="54" t="inlineStr">
        <is>
          <t>2 BD / 2 BA</t>
        </is>
      </c>
      <c r="K88" s="36" t="inlineStr">
        <is>
          <t>James  Orkwis</t>
        </is>
      </c>
      <c r="L88" s="55" t="n">
        <v>924</v>
      </c>
      <c r="M88" s="56" t="n">
        <v>2</v>
      </c>
      <c r="N88" s="56" t="n">
        <v>2</v>
      </c>
      <c r="Q88" s="57" t="inlineStr">
        <is>
          <t>Occ</t>
        </is>
      </c>
      <c r="U88" s="58" t="n">
        <v>1365</v>
      </c>
      <c r="V88" s="58" t="n">
        <v>1356</v>
      </c>
      <c r="W88" s="58" t="n">
        <v>0</v>
      </c>
      <c r="X88" s="58" t="n">
        <v>0</v>
      </c>
      <c r="Y88" s="58" t="n">
        <v>0</v>
      </c>
      <c r="AA88" s="59" t="n">
        <v>44927</v>
      </c>
      <c r="AB88" s="59" t="n">
        <v>46496</v>
      </c>
    </row>
    <row r="89">
      <c r="D89" s="36" t="inlineStr">
        <is>
          <t>Pendale Towers</t>
        </is>
      </c>
      <c r="E89" s="54" t="inlineStr">
        <is>
          <t>Unit 417</t>
        </is>
      </c>
      <c r="F89" s="54" t="inlineStr">
        <is>
          <t>1 BD / 1 BA</t>
        </is>
      </c>
      <c r="G89" s="54" t="inlineStr">
        <is>
          <t>1 BD / 1 BA</t>
        </is>
      </c>
      <c r="K89" s="36" t="inlineStr">
        <is>
          <t>James Baker</t>
        </is>
      </c>
      <c r="L89" s="55" t="n">
        <v>682</v>
      </c>
      <c r="M89" s="56" t="n">
        <v>1</v>
      </c>
      <c r="N89" s="56" t="n">
        <v>1</v>
      </c>
      <c r="Q89" s="57" t="inlineStr">
        <is>
          <t>Occ</t>
        </is>
      </c>
      <c r="U89" s="58" t="n">
        <v>1025</v>
      </c>
      <c r="V89" s="58" t="n">
        <v>1059</v>
      </c>
      <c r="W89" s="58" t="n">
        <v>0</v>
      </c>
      <c r="X89" s="58" t="n">
        <v>0</v>
      </c>
      <c r="Y89" s="58" t="n">
        <v>0</v>
      </c>
      <c r="AA89" s="59" t="n">
        <v>44835</v>
      </c>
      <c r="AB89" s="59" t="n">
        <v>46650</v>
      </c>
    </row>
    <row r="90">
      <c r="D90" s="36" t="inlineStr">
        <is>
          <t>Pendale Towers</t>
        </is>
      </c>
      <c r="E90" s="54" t="inlineStr">
        <is>
          <t>Unit 501</t>
        </is>
      </c>
      <c r="F90" s="54" t="inlineStr">
        <is>
          <t>1 BD / 1 BA</t>
        </is>
      </c>
      <c r="G90" s="54" t="inlineStr">
        <is>
          <t>1 BD / 1 BA</t>
        </is>
      </c>
      <c r="K90" s="36" t="inlineStr">
        <is>
          <t>Gonjaman Tamang</t>
        </is>
      </c>
      <c r="L90" s="55" t="n">
        <v>682</v>
      </c>
      <c r="M90" s="56" t="n">
        <v>1</v>
      </c>
      <c r="N90" s="56" t="n">
        <v>1</v>
      </c>
      <c r="Q90" s="57" t="inlineStr">
        <is>
          <t>Occ</t>
        </is>
      </c>
      <c r="U90" s="58" t="n">
        <v>1025</v>
      </c>
      <c r="V90" s="58" t="n">
        <v>1014</v>
      </c>
      <c r="W90" s="58" t="n">
        <v>0</v>
      </c>
      <c r="X90" s="58" t="n">
        <v>0</v>
      </c>
      <c r="Y90" s="58" t="n">
        <v>0</v>
      </c>
      <c r="AA90" s="59" t="n">
        <v>45366</v>
      </c>
      <c r="AB90" s="59" t="n">
        <v>46482</v>
      </c>
    </row>
    <row r="91">
      <c r="D91" s="36" t="inlineStr">
        <is>
          <t>Pendale Towers</t>
        </is>
      </c>
      <c r="E91" s="54" t="inlineStr">
        <is>
          <t>Unit 502</t>
        </is>
      </c>
      <c r="F91" s="54" t="inlineStr">
        <is>
          <t>2 BD / 1.5 BA</t>
        </is>
      </c>
      <c r="G91" s="54" t="inlineStr">
        <is>
          <t>2 BD / 1.5 BA</t>
        </is>
      </c>
      <c r="K91" s="36" t="inlineStr">
        <is>
          <t>Constance R. Kelsey</t>
        </is>
      </c>
      <c r="L91" s="55" t="n">
        <v>1008</v>
      </c>
      <c r="M91" s="56" t="n">
        <v>2</v>
      </c>
      <c r="N91" s="56" t="n">
        <v>1.5</v>
      </c>
      <c r="Q91" s="57" t="inlineStr">
        <is>
          <t>Occ</t>
        </is>
      </c>
      <c r="U91" s="58" t="n">
        <v>1500</v>
      </c>
      <c r="V91" s="58" t="n">
        <v>1369</v>
      </c>
      <c r="W91" s="58" t="n">
        <v>0</v>
      </c>
      <c r="X91" s="58" t="n">
        <v>0</v>
      </c>
      <c r="Y91" s="58" t="n">
        <v>0</v>
      </c>
      <c r="AA91" s="59" t="n">
        <v>45170</v>
      </c>
      <c r="AB91" s="59" t="n">
        <v>46615</v>
      </c>
    </row>
    <row r="92">
      <c r="D92" s="36" t="inlineStr">
        <is>
          <t>Pendale Towers</t>
        </is>
      </c>
      <c r="E92" s="54" t="inlineStr">
        <is>
          <t>Unit 503</t>
        </is>
      </c>
      <c r="F92" s="54" t="inlineStr">
        <is>
          <t>2 BD / 1.5 BA</t>
        </is>
      </c>
      <c r="G92" s="54" t="inlineStr">
        <is>
          <t>2 BD / 1.5 BA</t>
        </is>
      </c>
      <c r="K92" s="36" t="inlineStr">
        <is>
          <t>Rosemarie  T. Schwilm</t>
        </is>
      </c>
      <c r="L92" s="55" t="n">
        <v>1008</v>
      </c>
      <c r="M92" s="56" t="n">
        <v>2</v>
      </c>
      <c r="N92" s="56" t="n">
        <v>1.5</v>
      </c>
      <c r="Q92" s="57" t="inlineStr">
        <is>
          <t>Occ</t>
        </is>
      </c>
      <c r="U92" s="58" t="n">
        <v>1315</v>
      </c>
      <c r="V92" s="58" t="n">
        <v>1381</v>
      </c>
      <c r="W92" s="58" t="n">
        <v>0</v>
      </c>
      <c r="X92" s="58" t="n">
        <v>0</v>
      </c>
      <c r="Y92" s="58" t="n">
        <v>0</v>
      </c>
      <c r="AA92" s="59" t="n">
        <v>45491</v>
      </c>
      <c r="AB92" s="59" t="n">
        <v>46573</v>
      </c>
    </row>
    <row r="93">
      <c r="D93" s="36" t="inlineStr">
        <is>
          <t>Pendale Towers</t>
        </is>
      </c>
      <c r="E93" s="54" t="inlineStr">
        <is>
          <t>Unit 504</t>
        </is>
      </c>
      <c r="F93" s="54" t="inlineStr">
        <is>
          <t>1 BD / 1 BA</t>
        </is>
      </c>
      <c r="G93" s="54" t="inlineStr">
        <is>
          <t>1 BD / 1 BA</t>
        </is>
      </c>
      <c r="K93" s="36" t="inlineStr">
        <is>
          <t>Camille    Neemes</t>
        </is>
      </c>
      <c r="L93" s="55" t="n">
        <v>682</v>
      </c>
      <c r="M93" s="56" t="n">
        <v>1</v>
      </c>
      <c r="N93" s="56" t="n">
        <v>1</v>
      </c>
      <c r="Q93" s="57" t="inlineStr">
        <is>
          <t>Occ</t>
        </is>
      </c>
      <c r="U93" s="58" t="n">
        <v>1025</v>
      </c>
      <c r="V93" s="58" t="n">
        <v>1122</v>
      </c>
      <c r="W93" s="58" t="n">
        <v>0</v>
      </c>
      <c r="X93" s="58" t="n">
        <v>0</v>
      </c>
      <c r="Y93" s="58" t="n">
        <v>0</v>
      </c>
      <c r="AA93" s="59" t="n">
        <v>44835</v>
      </c>
      <c r="AB93" s="59" t="n">
        <v>46286</v>
      </c>
    </row>
    <row r="94">
      <c r="D94" s="36" t="inlineStr">
        <is>
          <t>Pendale Towers</t>
        </is>
      </c>
      <c r="E94" s="54" t="inlineStr">
        <is>
          <t>Unit 505</t>
        </is>
      </c>
      <c r="F94" s="54" t="inlineStr">
        <is>
          <t>3 BD / 2 BA</t>
        </is>
      </c>
      <c r="G94" s="54" t="inlineStr">
        <is>
          <t>3 BD / 2 BA</t>
        </is>
      </c>
      <c r="K94" s="36" t="inlineStr">
        <is>
          <t>Tiffany F. Bigelow</t>
        </is>
      </c>
      <c r="L94" s="55" t="n">
        <v>1166</v>
      </c>
      <c r="M94" s="56" t="n">
        <v>3</v>
      </c>
      <c r="N94" s="56" t="n">
        <v>2</v>
      </c>
      <c r="Q94" s="57" t="inlineStr">
        <is>
          <t>Occ</t>
        </is>
      </c>
      <c r="U94" s="58" t="n">
        <v>1550</v>
      </c>
      <c r="V94" s="58" t="n">
        <v>1550</v>
      </c>
      <c r="W94" s="58" t="n">
        <v>0</v>
      </c>
      <c r="X94" s="58" t="n">
        <v>0</v>
      </c>
      <c r="Y94" s="58" t="n">
        <v>0</v>
      </c>
      <c r="AA94" s="59" t="n">
        <v>46030</v>
      </c>
      <c r="AB94" s="59" t="n">
        <v>46426</v>
      </c>
    </row>
    <row r="95">
      <c r="D95" s="36" t="inlineStr">
        <is>
          <t>Pendale Towers</t>
        </is>
      </c>
      <c r="E95" s="54" t="inlineStr">
        <is>
          <t>Unit 506</t>
        </is>
      </c>
      <c r="F95" s="54" t="inlineStr">
        <is>
          <t>1 BD / 1 BA</t>
        </is>
      </c>
      <c r="G95" s="54" t="inlineStr">
        <is>
          <t>1 BD / 1 BA</t>
        </is>
      </c>
      <c r="K95" s="36" t="inlineStr">
        <is>
          <t>David I. Moreno</t>
        </is>
      </c>
      <c r="L95" s="55" t="n">
        <v>682</v>
      </c>
      <c r="M95" s="56" t="n">
        <v>1</v>
      </c>
      <c r="N95" s="56" t="n">
        <v>1</v>
      </c>
      <c r="Q95" s="57" t="inlineStr">
        <is>
          <t>Occ</t>
        </is>
      </c>
      <c r="U95" s="58" t="n">
        <v>1025</v>
      </c>
      <c r="V95" s="58" t="n">
        <v>1091</v>
      </c>
      <c r="W95" s="58" t="n">
        <v>0</v>
      </c>
      <c r="X95" s="58" t="n">
        <v>0</v>
      </c>
      <c r="Y95" s="58" t="n">
        <v>0</v>
      </c>
      <c r="AA95" s="59" t="n">
        <v>44682</v>
      </c>
      <c r="AB95" s="59" t="n">
        <v>46636</v>
      </c>
    </row>
    <row r="96">
      <c r="D96" s="36" t="inlineStr">
        <is>
          <t>Pendale Towers</t>
        </is>
      </c>
      <c r="E96" s="54" t="inlineStr">
        <is>
          <t>Unit 507</t>
        </is>
      </c>
      <c r="F96" s="54" t="inlineStr">
        <is>
          <t>2 BD / 1.5 BA</t>
        </is>
      </c>
      <c r="G96" s="54" t="inlineStr">
        <is>
          <t>2 BD / 1.5 BA</t>
        </is>
      </c>
      <c r="K96" s="36" t="inlineStr">
        <is>
          <t>Mara A. Bovo</t>
        </is>
      </c>
      <c r="L96" s="55" t="n">
        <v>1008</v>
      </c>
      <c r="M96" s="56" t="n">
        <v>2</v>
      </c>
      <c r="N96" s="56" t="n">
        <v>1.5</v>
      </c>
      <c r="Q96" s="57" t="inlineStr">
        <is>
          <t>Occ</t>
        </is>
      </c>
      <c r="U96" s="58" t="n">
        <v>1315</v>
      </c>
      <c r="V96" s="58" t="n">
        <v>1361</v>
      </c>
      <c r="W96" s="58" t="n">
        <v>0</v>
      </c>
      <c r="X96" s="58" t="n">
        <v>0</v>
      </c>
      <c r="Y96" s="58" t="n">
        <v>0</v>
      </c>
      <c r="AA96" s="59" t="n">
        <v>45149</v>
      </c>
      <c r="AB96" s="59" t="n">
        <v>46573</v>
      </c>
    </row>
    <row r="97">
      <c r="D97" s="36" t="inlineStr">
        <is>
          <t>Pendale Towers</t>
        </is>
      </c>
      <c r="E97" s="54" t="inlineStr">
        <is>
          <t>Unit 508</t>
        </is>
      </c>
      <c r="F97" s="54" t="inlineStr">
        <is>
          <t>2 BD / 1.5 BA</t>
        </is>
      </c>
      <c r="G97" s="54" t="inlineStr">
        <is>
          <t>2 BD / 1.5 BA</t>
        </is>
      </c>
      <c r="K97" s="36" t="inlineStr">
        <is>
          <t>Patrick  McIntyre</t>
        </is>
      </c>
      <c r="L97" s="55" t="n">
        <v>1008</v>
      </c>
      <c r="M97" s="56" t="n">
        <v>2</v>
      </c>
      <c r="N97" s="56" t="n">
        <v>1.5</v>
      </c>
      <c r="Q97" s="57" t="inlineStr">
        <is>
          <t>Occ</t>
        </is>
      </c>
      <c r="U97" s="58" t="n">
        <v>1315</v>
      </c>
      <c r="V97" s="58" t="n">
        <v>1341</v>
      </c>
      <c r="W97" s="58" t="n">
        <v>0</v>
      </c>
      <c r="X97" s="58" t="n">
        <v>0</v>
      </c>
      <c r="Y97" s="58" t="n">
        <v>0</v>
      </c>
      <c r="AA97" s="59" t="n">
        <v>44866</v>
      </c>
      <c r="AB97" s="59" t="n">
        <v>46314</v>
      </c>
    </row>
    <row r="98">
      <c r="D98" s="36" t="inlineStr">
        <is>
          <t>Pendale Towers</t>
        </is>
      </c>
      <c r="E98" s="54" t="inlineStr">
        <is>
          <t>Unit 509</t>
        </is>
      </c>
      <c r="F98" s="54" t="inlineStr">
        <is>
          <t>1 BD / 1 BA</t>
        </is>
      </c>
      <c r="G98" s="54" t="inlineStr">
        <is>
          <t>1 BD / 1 BA</t>
        </is>
      </c>
      <c r="K98" s="36" t="inlineStr">
        <is>
          <t>Barbara A. Donovan</t>
        </is>
      </c>
      <c r="L98" s="55" t="n">
        <v>682</v>
      </c>
      <c r="M98" s="56" t="n">
        <v>1</v>
      </c>
      <c r="N98" s="56" t="n">
        <v>1</v>
      </c>
      <c r="Q98" s="57" t="inlineStr">
        <is>
          <t>Occ</t>
        </is>
      </c>
      <c r="U98" s="58" t="n">
        <v>1025</v>
      </c>
      <c r="V98" s="58" t="n">
        <v>1071</v>
      </c>
      <c r="W98" s="58" t="n">
        <v>0</v>
      </c>
      <c r="X98" s="58" t="n">
        <v>0</v>
      </c>
      <c r="Y98" s="58" t="n">
        <v>0</v>
      </c>
      <c r="AA98" s="59" t="n">
        <v>45869</v>
      </c>
      <c r="AB98" s="59" t="n">
        <v>46587</v>
      </c>
    </row>
    <row r="99">
      <c r="D99" s="36" t="inlineStr">
        <is>
          <t>Pendale Towers</t>
        </is>
      </c>
      <c r="E99" s="54" t="inlineStr">
        <is>
          <t>Unit 510</t>
        </is>
      </c>
      <c r="F99" s="54" t="inlineStr">
        <is>
          <t>1 BD / 1 BA</t>
        </is>
      </c>
      <c r="G99" s="54" t="inlineStr">
        <is>
          <t>1 BD / 1 BA</t>
        </is>
      </c>
      <c r="K99" s="36" t="inlineStr">
        <is>
          <t>Christopher M. Weis</t>
        </is>
      </c>
      <c r="L99" s="55" t="n">
        <v>682</v>
      </c>
      <c r="M99" s="56" t="n">
        <v>1</v>
      </c>
      <c r="N99" s="56" t="n">
        <v>1</v>
      </c>
      <c r="Q99" s="57" t="inlineStr">
        <is>
          <t>Occ</t>
        </is>
      </c>
      <c r="U99" s="58" t="n">
        <v>1025</v>
      </c>
      <c r="V99" s="58" t="n">
        <v>998</v>
      </c>
      <c r="W99" s="58" t="n">
        <v>0</v>
      </c>
      <c r="X99" s="58" t="n">
        <v>0</v>
      </c>
      <c r="Y99" s="58" t="n">
        <v>0</v>
      </c>
      <c r="AA99" s="59" t="n">
        <v>45076</v>
      </c>
    </row>
    <row r="100">
      <c r="D100" s="36" t="inlineStr">
        <is>
          <t>Pendale Towers</t>
        </is>
      </c>
      <c r="E100" s="54" t="inlineStr">
        <is>
          <t>Unit 511</t>
        </is>
      </c>
      <c r="F100" s="54" t="inlineStr">
        <is>
          <t>2 BD / 2 BA</t>
        </is>
      </c>
      <c r="G100" s="54" t="inlineStr">
        <is>
          <t>2 BD / 2 BA</t>
        </is>
      </c>
      <c r="K100" s="36" t="inlineStr">
        <is>
          <t>Audrey Teitel</t>
        </is>
      </c>
      <c r="L100" s="55" t="n">
        <v>924</v>
      </c>
      <c r="M100" s="56" t="n">
        <v>2</v>
      </c>
      <c r="N100" s="56" t="n">
        <v>2</v>
      </c>
      <c r="Q100" s="57" t="inlineStr">
        <is>
          <t>Occ</t>
        </is>
      </c>
      <c r="U100" s="58" t="n">
        <v>1365</v>
      </c>
      <c r="V100" s="58" t="n">
        <v>1379</v>
      </c>
      <c r="W100" s="58" t="n">
        <v>0</v>
      </c>
      <c r="X100" s="58" t="n">
        <v>0</v>
      </c>
      <c r="Y100" s="58" t="n">
        <v>0</v>
      </c>
      <c r="AA100" s="59" t="n">
        <v>44805</v>
      </c>
      <c r="AB100" s="59" t="n">
        <v>46251</v>
      </c>
    </row>
    <row r="101">
      <c r="D101" s="36" t="inlineStr">
        <is>
          <t>Pendale Towers</t>
        </is>
      </c>
      <c r="E101" s="54" t="inlineStr">
        <is>
          <t>Unit 512</t>
        </is>
      </c>
      <c r="F101" s="54" t="inlineStr">
        <is>
          <t>2 BD / 1.5 BA</t>
        </is>
      </c>
      <c r="G101" s="54" t="inlineStr">
        <is>
          <t>2 BD / 1.5 BA</t>
        </is>
      </c>
      <c r="K101" s="36" t="inlineStr">
        <is>
          <t>Bridget M. Burns</t>
        </is>
      </c>
      <c r="L101" s="55" t="n">
        <v>1008</v>
      </c>
      <c r="M101" s="56" t="n">
        <v>2</v>
      </c>
      <c r="N101" s="56" t="n">
        <v>1.5</v>
      </c>
      <c r="Q101" s="57" t="inlineStr">
        <is>
          <t>Occ</t>
        </is>
      </c>
      <c r="U101" s="58" t="n">
        <v>1500</v>
      </c>
      <c r="V101" s="58" t="n">
        <v>1500</v>
      </c>
      <c r="W101" s="58" t="n">
        <v>0</v>
      </c>
      <c r="X101" s="58" t="n">
        <v>0</v>
      </c>
      <c r="Y101" s="58" t="n">
        <v>0</v>
      </c>
      <c r="AA101" s="59" t="n">
        <v>46010</v>
      </c>
      <c r="AB101" s="59" t="n">
        <v>46349</v>
      </c>
    </row>
    <row r="102">
      <c r="D102" s="36" t="inlineStr">
        <is>
          <t>Pendale Towers</t>
        </is>
      </c>
      <c r="E102" s="54" t="inlineStr">
        <is>
          <t>Unit 514</t>
        </is>
      </c>
      <c r="F102" s="54" t="inlineStr">
        <is>
          <t>1 BD / 1 BA</t>
        </is>
      </c>
      <c r="G102" s="54" t="inlineStr">
        <is>
          <t>1 BD / 1 BA</t>
        </is>
      </c>
      <c r="K102" s="36" t="inlineStr">
        <is>
          <t>Samuel E. Wright IV</t>
        </is>
      </c>
      <c r="L102" s="55" t="n">
        <v>682</v>
      </c>
      <c r="M102" s="56" t="n">
        <v>1</v>
      </c>
      <c r="N102" s="56" t="n">
        <v>1</v>
      </c>
      <c r="Q102" s="57" t="inlineStr">
        <is>
          <t>Occ</t>
        </is>
      </c>
      <c r="U102" s="58" t="n">
        <v>1025</v>
      </c>
      <c r="V102" s="58" t="n">
        <v>1056</v>
      </c>
      <c r="W102" s="58" t="n">
        <v>0</v>
      </c>
      <c r="X102" s="58" t="n">
        <v>0</v>
      </c>
      <c r="Y102" s="58" t="n">
        <v>0</v>
      </c>
      <c r="AA102" s="59" t="n">
        <v>45856</v>
      </c>
    </row>
    <row r="103">
      <c r="D103" s="36" t="inlineStr">
        <is>
          <t>Pendale Towers</t>
        </is>
      </c>
      <c r="E103" s="54" t="inlineStr">
        <is>
          <t>Unit 515</t>
        </is>
      </c>
      <c r="F103" s="54" t="inlineStr">
        <is>
          <t>2 BD / 1.5 BA</t>
        </is>
      </c>
      <c r="G103" s="54" t="inlineStr">
        <is>
          <t>2 BD / 1.5 BA</t>
        </is>
      </c>
      <c r="K103" s="36" t="inlineStr">
        <is>
          <t>Mary Ellen   DiPasquale</t>
        </is>
      </c>
      <c r="L103" s="55" t="n">
        <v>1008</v>
      </c>
      <c r="M103" s="56" t="n">
        <v>2</v>
      </c>
      <c r="N103" s="56" t="n">
        <v>1.5</v>
      </c>
      <c r="Q103" s="57" t="inlineStr">
        <is>
          <t>Occ</t>
        </is>
      </c>
      <c r="U103" s="58" t="n">
        <v>1500</v>
      </c>
      <c r="V103" s="58" t="n">
        <v>1383</v>
      </c>
      <c r="W103" s="58" t="n">
        <v>0</v>
      </c>
      <c r="X103" s="58" t="n">
        <v>0</v>
      </c>
      <c r="Y103" s="58" t="n">
        <v>0</v>
      </c>
      <c r="AA103" s="59" t="n">
        <v>45017</v>
      </c>
      <c r="AB103" s="59" t="n">
        <v>46482</v>
      </c>
    </row>
    <row r="104">
      <c r="D104" s="36" t="inlineStr">
        <is>
          <t>Pendale Towers</t>
        </is>
      </c>
      <c r="E104" s="54" t="inlineStr">
        <is>
          <t>Unit 516</t>
        </is>
      </c>
      <c r="F104" s="54" t="inlineStr">
        <is>
          <t>2 BD / 2 BA</t>
        </is>
      </c>
      <c r="G104" s="54" t="inlineStr">
        <is>
          <t>2 BD / 2 BA</t>
        </is>
      </c>
      <c r="K104" s="36" t="inlineStr">
        <is>
          <t>Vacant</t>
        </is>
      </c>
      <c r="L104" s="55" t="n">
        <v>924</v>
      </c>
      <c r="M104" s="56" t="n">
        <v>2</v>
      </c>
      <c r="N104" s="56" t="n">
        <v>2</v>
      </c>
      <c r="Q104" s="57" t="inlineStr">
        <is>
          <t>Vac</t>
        </is>
      </c>
      <c r="U104" s="58" t="n">
        <v>1365</v>
      </c>
      <c r="V104" s="58" t="n">
        <v>0</v>
      </c>
      <c r="W104" s="58" t="n">
        <v>0</v>
      </c>
      <c r="X104" s="58" t="n">
        <v>0</v>
      </c>
      <c r="Y104" s="58" t="n">
        <v>0</v>
      </c>
    </row>
    <row r="105">
      <c r="D105" s="36" t="inlineStr">
        <is>
          <t>Pendale Towers</t>
        </is>
      </c>
      <c r="E105" s="54" t="inlineStr">
        <is>
          <t>Unit 517</t>
        </is>
      </c>
      <c r="F105" s="54" t="inlineStr">
        <is>
          <t>1 BD / 1 BA</t>
        </is>
      </c>
      <c r="G105" s="54" t="inlineStr">
        <is>
          <t>1 BD / 1 BA</t>
        </is>
      </c>
      <c r="K105" s="36" t="inlineStr">
        <is>
          <t>Vacant</t>
        </is>
      </c>
      <c r="L105" s="55" t="n">
        <v>682</v>
      </c>
      <c r="M105" s="56" t="n">
        <v>1</v>
      </c>
      <c r="N105" s="56" t="n">
        <v>1</v>
      </c>
      <c r="Q105" s="57" t="inlineStr">
        <is>
          <t>Vac</t>
        </is>
      </c>
      <c r="U105" s="58" t="n">
        <v>975</v>
      </c>
      <c r="V105" s="58" t="n">
        <v>0</v>
      </c>
      <c r="W105" s="58" t="n">
        <v>0</v>
      </c>
      <c r="X105" s="58" t="n">
        <v>0</v>
      </c>
      <c r="Y105" s="58" t="n">
        <v>0</v>
      </c>
    </row>
    <row r="106">
      <c r="D106" s="36" t="inlineStr">
        <is>
          <t>Pendale Towers</t>
        </is>
      </c>
      <c r="E106" s="54" t="inlineStr">
        <is>
          <t>Unit 601</t>
        </is>
      </c>
      <c r="F106" s="54" t="inlineStr">
        <is>
          <t>1 BD / 1 BA</t>
        </is>
      </c>
      <c r="G106" s="54" t="inlineStr">
        <is>
          <t>1 BD / 1 BA</t>
        </is>
      </c>
      <c r="K106" s="36" t="inlineStr">
        <is>
          <t>Mollie Catherine Rose  Comyn</t>
        </is>
      </c>
      <c r="L106" s="55" t="n">
        <v>682</v>
      </c>
      <c r="M106" s="56" t="n">
        <v>1</v>
      </c>
      <c r="N106" s="56" t="n">
        <v>1</v>
      </c>
      <c r="Q106" s="57" t="inlineStr">
        <is>
          <t>Occ</t>
        </is>
      </c>
      <c r="U106" s="58" t="n">
        <v>1025</v>
      </c>
      <c r="V106" s="58" t="n">
        <v>1025</v>
      </c>
      <c r="W106" s="58" t="n">
        <v>0</v>
      </c>
      <c r="X106" s="58" t="n">
        <v>0</v>
      </c>
      <c r="Y106" s="58" t="n">
        <v>0</v>
      </c>
      <c r="AA106" s="59" t="n">
        <v>45703</v>
      </c>
      <c r="AB106" s="59" t="n">
        <v>46510</v>
      </c>
    </row>
    <row r="107">
      <c r="D107" s="36" t="inlineStr">
        <is>
          <t>Pendale Towers</t>
        </is>
      </c>
      <c r="E107" s="54" t="inlineStr">
        <is>
          <t>Unit 602</t>
        </is>
      </c>
      <c r="F107" s="54" t="inlineStr">
        <is>
          <t>2 BD / 1.5 BA</t>
        </is>
      </c>
      <c r="G107" s="54" t="inlineStr">
        <is>
          <t>2 BD / 1.5 BA</t>
        </is>
      </c>
      <c r="K107" s="36" t="inlineStr">
        <is>
          <t>Charles M. Powell</t>
        </is>
      </c>
      <c r="L107" s="55" t="n">
        <v>1008</v>
      </c>
      <c r="M107" s="56" t="n">
        <v>2</v>
      </c>
      <c r="N107" s="56" t="n">
        <v>1.5</v>
      </c>
      <c r="Q107" s="57" t="inlineStr">
        <is>
          <t>Occ</t>
        </is>
      </c>
      <c r="U107" s="58" t="n">
        <v>1500</v>
      </c>
      <c r="V107" s="58" t="n">
        <v>1315</v>
      </c>
      <c r="W107" s="58" t="n">
        <v>0</v>
      </c>
      <c r="X107" s="58" t="n">
        <v>0</v>
      </c>
      <c r="Y107" s="58" t="n">
        <v>0</v>
      </c>
      <c r="AA107" s="59" t="n">
        <v>44713</v>
      </c>
      <c r="AB107" s="59" t="n">
        <v>46524</v>
      </c>
    </row>
    <row r="108">
      <c r="D108" s="36" t="inlineStr">
        <is>
          <t>Pendale Towers</t>
        </is>
      </c>
      <c r="E108" s="54" t="inlineStr">
        <is>
          <t>Unit 603</t>
        </is>
      </c>
      <c r="F108" s="54" t="inlineStr">
        <is>
          <t>2 BD / 1.5 BA</t>
        </is>
      </c>
      <c r="G108" s="54" t="inlineStr">
        <is>
          <t>2 BD / 1.5 BA</t>
        </is>
      </c>
      <c r="K108" s="36" t="inlineStr">
        <is>
          <t>Areej Darraj</t>
        </is>
      </c>
      <c r="L108" s="55" t="n">
        <v>1008</v>
      </c>
      <c r="M108" s="56" t="n">
        <v>2</v>
      </c>
      <c r="N108" s="56" t="n">
        <v>1.5</v>
      </c>
      <c r="Q108" s="57" t="inlineStr">
        <is>
          <t>Occ</t>
        </is>
      </c>
      <c r="U108" s="58" t="n">
        <v>1315</v>
      </c>
      <c r="V108" s="58" t="n">
        <v>1315</v>
      </c>
      <c r="W108" s="58" t="n">
        <v>0</v>
      </c>
      <c r="X108" s="58" t="n">
        <v>0</v>
      </c>
      <c r="Y108" s="58" t="n">
        <v>0</v>
      </c>
      <c r="AA108" s="59" t="n">
        <v>46196</v>
      </c>
      <c r="AB108" s="59" t="n">
        <v>46568</v>
      </c>
    </row>
    <row r="109">
      <c r="D109" s="36" t="inlineStr">
        <is>
          <t>Pendale Towers</t>
        </is>
      </c>
      <c r="E109" s="54" t="inlineStr">
        <is>
          <t>Unit 604</t>
        </is>
      </c>
      <c r="F109" s="54" t="inlineStr">
        <is>
          <t>1 BD / 1 BA</t>
        </is>
      </c>
      <c r="G109" s="54" t="inlineStr">
        <is>
          <t>1 BD / 1 BA</t>
        </is>
      </c>
      <c r="K109" s="36" t="inlineStr">
        <is>
          <t>Brianna  Nardozi</t>
        </is>
      </c>
      <c r="L109" s="55" t="n">
        <v>682</v>
      </c>
      <c r="M109" s="56" t="n">
        <v>1</v>
      </c>
      <c r="N109" s="56" t="n">
        <v>1</v>
      </c>
      <c r="Q109" s="57" t="inlineStr">
        <is>
          <t>Occ</t>
        </is>
      </c>
      <c r="U109" s="58" t="n">
        <v>1025</v>
      </c>
      <c r="V109" s="58" t="n">
        <v>1024</v>
      </c>
      <c r="W109" s="58" t="n">
        <v>0</v>
      </c>
      <c r="X109" s="58" t="n">
        <v>0</v>
      </c>
      <c r="Y109" s="58" t="n">
        <v>0</v>
      </c>
      <c r="AA109" s="59" t="n">
        <v>44805</v>
      </c>
      <c r="AB109" s="59" t="n">
        <v>46615</v>
      </c>
    </row>
    <row r="110">
      <c r="D110" s="36" t="inlineStr">
        <is>
          <t>Pendale Towers</t>
        </is>
      </c>
      <c r="E110" s="54" t="inlineStr">
        <is>
          <t>Unit 605</t>
        </is>
      </c>
      <c r="F110" s="54" t="inlineStr">
        <is>
          <t>3 BD / 2 BA</t>
        </is>
      </c>
      <c r="G110" s="54" t="inlineStr">
        <is>
          <t>3 BD / 2 BA</t>
        </is>
      </c>
      <c r="K110" s="36" t="inlineStr">
        <is>
          <t>Vincent  J. Thomas</t>
        </is>
      </c>
      <c r="L110" s="55" t="n">
        <v>1166</v>
      </c>
      <c r="M110" s="56" t="n">
        <v>3</v>
      </c>
      <c r="N110" s="56" t="n">
        <v>2</v>
      </c>
      <c r="Q110" s="57" t="inlineStr">
        <is>
          <t>Occ</t>
        </is>
      </c>
      <c r="U110" s="58" t="n">
        <v>1550</v>
      </c>
      <c r="V110" s="58" t="n">
        <v>1612</v>
      </c>
      <c r="W110" s="58" t="n">
        <v>0</v>
      </c>
      <c r="X110" s="58" t="n">
        <v>0</v>
      </c>
      <c r="Y110" s="58" t="n">
        <v>0</v>
      </c>
      <c r="AA110" s="59" t="n">
        <v>45838</v>
      </c>
      <c r="AB110" s="59" t="n">
        <v>46559</v>
      </c>
    </row>
    <row r="111">
      <c r="D111" s="36" t="inlineStr">
        <is>
          <t>Pendale Towers</t>
        </is>
      </c>
      <c r="E111" s="54" t="inlineStr">
        <is>
          <t>Unit 606</t>
        </is>
      </c>
      <c r="F111" s="54" t="inlineStr">
        <is>
          <t>1 BD / 1 BA</t>
        </is>
      </c>
      <c r="G111" s="54" t="inlineStr">
        <is>
          <t>1 BD / 1 BA</t>
        </is>
      </c>
      <c r="K111" s="36" t="inlineStr">
        <is>
          <t>Taimah K. Williams</t>
        </is>
      </c>
      <c r="L111" s="55" t="n">
        <v>682</v>
      </c>
      <c r="M111" s="56" t="n">
        <v>1</v>
      </c>
      <c r="N111" s="56" t="n">
        <v>1</v>
      </c>
      <c r="Q111" s="57" t="inlineStr">
        <is>
          <t>Occ</t>
        </is>
      </c>
      <c r="U111" s="58" t="n">
        <v>1025</v>
      </c>
      <c r="V111" s="58" t="n">
        <v>1065</v>
      </c>
      <c r="W111" s="58" t="n">
        <v>0</v>
      </c>
      <c r="X111" s="58" t="n">
        <v>0</v>
      </c>
      <c r="Y111" s="58" t="n">
        <v>0</v>
      </c>
      <c r="AA111" s="59" t="n">
        <v>45394</v>
      </c>
      <c r="AB111" s="59" t="n">
        <v>46510</v>
      </c>
    </row>
    <row r="112">
      <c r="D112" s="36" t="inlineStr">
        <is>
          <t>Pendale Towers</t>
        </is>
      </c>
      <c r="E112" s="54" t="inlineStr">
        <is>
          <t>Unit 607</t>
        </is>
      </c>
      <c r="F112" s="54" t="inlineStr">
        <is>
          <t>2 BD / 1.5 BA</t>
        </is>
      </c>
      <c r="G112" s="54" t="inlineStr">
        <is>
          <t>2 BD / 1.5 BA</t>
        </is>
      </c>
      <c r="K112" s="36" t="inlineStr">
        <is>
          <t>Diane   Markovich</t>
        </is>
      </c>
      <c r="L112" s="55" t="n">
        <v>1008</v>
      </c>
      <c r="M112" s="56" t="n">
        <v>2</v>
      </c>
      <c r="N112" s="56" t="n">
        <v>1.5</v>
      </c>
      <c r="Q112" s="57" t="inlineStr">
        <is>
          <t>Occ</t>
        </is>
      </c>
      <c r="U112" s="58" t="n">
        <v>1315</v>
      </c>
      <c r="V112" s="58" t="n">
        <v>1356</v>
      </c>
      <c r="W112" s="58" t="n">
        <v>0</v>
      </c>
      <c r="X112" s="58" t="n">
        <v>0</v>
      </c>
      <c r="Y112" s="58" t="n">
        <v>0</v>
      </c>
      <c r="AA112" s="59" t="n">
        <v>44927</v>
      </c>
      <c r="AB112" s="59" t="n">
        <v>46496</v>
      </c>
    </row>
    <row r="113">
      <c r="D113" s="36" t="inlineStr">
        <is>
          <t>Pendale Towers</t>
        </is>
      </c>
      <c r="E113" s="54" t="inlineStr">
        <is>
          <t>Unit 608</t>
        </is>
      </c>
      <c r="F113" s="54" t="inlineStr">
        <is>
          <t>2 BD / 1.5 BA</t>
        </is>
      </c>
      <c r="G113" s="54" t="inlineStr">
        <is>
          <t>2 BD / 1.5 BA</t>
        </is>
      </c>
      <c r="K113" s="36" t="inlineStr">
        <is>
          <t>Bernadette    Puzzuole</t>
        </is>
      </c>
      <c r="L113" s="55" t="n">
        <v>1008</v>
      </c>
      <c r="M113" s="56" t="n">
        <v>2</v>
      </c>
      <c r="N113" s="56" t="n">
        <v>1.5</v>
      </c>
      <c r="Q113" s="57" t="inlineStr">
        <is>
          <t>Occ</t>
        </is>
      </c>
      <c r="U113" s="58" t="n">
        <v>1315</v>
      </c>
      <c r="V113" s="58" t="n">
        <v>1468</v>
      </c>
      <c r="W113" s="58" t="n">
        <v>0</v>
      </c>
      <c r="X113" s="58" t="n">
        <v>0</v>
      </c>
      <c r="Y113" s="58" t="n">
        <v>0</v>
      </c>
      <c r="AA113" s="59" t="n">
        <v>45077</v>
      </c>
      <c r="AB113" s="59" t="n">
        <v>46524</v>
      </c>
    </row>
    <row r="114">
      <c r="D114" s="36" t="inlineStr">
        <is>
          <t>Pendale Towers</t>
        </is>
      </c>
      <c r="E114" s="54" t="inlineStr">
        <is>
          <t>Unit 609</t>
        </is>
      </c>
      <c r="F114" s="54" t="inlineStr">
        <is>
          <t>1 BD / 1 BA</t>
        </is>
      </c>
      <c r="G114" s="54" t="inlineStr">
        <is>
          <t>1 BD / 1 BA</t>
        </is>
      </c>
      <c r="K114" s="36" t="inlineStr">
        <is>
          <t>Matthew J. Windsor</t>
        </is>
      </c>
      <c r="L114" s="55" t="n">
        <v>682</v>
      </c>
      <c r="M114" s="56" t="n">
        <v>1</v>
      </c>
      <c r="N114" s="56" t="n">
        <v>1</v>
      </c>
      <c r="Q114" s="57" t="inlineStr">
        <is>
          <t>Occ</t>
        </is>
      </c>
      <c r="U114" s="58" t="n">
        <v>1025</v>
      </c>
      <c r="V114" s="58" t="n">
        <v>1014</v>
      </c>
      <c r="W114" s="58" t="n">
        <v>0</v>
      </c>
      <c r="X114" s="58" t="n">
        <v>0</v>
      </c>
      <c r="Y114" s="58" t="n">
        <v>0</v>
      </c>
      <c r="AA114" s="59" t="n">
        <v>45676</v>
      </c>
      <c r="AB114" s="59" t="n">
        <v>46559</v>
      </c>
    </row>
    <row r="115">
      <c r="D115" s="36" t="inlineStr">
        <is>
          <t>Pendale Towers</t>
        </is>
      </c>
      <c r="E115" s="54" t="inlineStr">
        <is>
          <t>Unit 610</t>
        </is>
      </c>
      <c r="F115" s="54" t="inlineStr">
        <is>
          <t>1 BD / 1 BA</t>
        </is>
      </c>
      <c r="G115" s="54" t="inlineStr">
        <is>
          <t>1 BD / 1 BA</t>
        </is>
      </c>
      <c r="K115" s="36" t="inlineStr">
        <is>
          <t>Peter Niebling</t>
        </is>
      </c>
      <c r="L115" s="55" t="n">
        <v>682</v>
      </c>
      <c r="M115" s="56" t="n">
        <v>1</v>
      </c>
      <c r="N115" s="56" t="n">
        <v>1</v>
      </c>
      <c r="Q115" s="57" t="inlineStr">
        <is>
          <t>Occ</t>
        </is>
      </c>
      <c r="U115" s="58" t="n">
        <v>1025</v>
      </c>
      <c r="V115" s="58" t="n">
        <v>975</v>
      </c>
      <c r="W115" s="58" t="n">
        <v>0</v>
      </c>
      <c r="X115" s="58" t="n">
        <v>0</v>
      </c>
      <c r="Y115" s="58" t="n">
        <v>0</v>
      </c>
      <c r="AA115" s="59" t="n">
        <v>44896</v>
      </c>
      <c r="AB115" s="59" t="n">
        <v>45985</v>
      </c>
    </row>
    <row r="116">
      <c r="D116" s="36" t="inlineStr">
        <is>
          <t>Pendale Towers</t>
        </is>
      </c>
      <c r="E116" s="54" t="inlineStr">
        <is>
          <t>Unit 611</t>
        </is>
      </c>
      <c r="F116" s="54" t="inlineStr">
        <is>
          <t>2 BD / 2 BA</t>
        </is>
      </c>
      <c r="G116" s="54" t="inlineStr">
        <is>
          <t>2 BD / 2 BA</t>
        </is>
      </c>
      <c r="K116" s="36" t="inlineStr">
        <is>
          <t>Shirish  Paranjpe</t>
        </is>
      </c>
      <c r="L116" s="55" t="n">
        <v>924</v>
      </c>
      <c r="M116" s="56" t="n">
        <v>2</v>
      </c>
      <c r="N116" s="56" t="n">
        <v>2</v>
      </c>
      <c r="Q116" s="57" t="inlineStr">
        <is>
          <t>Occ</t>
        </is>
      </c>
      <c r="U116" s="58" t="n">
        <v>1365</v>
      </c>
      <c r="V116" s="58" t="n">
        <v>1381</v>
      </c>
      <c r="W116" s="58" t="n">
        <v>0</v>
      </c>
      <c r="X116" s="58" t="n">
        <v>0</v>
      </c>
      <c r="Y116" s="58" t="n">
        <v>0</v>
      </c>
      <c r="AA116" s="59" t="n">
        <v>44986</v>
      </c>
      <c r="AB116" s="59" t="n">
        <v>46446</v>
      </c>
    </row>
    <row r="117">
      <c r="D117" s="36" t="inlineStr">
        <is>
          <t>Pendale Towers</t>
        </is>
      </c>
      <c r="E117" s="54" t="inlineStr">
        <is>
          <t>Unit 612</t>
        </is>
      </c>
      <c r="F117" s="54" t="inlineStr">
        <is>
          <t>2 BD / 1.5 BA</t>
        </is>
      </c>
      <c r="G117" s="54" t="inlineStr">
        <is>
          <t>2 BD / 1.5 BA</t>
        </is>
      </c>
      <c r="K117" s="36" t="inlineStr">
        <is>
          <t>Blair  Gorczyca</t>
        </is>
      </c>
      <c r="L117" s="55" t="n">
        <v>1008</v>
      </c>
      <c r="M117" s="56" t="n">
        <v>2</v>
      </c>
      <c r="N117" s="56" t="n">
        <v>1.5</v>
      </c>
      <c r="Q117" s="57" t="inlineStr">
        <is>
          <t>Occ</t>
        </is>
      </c>
      <c r="U117" s="58" t="n">
        <v>1500</v>
      </c>
      <c r="V117" s="58" t="n">
        <v>1406</v>
      </c>
      <c r="W117" s="58" t="n">
        <v>0</v>
      </c>
      <c r="X117" s="58" t="n">
        <v>0</v>
      </c>
      <c r="Y117" s="58" t="n">
        <v>0</v>
      </c>
      <c r="AA117" s="59" t="n">
        <v>45078</v>
      </c>
      <c r="AB117" s="59" t="n">
        <v>46160</v>
      </c>
    </row>
    <row r="118">
      <c r="D118" s="36" t="inlineStr">
        <is>
          <t>Pendale Towers</t>
        </is>
      </c>
      <c r="E118" s="54" t="inlineStr">
        <is>
          <t>Unit 614</t>
        </is>
      </c>
      <c r="F118" s="54" t="inlineStr">
        <is>
          <t>1 BD / 1 BA</t>
        </is>
      </c>
      <c r="G118" s="54" t="inlineStr">
        <is>
          <t>1 BD / 1 BA</t>
        </is>
      </c>
      <c r="K118" s="36" t="inlineStr">
        <is>
          <t>Gregory J. Bass</t>
        </is>
      </c>
      <c r="L118" s="55" t="n">
        <v>682</v>
      </c>
      <c r="M118" s="56" t="n">
        <v>1</v>
      </c>
      <c r="N118" s="56" t="n">
        <v>1</v>
      </c>
      <c r="Q118" s="57" t="inlineStr">
        <is>
          <t>Occ</t>
        </is>
      </c>
      <c r="U118" s="58" t="n">
        <v>1025</v>
      </c>
      <c r="V118" s="58" t="n">
        <v>975</v>
      </c>
      <c r="W118" s="58" t="n">
        <v>0</v>
      </c>
      <c r="X118" s="58" t="n">
        <v>0</v>
      </c>
      <c r="Y118" s="58" t="n">
        <v>0</v>
      </c>
      <c r="AA118" s="59" t="n">
        <v>46127</v>
      </c>
      <c r="AB118" s="59" t="n">
        <v>46517</v>
      </c>
    </row>
    <row r="119">
      <c r="D119" s="36" t="inlineStr">
        <is>
          <t>Pendale Towers</t>
        </is>
      </c>
      <c r="E119" s="54" t="inlineStr">
        <is>
          <t>Unit 615</t>
        </is>
      </c>
      <c r="F119" s="54" t="inlineStr">
        <is>
          <t>2 BD / 1.5 BA</t>
        </is>
      </c>
      <c r="G119" s="54" t="inlineStr">
        <is>
          <t>2 BD / 1.5 BA</t>
        </is>
      </c>
      <c r="K119" s="36" t="inlineStr">
        <is>
          <t>Yaritza Lugo-Ramos</t>
        </is>
      </c>
      <c r="L119" s="55" t="n">
        <v>1008</v>
      </c>
      <c r="M119" s="56" t="n">
        <v>2</v>
      </c>
      <c r="N119" s="56" t="n">
        <v>1.5</v>
      </c>
      <c r="Q119" s="57" t="inlineStr">
        <is>
          <t>Occ</t>
        </is>
      </c>
      <c r="U119" s="58" t="n">
        <v>1500</v>
      </c>
      <c r="V119" s="58" t="n">
        <v>1368</v>
      </c>
      <c r="W119" s="58" t="n">
        <v>0</v>
      </c>
      <c r="X119" s="58" t="n">
        <v>0</v>
      </c>
      <c r="Y119" s="58" t="n">
        <v>0</v>
      </c>
      <c r="AA119" s="59" t="n">
        <v>45017</v>
      </c>
      <c r="AB119" s="59" t="n">
        <v>46559</v>
      </c>
    </row>
    <row r="120">
      <c r="D120" s="36" t="inlineStr">
        <is>
          <t>Pendale Towers</t>
        </is>
      </c>
      <c r="E120" s="54" t="inlineStr">
        <is>
          <t>Unit 616</t>
        </is>
      </c>
      <c r="F120" s="54" t="inlineStr">
        <is>
          <t>2 BD / 2 BA</t>
        </is>
      </c>
      <c r="G120" s="54" t="inlineStr">
        <is>
          <t>2 BD / 2 BA</t>
        </is>
      </c>
      <c r="K120" s="36" t="inlineStr">
        <is>
          <t>Vacant</t>
        </is>
      </c>
      <c r="L120" s="55" t="n">
        <v>924</v>
      </c>
      <c r="M120" s="56" t="n">
        <v>2</v>
      </c>
      <c r="N120" s="56" t="n">
        <v>2</v>
      </c>
      <c r="Q120" s="57" t="inlineStr">
        <is>
          <t>Vac</t>
        </is>
      </c>
      <c r="U120" s="58" t="n">
        <v>1365</v>
      </c>
      <c r="V120" s="58" t="n">
        <v>0</v>
      </c>
      <c r="W120" s="58" t="n">
        <v>0</v>
      </c>
      <c r="X120" s="58" t="n">
        <v>0</v>
      </c>
      <c r="Y120" s="58" t="n">
        <v>0</v>
      </c>
    </row>
    <row r="121">
      <c r="D121" s="36" t="inlineStr">
        <is>
          <t>Pendale Towers</t>
        </is>
      </c>
      <c r="E121" s="54" t="inlineStr">
        <is>
          <t>Unit 617</t>
        </is>
      </c>
      <c r="F121" s="54" t="inlineStr">
        <is>
          <t>1 BD / 1 BA</t>
        </is>
      </c>
      <c r="G121" s="54" t="inlineStr">
        <is>
          <t>1 BD / 1 BA</t>
        </is>
      </c>
      <c r="K121" s="36" t="inlineStr">
        <is>
          <t>Maria V. Basto</t>
        </is>
      </c>
      <c r="L121" s="55" t="n">
        <v>682</v>
      </c>
      <c r="M121" s="56" t="n">
        <v>1</v>
      </c>
      <c r="N121" s="56" t="n">
        <v>1</v>
      </c>
      <c r="Q121" s="57" t="inlineStr">
        <is>
          <t>Occ</t>
        </is>
      </c>
      <c r="U121" s="58" t="n">
        <v>1025</v>
      </c>
      <c r="V121" s="58" t="n">
        <v>975</v>
      </c>
      <c r="W121" s="58" t="n">
        <v>0</v>
      </c>
      <c r="X121" s="58" t="n">
        <v>0</v>
      </c>
      <c r="Y121" s="58" t="n">
        <v>0</v>
      </c>
      <c r="AA121" s="59" t="n">
        <v>46157</v>
      </c>
      <c r="AB121" s="59" t="n">
        <v>46531</v>
      </c>
    </row>
    <row r="122">
      <c r="D122" s="36" t="inlineStr">
        <is>
          <t>Pendale Towers</t>
        </is>
      </c>
      <c r="E122" s="54" t="inlineStr">
        <is>
          <t>Unit 701</t>
        </is>
      </c>
      <c r="F122" s="54" t="inlineStr">
        <is>
          <t>1 BD / 1 BA</t>
        </is>
      </c>
      <c r="G122" s="54" t="inlineStr">
        <is>
          <t>1 BD / 1 BA</t>
        </is>
      </c>
      <c r="K122" s="36" t="inlineStr">
        <is>
          <t>Kyle D. Scarbrough</t>
        </is>
      </c>
      <c r="L122" s="55" t="n">
        <v>682</v>
      </c>
      <c r="M122" s="56" t="n">
        <v>1</v>
      </c>
      <c r="N122" s="56" t="n">
        <v>1</v>
      </c>
      <c r="Q122" s="57" t="inlineStr">
        <is>
          <t>Occ</t>
        </is>
      </c>
      <c r="U122" s="58" t="n">
        <v>1025</v>
      </c>
      <c r="V122" s="58" t="n">
        <v>1015</v>
      </c>
      <c r="W122" s="58" t="n">
        <v>0</v>
      </c>
      <c r="X122" s="58" t="n">
        <v>0</v>
      </c>
      <c r="Y122" s="58" t="n">
        <v>0</v>
      </c>
      <c r="AA122" s="59" t="n">
        <v>44786</v>
      </c>
      <c r="AB122" s="59" t="n">
        <v>46615</v>
      </c>
    </row>
    <row r="123">
      <c r="D123" s="36" t="inlineStr">
        <is>
          <t>Pendale Towers</t>
        </is>
      </c>
      <c r="E123" s="54" t="inlineStr">
        <is>
          <t>Unit 702</t>
        </is>
      </c>
      <c r="F123" s="54" t="inlineStr">
        <is>
          <t>2 BD / 1.5 BA</t>
        </is>
      </c>
      <c r="G123" s="54" t="inlineStr">
        <is>
          <t>2 BD / 1.5 BA</t>
        </is>
      </c>
      <c r="K123" s="36" t="inlineStr">
        <is>
          <t>William  Sandoval</t>
        </is>
      </c>
      <c r="L123" s="55" t="n">
        <v>1008</v>
      </c>
      <c r="M123" s="56" t="n">
        <v>2</v>
      </c>
      <c r="N123" s="56" t="n">
        <v>1.5</v>
      </c>
      <c r="Q123" s="57" t="inlineStr">
        <is>
          <t>Occ</t>
        </is>
      </c>
      <c r="U123" s="58" t="n">
        <v>1500</v>
      </c>
      <c r="V123" s="58" t="n">
        <v>1354</v>
      </c>
      <c r="W123" s="58" t="n">
        <v>0</v>
      </c>
      <c r="X123" s="58" t="n">
        <v>0</v>
      </c>
      <c r="Y123" s="58" t="n">
        <v>0</v>
      </c>
      <c r="AA123" s="59" t="n">
        <v>45423</v>
      </c>
      <c r="AB123" s="59" t="n">
        <v>46587</v>
      </c>
    </row>
    <row r="124">
      <c r="D124" s="36" t="inlineStr">
        <is>
          <t>Pendale Towers</t>
        </is>
      </c>
      <c r="E124" s="54" t="inlineStr">
        <is>
          <t>Unit 703</t>
        </is>
      </c>
      <c r="F124" s="54" t="inlineStr">
        <is>
          <t>2 BD / 1.5 BA</t>
        </is>
      </c>
      <c r="G124" s="54" t="inlineStr">
        <is>
          <t>2 BD / 1.5 BA</t>
        </is>
      </c>
      <c r="K124" s="36" t="inlineStr">
        <is>
          <t>Bhavesh Nangia</t>
        </is>
      </c>
      <c r="L124" s="55" t="n">
        <v>1008</v>
      </c>
      <c r="M124" s="56" t="n">
        <v>2</v>
      </c>
      <c r="N124" s="56" t="n">
        <v>1.5</v>
      </c>
      <c r="Q124" s="57" t="inlineStr">
        <is>
          <t>Occ</t>
        </is>
      </c>
      <c r="U124" s="58" t="n">
        <v>1315</v>
      </c>
      <c r="V124" s="58" t="n">
        <v>1341</v>
      </c>
      <c r="W124" s="58" t="n">
        <v>0</v>
      </c>
      <c r="X124" s="58" t="n">
        <v>0</v>
      </c>
      <c r="Y124" s="58" t="n">
        <v>0</v>
      </c>
      <c r="AA124" s="59" t="n">
        <v>45583</v>
      </c>
      <c r="AB124" s="59" t="n">
        <v>46300</v>
      </c>
    </row>
    <row r="125">
      <c r="D125" s="36" t="inlineStr">
        <is>
          <t>Pendale Towers</t>
        </is>
      </c>
      <c r="E125" s="54" t="inlineStr">
        <is>
          <t>Unit 704</t>
        </is>
      </c>
      <c r="F125" s="54" t="inlineStr">
        <is>
          <t>1 BD / 1 BA</t>
        </is>
      </c>
      <c r="G125" s="54" t="inlineStr">
        <is>
          <t>1 BD / 1 BA</t>
        </is>
      </c>
      <c r="K125" s="36" t="inlineStr">
        <is>
          <t>Emily J. Rohe</t>
        </is>
      </c>
      <c r="L125" s="55" t="n">
        <v>682</v>
      </c>
      <c r="M125" s="56" t="n">
        <v>1</v>
      </c>
      <c r="N125" s="56" t="n">
        <v>1</v>
      </c>
      <c r="Q125" s="57" t="inlineStr">
        <is>
          <t>Occ</t>
        </is>
      </c>
      <c r="U125" s="58" t="n">
        <v>1025</v>
      </c>
      <c r="V125" s="58" t="n">
        <v>995</v>
      </c>
      <c r="W125" s="58" t="n">
        <v>0</v>
      </c>
      <c r="X125" s="58" t="n">
        <v>0</v>
      </c>
      <c r="Y125" s="58" t="n">
        <v>0</v>
      </c>
      <c r="AA125" s="59" t="n">
        <v>45555</v>
      </c>
      <c r="AB125" s="59" t="n">
        <v>46650</v>
      </c>
    </row>
    <row r="126">
      <c r="D126" s="36" t="inlineStr">
        <is>
          <t>Pendale Towers</t>
        </is>
      </c>
      <c r="E126" s="54" t="inlineStr">
        <is>
          <t>Unit 705</t>
        </is>
      </c>
      <c r="F126" s="54" t="inlineStr">
        <is>
          <t>3 BD / 2 BA</t>
        </is>
      </c>
      <c r="G126" s="54" t="inlineStr">
        <is>
          <t>3 BD / 2 BA</t>
        </is>
      </c>
      <c r="K126" s="36" t="inlineStr">
        <is>
          <t>Ellen M. Kiernan-Guinnip</t>
        </is>
      </c>
      <c r="L126" s="55" t="n">
        <v>1166</v>
      </c>
      <c r="M126" s="56" t="n">
        <v>3</v>
      </c>
      <c r="N126" s="56" t="n">
        <v>2</v>
      </c>
      <c r="Q126" s="57" t="inlineStr">
        <is>
          <t>Occ</t>
        </is>
      </c>
      <c r="U126" s="58" t="n">
        <v>1550</v>
      </c>
      <c r="V126" s="58" t="n">
        <v>1550</v>
      </c>
      <c r="W126" s="58" t="n">
        <v>0</v>
      </c>
      <c r="X126" s="58" t="n">
        <v>0</v>
      </c>
      <c r="Y126" s="58" t="n">
        <v>0</v>
      </c>
      <c r="AA126" s="59" t="n">
        <v>46081</v>
      </c>
      <c r="AB126" s="59" t="n">
        <v>46440</v>
      </c>
    </row>
    <row r="127">
      <c r="D127" s="36" t="inlineStr">
        <is>
          <t>Pendale Towers</t>
        </is>
      </c>
      <c r="E127" s="54" t="inlineStr">
        <is>
          <t>Unit 706</t>
        </is>
      </c>
      <c r="F127" s="54" t="inlineStr">
        <is>
          <t>1 BD / 1 BA</t>
        </is>
      </c>
      <c r="G127" s="54" t="inlineStr">
        <is>
          <t>1 BD / 1 BA</t>
        </is>
      </c>
      <c r="K127" s="36" t="inlineStr">
        <is>
          <t>Anna E. Rhoton</t>
        </is>
      </c>
      <c r="L127" s="55" t="n">
        <v>682</v>
      </c>
      <c r="M127" s="56" t="n">
        <v>1</v>
      </c>
      <c r="N127" s="56" t="n">
        <v>1</v>
      </c>
      <c r="Q127" s="57" t="inlineStr">
        <is>
          <t>Occ</t>
        </is>
      </c>
      <c r="U127" s="58" t="n">
        <v>1025</v>
      </c>
      <c r="V127" s="58" t="n">
        <v>995</v>
      </c>
      <c r="W127" s="58" t="n">
        <v>0</v>
      </c>
      <c r="X127" s="58" t="n">
        <v>0</v>
      </c>
      <c r="Y127" s="58" t="n">
        <v>0</v>
      </c>
      <c r="AA127" s="59" t="n">
        <v>45580</v>
      </c>
      <c r="AB127" s="59" t="n">
        <v>46314</v>
      </c>
    </row>
    <row r="128">
      <c r="D128" s="36" t="inlineStr">
        <is>
          <t>Pendale Towers</t>
        </is>
      </c>
      <c r="E128" s="54" t="inlineStr">
        <is>
          <t>Unit 707</t>
        </is>
      </c>
      <c r="F128" s="54" t="inlineStr">
        <is>
          <t>2 BD / 1.5 BA</t>
        </is>
      </c>
      <c r="G128" s="54" t="inlineStr">
        <is>
          <t>2 BD / 1.5 BA</t>
        </is>
      </c>
      <c r="K128" s="36" t="inlineStr">
        <is>
          <t>Roberta Kostyak</t>
        </is>
      </c>
      <c r="L128" s="55" t="n">
        <v>1008</v>
      </c>
      <c r="M128" s="56" t="n">
        <v>2</v>
      </c>
      <c r="N128" s="56" t="n">
        <v>1.5</v>
      </c>
      <c r="Q128" s="57" t="inlineStr">
        <is>
          <t>Occ</t>
        </is>
      </c>
      <c r="U128" s="58" t="n">
        <v>1315</v>
      </c>
      <c r="V128" s="58" t="n">
        <v>1315</v>
      </c>
      <c r="W128" s="58" t="n">
        <v>0</v>
      </c>
      <c r="X128" s="58" t="n">
        <v>0</v>
      </c>
      <c r="Y128" s="58" t="n">
        <v>0</v>
      </c>
      <c r="AA128" s="59" t="n">
        <v>44866</v>
      </c>
      <c r="AB128" s="59" t="n">
        <v>46314</v>
      </c>
    </row>
    <row r="129">
      <c r="D129" s="36" t="inlineStr">
        <is>
          <t>Pendale Towers</t>
        </is>
      </c>
      <c r="E129" s="54" t="inlineStr">
        <is>
          <t>Unit 708</t>
        </is>
      </c>
      <c r="F129" s="54" t="inlineStr">
        <is>
          <t>2 BD / 1.5 BA</t>
        </is>
      </c>
      <c r="G129" s="54" t="inlineStr">
        <is>
          <t>2 BD / 1.5 BA</t>
        </is>
      </c>
      <c r="K129" s="36" t="inlineStr">
        <is>
          <t>Dorothy   Bannow</t>
        </is>
      </c>
      <c r="L129" s="55" t="n">
        <v>1008</v>
      </c>
      <c r="M129" s="56" t="n">
        <v>2</v>
      </c>
      <c r="N129" s="56" t="n">
        <v>1.5</v>
      </c>
      <c r="Q129" s="57" t="inlineStr">
        <is>
          <t>Occ</t>
        </is>
      </c>
      <c r="U129" s="58" t="n">
        <v>1315</v>
      </c>
      <c r="V129" s="58" t="n">
        <v>1371</v>
      </c>
      <c r="W129" s="58" t="n">
        <v>0</v>
      </c>
      <c r="X129" s="58" t="n">
        <v>0</v>
      </c>
      <c r="Y129" s="58" t="n">
        <v>0</v>
      </c>
      <c r="AA129" s="59" t="n">
        <v>45017</v>
      </c>
      <c r="AB129" s="59" t="n">
        <v>46482</v>
      </c>
    </row>
    <row r="130">
      <c r="D130" s="36" t="inlineStr">
        <is>
          <t>Pendale Towers</t>
        </is>
      </c>
      <c r="E130" s="54" t="inlineStr">
        <is>
          <t>Unit 709</t>
        </is>
      </c>
      <c r="F130" s="54" t="inlineStr">
        <is>
          <t>1 BD / 1 BA</t>
        </is>
      </c>
      <c r="G130" s="54" t="inlineStr">
        <is>
          <t>1 BD / 1 BA</t>
        </is>
      </c>
      <c r="K130" s="36" t="inlineStr">
        <is>
          <t>Jean Wolfe</t>
        </is>
      </c>
      <c r="L130" s="55" t="n">
        <v>682</v>
      </c>
      <c r="M130" s="56" t="n">
        <v>1</v>
      </c>
      <c r="N130" s="56" t="n">
        <v>1</v>
      </c>
      <c r="Q130" s="57" t="inlineStr">
        <is>
          <t>Occ</t>
        </is>
      </c>
      <c r="U130" s="58" t="n">
        <v>1025</v>
      </c>
      <c r="V130" s="58" t="n">
        <v>1100</v>
      </c>
      <c r="W130" s="58" t="n">
        <v>0</v>
      </c>
      <c r="X130" s="58" t="n">
        <v>0</v>
      </c>
      <c r="Y130" s="58" t="n">
        <v>0</v>
      </c>
      <c r="AA130" s="59" t="n">
        <v>45108</v>
      </c>
      <c r="AB130" s="59" t="n">
        <v>46545</v>
      </c>
    </row>
    <row r="131">
      <c r="D131" s="36" t="inlineStr">
        <is>
          <t>Pendale Towers</t>
        </is>
      </c>
      <c r="E131" s="54" t="inlineStr">
        <is>
          <t>Unit 710</t>
        </is>
      </c>
      <c r="F131" s="54" t="inlineStr">
        <is>
          <t>1 BD / 1 BA</t>
        </is>
      </c>
      <c r="G131" s="54" t="inlineStr">
        <is>
          <t>1 BD / 1 BA</t>
        </is>
      </c>
      <c r="K131" s="36" t="inlineStr">
        <is>
          <t>Eileen Hawthorne</t>
        </is>
      </c>
      <c r="L131" s="55" t="n">
        <v>682</v>
      </c>
      <c r="M131" s="56" t="n">
        <v>1</v>
      </c>
      <c r="N131" s="56" t="n">
        <v>1</v>
      </c>
      <c r="Q131" s="57" t="inlineStr">
        <is>
          <t>Occ</t>
        </is>
      </c>
      <c r="U131" s="58" t="n">
        <v>1025</v>
      </c>
      <c r="V131" s="58" t="n">
        <v>995</v>
      </c>
      <c r="W131" s="58" t="n">
        <v>0</v>
      </c>
      <c r="X131" s="58" t="n">
        <v>0</v>
      </c>
      <c r="Y131" s="58" t="n">
        <v>0</v>
      </c>
      <c r="AA131" s="59" t="n">
        <v>44866</v>
      </c>
      <c r="AB131" s="59" t="n">
        <v>46314</v>
      </c>
    </row>
    <row r="132">
      <c r="D132" s="36" t="inlineStr">
        <is>
          <t>Pendale Towers</t>
        </is>
      </c>
      <c r="E132" s="54" t="inlineStr">
        <is>
          <t>Unit 711</t>
        </is>
      </c>
      <c r="F132" s="54" t="inlineStr">
        <is>
          <t>2 BD / 2 BA</t>
        </is>
      </c>
      <c r="G132" s="54" t="inlineStr">
        <is>
          <t>2 BD / 2 BA</t>
        </is>
      </c>
      <c r="K132" s="36" t="inlineStr">
        <is>
          <t>Isaac Reynolds</t>
        </is>
      </c>
      <c r="L132" s="55" t="n">
        <v>924</v>
      </c>
      <c r="M132" s="56" t="n">
        <v>2</v>
      </c>
      <c r="N132" s="56" t="n">
        <v>2</v>
      </c>
      <c r="Q132" s="57" t="inlineStr">
        <is>
          <t>Occ</t>
        </is>
      </c>
      <c r="U132" s="58" t="n">
        <v>1365</v>
      </c>
      <c r="V132" s="58" t="n">
        <v>1381</v>
      </c>
      <c r="W132" s="58" t="n">
        <v>0</v>
      </c>
      <c r="X132" s="58" t="n">
        <v>0</v>
      </c>
      <c r="Y132" s="58" t="n">
        <v>0</v>
      </c>
      <c r="AA132" s="59" t="n">
        <v>44896</v>
      </c>
      <c r="AB132" s="59" t="n">
        <v>46587</v>
      </c>
    </row>
    <row r="133">
      <c r="D133" s="36" t="inlineStr">
        <is>
          <t>Pendale Towers</t>
        </is>
      </c>
      <c r="E133" s="54" t="inlineStr">
        <is>
          <t>Unit 712</t>
        </is>
      </c>
      <c r="F133" s="54" t="inlineStr">
        <is>
          <t>2 BD / 1.5 BA</t>
        </is>
      </c>
      <c r="G133" s="54" t="inlineStr">
        <is>
          <t>2 BD / 1.5 BA</t>
        </is>
      </c>
      <c r="K133" s="36" t="inlineStr">
        <is>
          <t>Frederick  Barton</t>
        </is>
      </c>
      <c r="L133" s="55" t="n">
        <v>1008</v>
      </c>
      <c r="M133" s="56" t="n">
        <v>2</v>
      </c>
      <c r="N133" s="56" t="n">
        <v>1.5</v>
      </c>
      <c r="Q133" s="57" t="inlineStr">
        <is>
          <t>Occ</t>
        </is>
      </c>
      <c r="U133" s="58" t="n">
        <v>1500</v>
      </c>
      <c r="V133" s="58" t="n">
        <v>1368</v>
      </c>
      <c r="W133" s="58" t="n">
        <v>0</v>
      </c>
      <c r="X133" s="58" t="n">
        <v>0</v>
      </c>
      <c r="Y133" s="58" t="n">
        <v>0</v>
      </c>
      <c r="AA133" s="59" t="n">
        <v>45017</v>
      </c>
      <c r="AB133" s="59" t="n">
        <v>46482</v>
      </c>
    </row>
    <row r="134">
      <c r="D134" s="36" t="inlineStr">
        <is>
          <t>Pendale Towers</t>
        </is>
      </c>
      <c r="E134" s="54" t="inlineStr">
        <is>
          <t>Unit 714</t>
        </is>
      </c>
      <c r="F134" s="54" t="inlineStr">
        <is>
          <t>1 BD / 1 BA</t>
        </is>
      </c>
      <c r="G134" s="54" t="inlineStr">
        <is>
          <t>1 BD / 1 BA</t>
        </is>
      </c>
      <c r="K134" s="36" t="inlineStr">
        <is>
          <t>Geri O'Connor</t>
        </is>
      </c>
      <c r="L134" s="55" t="n">
        <v>682</v>
      </c>
      <c r="M134" s="56" t="n">
        <v>1</v>
      </c>
      <c r="N134" s="56" t="n">
        <v>1</v>
      </c>
      <c r="Q134" s="57" t="inlineStr">
        <is>
          <t>Occ</t>
        </is>
      </c>
      <c r="U134" s="58" t="n">
        <v>1025</v>
      </c>
      <c r="V134" s="58" t="n">
        <v>1097</v>
      </c>
      <c r="W134" s="58" t="n">
        <v>0</v>
      </c>
      <c r="X134" s="58" t="n">
        <v>0</v>
      </c>
      <c r="Y134" s="58" t="n">
        <v>0</v>
      </c>
      <c r="AA134" s="59" t="n">
        <v>45536</v>
      </c>
      <c r="AB134" s="59" t="n">
        <v>46251</v>
      </c>
    </row>
    <row r="135">
      <c r="D135" s="36" t="inlineStr">
        <is>
          <t>Pendale Towers</t>
        </is>
      </c>
      <c r="E135" s="54" t="inlineStr">
        <is>
          <t>Unit 715</t>
        </is>
      </c>
      <c r="F135" s="54" t="inlineStr">
        <is>
          <t>2 BD / 1.5 BA</t>
        </is>
      </c>
      <c r="G135" s="54" t="inlineStr">
        <is>
          <t>2 BD / 1.5 BA</t>
        </is>
      </c>
      <c r="K135" s="36" t="inlineStr">
        <is>
          <t>Maria    Vitsas</t>
        </is>
      </c>
      <c r="L135" s="55" t="n">
        <v>1008</v>
      </c>
      <c r="M135" s="56" t="n">
        <v>2</v>
      </c>
      <c r="N135" s="56" t="n">
        <v>1.5</v>
      </c>
      <c r="Q135" s="57" t="inlineStr">
        <is>
          <t>Occ</t>
        </is>
      </c>
      <c r="U135" s="58" t="n">
        <v>1500</v>
      </c>
      <c r="V135" s="58" t="n">
        <v>1414</v>
      </c>
      <c r="W135" s="58" t="n">
        <v>0</v>
      </c>
      <c r="X135" s="58" t="n">
        <v>0</v>
      </c>
      <c r="Y135" s="58" t="n">
        <v>0</v>
      </c>
      <c r="AA135" s="59" t="n">
        <v>44986</v>
      </c>
      <c r="AB135" s="59" t="n">
        <v>46482</v>
      </c>
    </row>
    <row r="136">
      <c r="D136" s="36" t="inlineStr">
        <is>
          <t>Pendale Towers</t>
        </is>
      </c>
      <c r="E136" s="54" t="inlineStr">
        <is>
          <t>Unit 716</t>
        </is>
      </c>
      <c r="F136" s="54" t="inlineStr">
        <is>
          <t>2 BD / 1.5 BA</t>
        </is>
      </c>
      <c r="G136" s="54" t="inlineStr">
        <is>
          <t>2 BD / 1.5 BA</t>
        </is>
      </c>
      <c r="K136" s="36" t="inlineStr">
        <is>
          <t>Xiongyue Ning</t>
        </is>
      </c>
      <c r="L136" s="55" t="n">
        <v>1008</v>
      </c>
      <c r="M136" s="56" t="n">
        <v>2</v>
      </c>
      <c r="N136" s="56" t="n">
        <v>1.5</v>
      </c>
      <c r="Q136" s="57" t="inlineStr">
        <is>
          <t>Occ</t>
        </is>
      </c>
      <c r="U136" s="58" t="n">
        <v>1500</v>
      </c>
      <c r="V136" s="58" t="n">
        <v>1401</v>
      </c>
      <c r="W136" s="58" t="n">
        <v>0</v>
      </c>
      <c r="X136" s="58" t="n">
        <v>0</v>
      </c>
      <c r="Y136" s="58" t="n">
        <v>0</v>
      </c>
      <c r="AA136" s="59" t="n">
        <v>45413</v>
      </c>
      <c r="AB136" s="59" t="n">
        <v>46559</v>
      </c>
    </row>
    <row r="137">
      <c r="D137" s="36" t="inlineStr">
        <is>
          <t>Pendale Towers</t>
        </is>
      </c>
      <c r="E137" s="54" t="inlineStr">
        <is>
          <t>Unit 717</t>
        </is>
      </c>
      <c r="F137" s="54" t="inlineStr">
        <is>
          <t>1 BD / 1 BA</t>
        </is>
      </c>
      <c r="G137" s="54" t="inlineStr">
        <is>
          <t>1 BD / 1 BA</t>
        </is>
      </c>
      <c r="K137" s="36" t="inlineStr">
        <is>
          <t>Koblan Amangeldiyev</t>
        </is>
      </c>
      <c r="L137" s="55" t="n">
        <v>682</v>
      </c>
      <c r="M137" s="56" t="n">
        <v>1</v>
      </c>
      <c r="N137" s="56" t="n">
        <v>1</v>
      </c>
      <c r="Q137" s="57" t="inlineStr">
        <is>
          <t>Occ</t>
        </is>
      </c>
      <c r="U137" s="58" t="n">
        <v>1025</v>
      </c>
      <c r="V137" s="58" t="n">
        <v>1075</v>
      </c>
      <c r="W137" s="58" t="n">
        <v>0</v>
      </c>
      <c r="X137" s="58" t="n">
        <v>0</v>
      </c>
      <c r="Y137" s="58" t="n">
        <v>0</v>
      </c>
      <c r="AA137" s="59" t="n">
        <v>46014</v>
      </c>
      <c r="AB137" s="59" t="n">
        <v>46629</v>
      </c>
    </row>
    <row r="138">
      <c r="C138" s="60" t="inlineStr">
        <is>
          <t>Total / Wtd. Average</t>
        </is>
      </c>
      <c r="D138" s="61" t="n"/>
      <c r="E138" s="61" t="n"/>
      <c r="F138" s="61" t="n"/>
      <c r="G138" s="62" t="n">
        <v>130</v>
      </c>
      <c r="H138" s="61" t="n"/>
      <c r="I138" s="61" t="n"/>
      <c r="J138" s="61" t="n"/>
      <c r="K138" s="61" t="n"/>
      <c r="L138" s="63" t="n">
        <v>114814</v>
      </c>
      <c r="M138" s="61" t="n"/>
      <c r="N138" s="61" t="n"/>
      <c r="O138" s="61" t="n"/>
      <c r="P138" s="61" t="n"/>
      <c r="Q138" s="61" t="n"/>
      <c r="R138" s="61" t="n"/>
      <c r="S138" s="61" t="n"/>
      <c r="T138" s="61" t="n"/>
      <c r="U138" s="64" t="n">
        <v>165610</v>
      </c>
      <c r="V138" s="64" t="n">
        <v>158710</v>
      </c>
      <c r="W138" s="64" t="n">
        <v>0</v>
      </c>
      <c r="X138" s="64" t="n">
        <v>0</v>
      </c>
      <c r="Y138" s="64" t="n">
        <v>0</v>
      </c>
      <c r="Z138" s="61" t="n"/>
      <c r="AA138" s="61" t="n"/>
      <c r="AB138" s="61" t="n"/>
      <c r="AC138" s="61" t="n"/>
      <c r="AD138" s="61" t="n"/>
      <c r="AE138" s="65" t="n">
        <v>0</v>
      </c>
      <c r="AF138" s="65" t="n">
        <v>0</v>
      </c>
      <c r="AG138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Y161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1 BD / 1 BA</t>
        </is>
      </c>
      <c r="D5" s="72" t="inlineStr">
        <is>
          <t>1 BD / 1 BA</t>
        </is>
      </c>
      <c r="E5" s="73" t="n">
        <v>1</v>
      </c>
      <c r="F5" s="74" t="n">
        <v>1</v>
      </c>
      <c r="G5" s="73" t="inlineStr">
        <is>
          <t>No</t>
        </is>
      </c>
      <c r="H5" s="75">
        <f>COUNTIFS($D$32:$D$161,$C5)</f>
        <v/>
      </c>
      <c r="I5" s="75">
        <f>COUNTIFS($D$32:$D$161,$C5,$C$32:$C$161,"Occ")+COUNTIFS($D$32:$D$161,$C5,$C$32:$C$161,"Admin")+COUNTIFS($D$32:$D$161,$C5,$C$32:$C$161,"Down")+COUNTIFS($D$32:$D$161,$C5,$C$32:$C$161,"Super")+COUNTIFS($D$32:$D$161,$C5,$C$32:$C$161,"Model")</f>
        <v/>
      </c>
      <c r="J5" s="75">
        <f>COUNTIFS($D$32:$D$161,$C5,$C$32:$C$161,"Vac")</f>
        <v/>
      </c>
      <c r="K5" s="75">
        <f>IFERROR(AVERAGEIFS($J$32:$J$161,$D$32:$D$161,$C5),"n/a")</f>
        <v/>
      </c>
      <c r="L5" s="75">
        <f>SUMIFS($J$32:$J$161,$D$32:$D$161,$C5)</f>
        <v/>
      </c>
      <c r="M5" s="75">
        <f>SUMIFS($J$32:$J$161,$D$32:$D$161,$C5,$C$32:$C$161,"Occ")+SUMIFS($J$32:$J$161,$D$32:$D$161,$C5,$C$32:$C$161,"Admin")+SUMIFS($J$32:$J$161,$D$32:$D$161,$C5,$C$32:$C$161,"Down")+SUMIFS($J$32:$J$161,$D$32:$D$161,$C5,$C$32:$C$161,"Super")+SUMIFS($J$32:$J$161,$D$32:$D$161,$C5,$C$32:$C$161,"Model")</f>
        <v/>
      </c>
      <c r="N5" s="75">
        <f>SUMIFS($J$32:$J$161,$D$32:$D$161,$C5,$C$32:$C$161,"Vac")</f>
        <v/>
      </c>
      <c r="O5" s="75">
        <f>SUMIFS($L$32:$L$161,$D$32:$D$161,$C5)</f>
        <v/>
      </c>
      <c r="P5" s="75">
        <f>SUMIFS($M$32:$M$161,$D$32:$D$161,$C5)</f>
        <v/>
      </c>
      <c r="Q5" s="75">
        <f>SUMIFS($R$32:$R$161,$D$32:$D$161,$C5)</f>
        <v/>
      </c>
      <c r="R5" s="75">
        <f>SUMIFS($S$32:$S$161,$D$32:$D$161,$C5)</f>
        <v/>
      </c>
      <c r="S5" s="75">
        <f>SUMIFS($T$32:$T$161,$D$32:$D$161,$C5)</f>
        <v/>
      </c>
    </row>
    <row r="6">
      <c r="C6" s="71" t="inlineStr">
        <is>
          <t>2 BD / 1.5 BA</t>
        </is>
      </c>
      <c r="D6" s="72" t="inlineStr">
        <is>
          <t>2 BD / 1.5 BA</t>
        </is>
      </c>
      <c r="E6" s="73" t="n">
        <v>2</v>
      </c>
      <c r="F6" s="74" t="n">
        <v>1.5</v>
      </c>
      <c r="G6" s="73" t="inlineStr">
        <is>
          <t>No</t>
        </is>
      </c>
      <c r="H6" s="75">
        <f>COUNTIFS($D$32:$D$161,$C6)</f>
        <v/>
      </c>
      <c r="I6" s="75">
        <f>COUNTIFS($D$32:$D$161,$C6,$C$32:$C$161,"Occ")+COUNTIFS($D$32:$D$161,$C6,$C$32:$C$161,"Admin")+COUNTIFS($D$32:$D$161,$C6,$C$32:$C$161,"Down")+COUNTIFS($D$32:$D$161,$C6,$C$32:$C$161,"Super")+COUNTIFS($D$32:$D$161,$C6,$C$32:$C$161,"Model")</f>
        <v/>
      </c>
      <c r="J6" s="75">
        <f>COUNTIFS($D$32:$D$161,$C6,$C$32:$C$161,"Vac")</f>
        <v/>
      </c>
      <c r="K6" s="75">
        <f>IFERROR(AVERAGEIFS($J$32:$J$161,$D$32:$D$161,$C6),"n/a")</f>
        <v/>
      </c>
      <c r="L6" s="75">
        <f>SUMIFS($J$32:$J$161,$D$32:$D$161,$C6)</f>
        <v/>
      </c>
      <c r="M6" s="75">
        <f>SUMIFS($J$32:$J$161,$D$32:$D$161,$C6,$C$32:$C$161,"Occ")+SUMIFS($J$32:$J$161,$D$32:$D$161,$C6,$C$32:$C$161,"Admin")+SUMIFS($J$32:$J$161,$D$32:$D$161,$C6,$C$32:$C$161,"Down")+SUMIFS($J$32:$J$161,$D$32:$D$161,$C6,$C$32:$C$161,"Super")+SUMIFS($J$32:$J$161,$D$32:$D$161,$C6,$C$32:$C$161,"Model")</f>
        <v/>
      </c>
      <c r="N6" s="75">
        <f>SUMIFS($J$32:$J$161,$D$32:$D$161,$C6,$C$32:$C$161,"Vac")</f>
        <v/>
      </c>
      <c r="O6" s="75">
        <f>SUMIFS($L$32:$L$161,$D$32:$D$161,$C6)</f>
        <v/>
      </c>
      <c r="P6" s="75">
        <f>SUMIFS($M$32:$M$161,$D$32:$D$161,$C6)</f>
        <v/>
      </c>
      <c r="Q6" s="75">
        <f>SUMIFS($R$32:$R$161,$D$32:$D$161,$C6)</f>
        <v/>
      </c>
      <c r="R6" s="75">
        <f>SUMIFS($S$32:$S$161,$D$32:$D$161,$C6)</f>
        <v/>
      </c>
      <c r="S6" s="75">
        <f>SUMIFS($T$32:$T$161,$D$32:$D$161,$C6)</f>
        <v/>
      </c>
    </row>
    <row r="7">
      <c r="C7" s="71" t="inlineStr">
        <is>
          <t>2 BD / 2 BA</t>
        </is>
      </c>
      <c r="D7" s="72" t="inlineStr">
        <is>
          <t>2 BD / 2 BA</t>
        </is>
      </c>
      <c r="E7" s="73" t="n">
        <v>2</v>
      </c>
      <c r="F7" s="74" t="n">
        <v>2</v>
      </c>
      <c r="G7" s="73" t="inlineStr">
        <is>
          <t>No</t>
        </is>
      </c>
      <c r="H7" s="75">
        <f>COUNTIFS($D$32:$D$161,$C7)</f>
        <v/>
      </c>
      <c r="I7" s="75">
        <f>COUNTIFS($D$32:$D$161,$C7,$C$32:$C$161,"Occ")+COUNTIFS($D$32:$D$161,$C7,$C$32:$C$161,"Admin")+COUNTIFS($D$32:$D$161,$C7,$C$32:$C$161,"Down")+COUNTIFS($D$32:$D$161,$C7,$C$32:$C$161,"Super")+COUNTIFS($D$32:$D$161,$C7,$C$32:$C$161,"Model")</f>
        <v/>
      </c>
      <c r="J7" s="75">
        <f>COUNTIFS($D$32:$D$161,$C7,$C$32:$C$161,"Vac")</f>
        <v/>
      </c>
      <c r="K7" s="75">
        <f>IFERROR(AVERAGEIFS($J$32:$J$161,$D$32:$D$161,$C7),"n/a")</f>
        <v/>
      </c>
      <c r="L7" s="75">
        <f>SUMIFS($J$32:$J$161,$D$32:$D$161,$C7)</f>
        <v/>
      </c>
      <c r="M7" s="75">
        <f>SUMIFS($J$32:$J$161,$D$32:$D$161,$C7,$C$32:$C$161,"Occ")+SUMIFS($J$32:$J$161,$D$32:$D$161,$C7,$C$32:$C$161,"Admin")+SUMIFS($J$32:$J$161,$D$32:$D$161,$C7,$C$32:$C$161,"Down")+SUMIFS($J$32:$J$161,$D$32:$D$161,$C7,$C$32:$C$161,"Super")+SUMIFS($J$32:$J$161,$D$32:$D$161,$C7,$C$32:$C$161,"Model")</f>
        <v/>
      </c>
      <c r="N7" s="75">
        <f>SUMIFS($J$32:$J$161,$D$32:$D$161,$C7,$C$32:$C$161,"Vac")</f>
        <v/>
      </c>
      <c r="O7" s="75">
        <f>SUMIFS($L$32:$L$161,$D$32:$D$161,$C7)</f>
        <v/>
      </c>
      <c r="P7" s="75">
        <f>SUMIFS($M$32:$M$161,$D$32:$D$161,$C7)</f>
        <v/>
      </c>
      <c r="Q7" s="75">
        <f>SUMIFS($R$32:$R$161,$D$32:$D$161,$C7)</f>
        <v/>
      </c>
      <c r="R7" s="75">
        <f>SUMIFS($S$32:$S$161,$D$32:$D$161,$C7)</f>
        <v/>
      </c>
      <c r="S7" s="75">
        <f>SUMIFS($T$32:$T$161,$D$32:$D$161,$C7)</f>
        <v/>
      </c>
    </row>
    <row r="8">
      <c r="C8" s="71" t="inlineStr">
        <is>
          <t>3 BD / 2 BA</t>
        </is>
      </c>
      <c r="D8" s="72" t="inlineStr">
        <is>
          <t>3 BD / 2 BA</t>
        </is>
      </c>
      <c r="E8" s="73" t="n">
        <v>3</v>
      </c>
      <c r="F8" s="74" t="n">
        <v>2</v>
      </c>
      <c r="G8" s="73" t="inlineStr">
        <is>
          <t>No</t>
        </is>
      </c>
      <c r="H8" s="75">
        <f>COUNTIFS($D$32:$D$161,$C8)</f>
        <v/>
      </c>
      <c r="I8" s="75">
        <f>COUNTIFS($D$32:$D$161,$C8,$C$32:$C$161,"Occ")+COUNTIFS($D$32:$D$161,$C8,$C$32:$C$161,"Admin")+COUNTIFS($D$32:$D$161,$C8,$C$32:$C$161,"Down")+COUNTIFS($D$32:$D$161,$C8,$C$32:$C$161,"Super")+COUNTIFS($D$32:$D$161,$C8,$C$32:$C$161,"Model")</f>
        <v/>
      </c>
      <c r="J8" s="75">
        <f>COUNTIFS($D$32:$D$161,$C8,$C$32:$C$161,"Vac")</f>
        <v/>
      </c>
      <c r="K8" s="75">
        <f>IFERROR(AVERAGEIFS($J$32:$J$161,$D$32:$D$161,$C8),"n/a")</f>
        <v/>
      </c>
      <c r="L8" s="75">
        <f>SUMIFS($J$32:$J$161,$D$32:$D$161,$C8)</f>
        <v/>
      </c>
      <c r="M8" s="75">
        <f>SUMIFS($J$32:$J$161,$D$32:$D$161,$C8,$C$32:$C$161,"Occ")+SUMIFS($J$32:$J$161,$D$32:$D$161,$C8,$C$32:$C$161,"Admin")+SUMIFS($J$32:$J$161,$D$32:$D$161,$C8,$C$32:$C$161,"Down")+SUMIFS($J$32:$J$161,$D$32:$D$161,$C8,$C$32:$C$161,"Super")+SUMIFS($J$32:$J$161,$D$32:$D$161,$C8,$C$32:$C$161,"Model")</f>
        <v/>
      </c>
      <c r="N8" s="75">
        <f>SUMIFS($J$32:$J$161,$D$32:$D$161,$C8,$C$32:$C$161,"Vac")</f>
        <v/>
      </c>
      <c r="O8" s="75">
        <f>SUMIFS($L$32:$L$161,$D$32:$D$161,$C8)</f>
        <v/>
      </c>
      <c r="P8" s="75">
        <f>SUMIFS($M$32:$M$161,$D$32:$D$161,$C8)</f>
        <v/>
      </c>
      <c r="Q8" s="75">
        <f>SUMIFS($R$32:$R$161,$D$32:$D$161,$C8)</f>
        <v/>
      </c>
      <c r="R8" s="75">
        <f>SUMIFS($S$32:$S$161,$D$32:$D$161,$C8)</f>
        <v/>
      </c>
      <c r="S8" s="75">
        <f>SUMIFS($T$32:$T$161,$D$32:$D$161,$C8)</f>
        <v/>
      </c>
    </row>
    <row r="9">
      <c r="C9" s="68" t="inlineStr">
        <is>
          <t>Totals</t>
        </is>
      </c>
      <c r="H9" s="76">
        <f>SUM(H5:H8)</f>
        <v/>
      </c>
      <c r="I9" s="76">
        <f>SUM(I5:I8)</f>
        <v/>
      </c>
      <c r="J9" s="76">
        <f>SUM(J5:J8)</f>
        <v/>
      </c>
      <c r="L9" s="76">
        <f>SUM(L5:L8)</f>
        <v/>
      </c>
      <c r="M9" s="76">
        <f>SUM(M5:M8)</f>
        <v/>
      </c>
      <c r="N9" s="76">
        <f>SUM(N5:N8)</f>
        <v/>
      </c>
      <c r="O9" s="76">
        <f>SUM(O5:O8)</f>
        <v/>
      </c>
      <c r="P9" s="76">
        <f>SUM(P5:P8)</f>
        <v/>
      </c>
      <c r="Q9" s="76">
        <f>SUM(Q5:Q8)</f>
        <v/>
      </c>
      <c r="R9" s="76">
        <f>SUM(R5:R8)</f>
        <v/>
      </c>
      <c r="S9" s="76">
        <f>SUM(S5:S8)</f>
        <v/>
      </c>
    </row>
    <row r="10">
      <c r="C10" s="68" t="inlineStr">
        <is>
          <t>%</t>
        </is>
      </c>
      <c r="I10" s="77">
        <f>I9/$H$9</f>
        <v/>
      </c>
      <c r="J10" s="77">
        <f>J9/$H$9</f>
        <v/>
      </c>
      <c r="M10" s="77">
        <f>IFERROR(M9/$L$9,"n/a")</f>
        <v/>
      </c>
      <c r="N10" s="77">
        <f>IFERROR(N9/$L$9,"n/a")</f>
        <v/>
      </c>
    </row>
    <row r="14">
      <c r="C14" s="78" t="inlineStr">
        <is>
          <t>Notes:</t>
        </is>
      </c>
    </row>
    <row r="15">
      <c r="C15" s="78" t="inlineStr">
        <is>
          <t>1. Vacant units market rent is the per-unit market/asking rent from the source.</t>
        </is>
      </c>
    </row>
    <row r="16">
      <c r="C16" s="78" t="inlineStr">
        <is>
          <t>2. BD/BA count is from the Unit Type mapping above (edit the yellow cells to adjust).</t>
        </is>
      </c>
    </row>
    <row r="21">
      <c r="C21" s="78" t="inlineStr">
        <is>
          <t>Property Name</t>
        </is>
      </c>
      <c r="D21" s="78" t="inlineStr">
        <is>
          <t>Pendale Towers</t>
        </is>
      </c>
    </row>
    <row r="22">
      <c r="C22" s="78" t="inlineStr">
        <is>
          <t>Rent Roll Date</t>
        </is>
      </c>
      <c r="D22" s="79" t="n">
        <v>46233</v>
      </c>
    </row>
    <row r="30">
      <c r="Y30" s="67" t="inlineStr">
        <is>
          <t>Rent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</row>
    <row r="32">
      <c r="A32" s="72">
        <f>$D$21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INDEX($C$5:$C$8,MATCH(I32,$D$5:$D$8,0))</f>
        <v/>
      </c>
      <c r="E32" s="72">
        <f>INDEX($E$5:$E$8,MATCH(D32,$C$5:$C$8,0))</f>
        <v/>
      </c>
      <c r="F32" s="72">
        <f>INDEX($F$5:$F$8,MATCH(D32,$C$5:$C$8,0))</f>
        <v/>
      </c>
      <c r="G32" s="72">
        <f>INDEX($G$5:$G$8,MATCH(D32,$C$5:$C$8,0))</f>
        <v/>
      </c>
      <c r="H32" s="72" t="inlineStr">
        <is>
          <t>Guest Suite (3rd Floor)</t>
        </is>
      </c>
      <c r="I32" s="72" t="inlineStr">
        <is>
          <t>1 BD / 1 BA</t>
        </is>
      </c>
      <c r="J32" s="80" t="n">
        <v>682</v>
      </c>
      <c r="K32" s="72" t="inlineStr">
        <is>
          <t>Birgo AirBnB</t>
        </is>
      </c>
      <c r="L32" s="81" t="n">
        <v>1025</v>
      </c>
      <c r="M32" s="81">
        <f>Y32</f>
        <v/>
      </c>
      <c r="O32" s="82" t="n">
        <v>44197</v>
      </c>
      <c r="R32" s="81" t="n">
        <v>0</v>
      </c>
      <c r="S32" s="81" t="n">
        <v>0</v>
      </c>
      <c r="T32" s="81" t="n">
        <v>0</v>
      </c>
      <c r="Y32" s="81" t="n">
        <v>1025</v>
      </c>
    </row>
    <row r="33">
      <c r="A33" s="72">
        <f>$D$21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INDEX($C$5:$C$8,MATCH(I33,$D$5:$D$8,0))</f>
        <v/>
      </c>
      <c r="E33" s="72">
        <f>INDEX($E$5:$E$8,MATCH(D33,$C$5:$C$8,0))</f>
        <v/>
      </c>
      <c r="F33" s="72">
        <f>INDEX($F$5:$F$8,MATCH(D33,$C$5:$C$8,0))</f>
        <v/>
      </c>
      <c r="G33" s="72">
        <f>INDEX($G$5:$G$8,MATCH(D33,$C$5:$C$8,0))</f>
        <v/>
      </c>
      <c r="H33" s="72" t="inlineStr">
        <is>
          <t>Penthouse P-1</t>
        </is>
      </c>
      <c r="I33" s="72" t="inlineStr">
        <is>
          <t>3 BD / 2 BA</t>
        </is>
      </c>
      <c r="J33" s="80" t="n">
        <v>1421</v>
      </c>
      <c r="K33" s="72" t="inlineStr">
        <is>
          <t>Jennifer Jaumotte</t>
        </is>
      </c>
      <c r="L33" s="81" t="n">
        <v>1845</v>
      </c>
      <c r="M33" s="81">
        <f>Y33</f>
        <v/>
      </c>
      <c r="O33" s="82" t="n">
        <v>45108</v>
      </c>
      <c r="P33" s="82" t="n">
        <v>46559</v>
      </c>
      <c r="R33" s="81" t="n">
        <v>0</v>
      </c>
      <c r="S33" s="81" t="n">
        <v>0</v>
      </c>
      <c r="T33" s="81" t="n">
        <v>0</v>
      </c>
      <c r="Y33" s="81" t="n">
        <v>2106</v>
      </c>
    </row>
    <row r="34">
      <c r="A34" s="72">
        <f>$D$21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INDEX($C$5:$C$8,MATCH(I34,$D$5:$D$8,0))</f>
        <v/>
      </c>
      <c r="E34" s="72">
        <f>INDEX($E$5:$E$8,MATCH(D34,$C$5:$C$8,0))</f>
        <v/>
      </c>
      <c r="F34" s="72">
        <f>INDEX($F$5:$F$8,MATCH(D34,$C$5:$C$8,0))</f>
        <v/>
      </c>
      <c r="G34" s="72">
        <f>INDEX($G$5:$G$8,MATCH(D34,$C$5:$C$8,0))</f>
        <v/>
      </c>
      <c r="H34" s="72" t="inlineStr">
        <is>
          <t>Penthouse P-2</t>
        </is>
      </c>
      <c r="I34" s="72" t="inlineStr">
        <is>
          <t>2 BD / 2 BA</t>
        </is>
      </c>
      <c r="J34" s="80" t="n">
        <v>1044</v>
      </c>
      <c r="K34" s="72" t="inlineStr">
        <is>
          <t>Karen  Gallimore</t>
        </is>
      </c>
      <c r="L34" s="81" t="n">
        <v>1465</v>
      </c>
      <c r="M34" s="81">
        <f>Y34</f>
        <v/>
      </c>
      <c r="O34" s="82" t="n">
        <v>44958</v>
      </c>
      <c r="P34" s="82" t="n">
        <v>46510</v>
      </c>
      <c r="R34" s="81" t="n">
        <v>0</v>
      </c>
      <c r="S34" s="81" t="n">
        <v>0</v>
      </c>
      <c r="T34" s="81" t="n">
        <v>0</v>
      </c>
      <c r="Y34" s="81" t="n">
        <v>1923</v>
      </c>
    </row>
    <row r="35">
      <c r="A35" s="72">
        <f>$D$21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INDEX($C$5:$C$8,MATCH(I35,$D$5:$D$8,0))</f>
        <v/>
      </c>
      <c r="E35" s="72">
        <f>INDEX($E$5:$E$8,MATCH(D35,$C$5:$C$8,0))</f>
        <v/>
      </c>
      <c r="F35" s="72">
        <f>INDEX($F$5:$F$8,MATCH(D35,$C$5:$C$8,0))</f>
        <v/>
      </c>
      <c r="G35" s="72">
        <f>INDEX($G$5:$G$8,MATCH(D35,$C$5:$C$8,0))</f>
        <v/>
      </c>
      <c r="H35" s="72" t="inlineStr">
        <is>
          <t>Penthouse P-3</t>
        </is>
      </c>
      <c r="I35" s="72" t="inlineStr">
        <is>
          <t>2 BD / 2 BA</t>
        </is>
      </c>
      <c r="J35" s="80" t="n">
        <v>1044</v>
      </c>
      <c r="K35" s="72" t="inlineStr">
        <is>
          <t>Mary                   Amenta</t>
        </is>
      </c>
      <c r="L35" s="81" t="n">
        <v>1465</v>
      </c>
      <c r="M35" s="81">
        <f>Y35</f>
        <v/>
      </c>
      <c r="O35" s="82" t="n">
        <v>44866</v>
      </c>
      <c r="P35" s="82" t="n">
        <v>46314</v>
      </c>
      <c r="R35" s="81" t="n">
        <v>0</v>
      </c>
      <c r="S35" s="81" t="n">
        <v>0</v>
      </c>
      <c r="T35" s="81" t="n">
        <v>0</v>
      </c>
      <c r="Y35" s="81" t="n">
        <v>1709</v>
      </c>
    </row>
    <row r="36">
      <c r="A36" s="72">
        <f>$D$21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INDEX($C$5:$C$8,MATCH(I36,$D$5:$D$8,0))</f>
        <v/>
      </c>
      <c r="E36" s="72">
        <f>INDEX($E$5:$E$8,MATCH(D36,$C$5:$C$8,0))</f>
        <v/>
      </c>
      <c r="F36" s="72">
        <f>INDEX($F$5:$F$8,MATCH(D36,$C$5:$C$8,0))</f>
        <v/>
      </c>
      <c r="G36" s="72">
        <f>INDEX($G$5:$G$8,MATCH(D36,$C$5:$C$8,0))</f>
        <v/>
      </c>
      <c r="H36" s="72" t="inlineStr">
        <is>
          <t>Penthouse P-4</t>
        </is>
      </c>
      <c r="I36" s="72" t="inlineStr">
        <is>
          <t>3 BD / 2 BA</t>
        </is>
      </c>
      <c r="J36" s="80" t="n">
        <v>1421</v>
      </c>
      <c r="K36" s="72" t="inlineStr">
        <is>
          <t>Paul  Battisti</t>
        </is>
      </c>
      <c r="L36" s="81" t="n">
        <v>1845</v>
      </c>
      <c r="M36" s="81">
        <f>Y36</f>
        <v/>
      </c>
      <c r="O36" s="82" t="n">
        <v>44927</v>
      </c>
      <c r="P36" s="82" t="n">
        <v>46496</v>
      </c>
      <c r="R36" s="81" t="n">
        <v>0</v>
      </c>
      <c r="S36" s="81" t="n">
        <v>0</v>
      </c>
      <c r="T36" s="81" t="n">
        <v>0</v>
      </c>
      <c r="Y36" s="81" t="n">
        <v>1897</v>
      </c>
    </row>
    <row r="37">
      <c r="A37" s="72">
        <f>$D$21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INDEX($C$5:$C$8,MATCH(I37,$D$5:$D$8,0))</f>
        <v/>
      </c>
      <c r="E37" s="72">
        <f>INDEX($E$5:$E$8,MATCH(D37,$C$5:$C$8,0))</f>
        <v/>
      </c>
      <c r="F37" s="72">
        <f>INDEX($F$5:$F$8,MATCH(D37,$C$5:$C$8,0))</f>
        <v/>
      </c>
      <c r="G37" s="72">
        <f>INDEX($G$5:$G$8,MATCH(D37,$C$5:$C$8,0))</f>
        <v/>
      </c>
      <c r="H37" s="72" t="inlineStr">
        <is>
          <t>Penthouse P-5</t>
        </is>
      </c>
      <c r="I37" s="72" t="inlineStr">
        <is>
          <t>3 BD / 2 BA</t>
        </is>
      </c>
      <c r="J37" s="80" t="n">
        <v>1384</v>
      </c>
      <c r="K37" s="72" t="inlineStr">
        <is>
          <t>Thomas   Burgunder</t>
        </is>
      </c>
      <c r="L37" s="81" t="n">
        <v>1845</v>
      </c>
      <c r="M37" s="81">
        <f>Y37</f>
        <v/>
      </c>
      <c r="O37" s="82" t="n">
        <v>45017</v>
      </c>
      <c r="P37" s="82" t="n">
        <v>46510</v>
      </c>
      <c r="R37" s="81" t="n">
        <v>0</v>
      </c>
      <c r="S37" s="81" t="n">
        <v>0</v>
      </c>
      <c r="T37" s="81" t="n">
        <v>0</v>
      </c>
      <c r="Y37" s="81" t="n">
        <v>1919</v>
      </c>
    </row>
    <row r="38">
      <c r="A38" s="72">
        <f>$D$21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INDEX($C$5:$C$8,MATCH(I38,$D$5:$D$8,0))</f>
        <v/>
      </c>
      <c r="E38" s="72">
        <f>INDEX($E$5:$E$8,MATCH(D38,$C$5:$C$8,0))</f>
        <v/>
      </c>
      <c r="F38" s="72">
        <f>INDEX($F$5:$F$8,MATCH(D38,$C$5:$C$8,0))</f>
        <v/>
      </c>
      <c r="G38" s="72">
        <f>INDEX($G$5:$G$8,MATCH(D38,$C$5:$C$8,0))</f>
        <v/>
      </c>
      <c r="H38" s="72" t="inlineStr">
        <is>
          <t>Penthouse P-6</t>
        </is>
      </c>
      <c r="I38" s="72" t="inlineStr">
        <is>
          <t>3 BD / 2 BA</t>
        </is>
      </c>
      <c r="J38" s="80" t="n">
        <v>1232</v>
      </c>
      <c r="K38" s="72" t="inlineStr">
        <is>
          <t>Samantha E. Cobaugh</t>
        </is>
      </c>
      <c r="L38" s="81" t="n">
        <v>1845</v>
      </c>
      <c r="M38" s="81">
        <f>Y38</f>
        <v/>
      </c>
      <c r="O38" s="82" t="n">
        <v>46203</v>
      </c>
      <c r="P38" s="82" t="n">
        <v>46566</v>
      </c>
      <c r="R38" s="81" t="n">
        <v>0</v>
      </c>
      <c r="S38" s="81" t="n">
        <v>0</v>
      </c>
      <c r="T38" s="81" t="n">
        <v>0</v>
      </c>
      <c r="Y38" s="81" t="n">
        <v>1845</v>
      </c>
    </row>
    <row r="39">
      <c r="A39" s="72">
        <f>$D$21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INDEX($C$5:$C$8,MATCH(I39,$D$5:$D$8,0))</f>
        <v/>
      </c>
      <c r="E39" s="72">
        <f>INDEX($E$5:$E$8,MATCH(D39,$C$5:$C$8,0))</f>
        <v/>
      </c>
      <c r="F39" s="72">
        <f>INDEX($F$5:$F$8,MATCH(D39,$C$5:$C$8,0))</f>
        <v/>
      </c>
      <c r="G39" s="72">
        <f>INDEX($G$5:$G$8,MATCH(D39,$C$5:$C$8,0))</f>
        <v/>
      </c>
      <c r="H39" s="72" t="inlineStr">
        <is>
          <t>Penthouse P-7</t>
        </is>
      </c>
      <c r="I39" s="72" t="inlineStr">
        <is>
          <t>3 BD / 2 BA</t>
        </is>
      </c>
      <c r="J39" s="80" t="n">
        <v>1276</v>
      </c>
      <c r="K39" s="72" t="inlineStr">
        <is>
          <t>Lois Palladino</t>
        </is>
      </c>
      <c r="L39" s="81" t="n">
        <v>1845</v>
      </c>
      <c r="M39" s="81">
        <f>Y39</f>
        <v/>
      </c>
      <c r="O39" s="82" t="n">
        <v>44866</v>
      </c>
      <c r="P39" s="82" t="n">
        <v>46314</v>
      </c>
      <c r="R39" s="81" t="n">
        <v>0</v>
      </c>
      <c r="S39" s="81" t="n">
        <v>0</v>
      </c>
      <c r="T39" s="81" t="n">
        <v>0</v>
      </c>
      <c r="Y39" s="81" t="n">
        <v>1882</v>
      </c>
    </row>
    <row r="40">
      <c r="A40" s="72">
        <f>$D$21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INDEX($C$5:$C$8,MATCH(I40,$D$5:$D$8,0))</f>
        <v/>
      </c>
      <c r="E40" s="72">
        <f>INDEX($E$5:$E$8,MATCH(D40,$C$5:$C$8,0))</f>
        <v/>
      </c>
      <c r="F40" s="72">
        <f>INDEX($F$5:$F$8,MATCH(D40,$C$5:$C$8,0))</f>
        <v/>
      </c>
      <c r="G40" s="72">
        <f>INDEX($G$5:$G$8,MATCH(D40,$C$5:$C$8,0))</f>
        <v/>
      </c>
      <c r="H40" s="72" t="inlineStr">
        <is>
          <t>Penthouse P-8</t>
        </is>
      </c>
      <c r="I40" s="72" t="inlineStr">
        <is>
          <t>3 BD / 2 BA</t>
        </is>
      </c>
      <c r="J40" s="80" t="n">
        <v>1276</v>
      </c>
      <c r="K40" s="72" t="inlineStr">
        <is>
          <t>Richard Calhoun</t>
        </is>
      </c>
      <c r="L40" s="81" t="n">
        <v>1845</v>
      </c>
      <c r="M40" s="81">
        <f>Y40</f>
        <v/>
      </c>
      <c r="O40" s="82" t="n">
        <v>45047</v>
      </c>
      <c r="P40" s="82" t="n">
        <v>46132</v>
      </c>
      <c r="R40" s="81" t="n">
        <v>0</v>
      </c>
      <c r="S40" s="81" t="n">
        <v>0</v>
      </c>
      <c r="T40" s="81" t="n">
        <v>0</v>
      </c>
      <c r="Y40" s="81" t="n">
        <v>1976</v>
      </c>
    </row>
    <row r="41">
      <c r="A41" s="72">
        <f>$D$21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INDEX($C$5:$C$8,MATCH(I41,$D$5:$D$8,0))</f>
        <v/>
      </c>
      <c r="E41" s="72">
        <f>INDEX($E$5:$E$8,MATCH(D41,$C$5:$C$8,0))</f>
        <v/>
      </c>
      <c r="F41" s="72">
        <f>INDEX($F$5:$F$8,MATCH(D41,$C$5:$C$8,0))</f>
        <v/>
      </c>
      <c r="G41" s="72">
        <f>INDEX($G$5:$G$8,MATCH(D41,$C$5:$C$8,0))</f>
        <v/>
      </c>
      <c r="H41" s="72" t="inlineStr">
        <is>
          <t>Penthouse P-9</t>
        </is>
      </c>
      <c r="I41" s="72" t="inlineStr">
        <is>
          <t>3 BD / 2 BA</t>
        </is>
      </c>
      <c r="J41" s="80" t="n">
        <v>1232</v>
      </c>
      <c r="K41" s="72" t="inlineStr">
        <is>
          <t>Lynn P. Martinez</t>
        </is>
      </c>
      <c r="L41" s="81" t="n">
        <v>2000</v>
      </c>
      <c r="M41" s="81">
        <f>Y41</f>
        <v/>
      </c>
      <c r="O41" s="82" t="n">
        <v>46193</v>
      </c>
      <c r="P41" s="82" t="n">
        <v>46559</v>
      </c>
      <c r="R41" s="81" t="n">
        <v>0</v>
      </c>
      <c r="S41" s="81" t="n">
        <v>0</v>
      </c>
      <c r="T41" s="81" t="n">
        <v>0</v>
      </c>
      <c r="Y41" s="81" t="n">
        <v>1900</v>
      </c>
    </row>
    <row r="42">
      <c r="A42" s="83">
        <f>$D$21</f>
        <v/>
      </c>
      <c r="B42" s="83">
        <f>B41+1</f>
        <v/>
      </c>
      <c r="C42" s="83">
        <f>IF(K42="Vacant","Vac",IF(K42="Model","Model",IF(K42="Admin","Admin",IF(K42="Down","Down",IF(K42="Super","Super","Occ")))))</f>
        <v/>
      </c>
      <c r="D42" s="83">
        <f>INDEX($C$5:$C$8,MATCH(I42,$D$5:$D$8,0))</f>
        <v/>
      </c>
      <c r="E42" s="83">
        <f>INDEX($E$5:$E$8,MATCH(D42,$C$5:$C$8,0))</f>
        <v/>
      </c>
      <c r="F42" s="83">
        <f>INDEX($F$5:$F$8,MATCH(D42,$C$5:$C$8,0))</f>
        <v/>
      </c>
      <c r="G42" s="83">
        <f>INDEX($G$5:$G$8,MATCH(D42,$C$5:$C$8,0))</f>
        <v/>
      </c>
      <c r="H42" s="83" t="inlineStr">
        <is>
          <t>Unit G-01</t>
        </is>
      </c>
      <c r="I42" s="83" t="inlineStr">
        <is>
          <t>1 BD / 1 BA</t>
        </is>
      </c>
      <c r="J42" s="84" t="n">
        <v>682</v>
      </c>
      <c r="K42" s="83" t="inlineStr">
        <is>
          <t>Vacant</t>
        </is>
      </c>
      <c r="L42" s="85" t="n">
        <v>975</v>
      </c>
      <c r="M42" s="85">
        <f>Y42</f>
        <v/>
      </c>
      <c r="N42" s="86" t="n"/>
      <c r="O42" s="86" t="n"/>
      <c r="P42" s="86" t="n"/>
      <c r="Q42" s="86" t="n"/>
      <c r="R42" s="85" t="n">
        <v>0</v>
      </c>
      <c r="S42" s="85" t="n">
        <v>0</v>
      </c>
      <c r="T42" s="85" t="n">
        <v>0</v>
      </c>
      <c r="U42" s="86" t="n"/>
      <c r="V42" s="86" t="n"/>
      <c r="W42" s="86" t="n"/>
      <c r="X42" s="86" t="n"/>
      <c r="Y42" s="85" t="n">
        <v>0</v>
      </c>
    </row>
    <row r="43">
      <c r="A43" s="72">
        <f>$D$21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INDEX($C$5:$C$8,MATCH(I43,$D$5:$D$8,0))</f>
        <v/>
      </c>
      <c r="E43" s="72">
        <f>INDEX($E$5:$E$8,MATCH(D43,$C$5:$C$8,0))</f>
        <v/>
      </c>
      <c r="F43" s="72">
        <f>INDEX($F$5:$F$8,MATCH(D43,$C$5:$C$8,0))</f>
        <v/>
      </c>
      <c r="G43" s="72">
        <f>INDEX($G$5:$G$8,MATCH(D43,$C$5:$C$8,0))</f>
        <v/>
      </c>
      <c r="H43" s="72" t="inlineStr">
        <is>
          <t>Unit G-02</t>
        </is>
      </c>
      <c r="I43" s="72" t="inlineStr">
        <is>
          <t>2 BD / 2 BA</t>
        </is>
      </c>
      <c r="J43" s="80" t="n">
        <v>1008</v>
      </c>
      <c r="K43" s="72" t="inlineStr">
        <is>
          <t>Jose E. Celedon</t>
        </is>
      </c>
      <c r="L43" s="81" t="n">
        <v>1500</v>
      </c>
      <c r="M43" s="81">
        <f>Y43</f>
        <v/>
      </c>
      <c r="O43" s="82" t="n">
        <v>46142</v>
      </c>
      <c r="P43" s="82" t="n">
        <v>46503</v>
      </c>
      <c r="R43" s="81" t="n">
        <v>0</v>
      </c>
      <c r="S43" s="81" t="n">
        <v>0</v>
      </c>
      <c r="T43" s="81" t="n">
        <v>0</v>
      </c>
      <c r="Y43" s="81" t="n">
        <v>1500</v>
      </c>
    </row>
    <row r="44">
      <c r="A44" s="72">
        <f>$D$21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INDEX($C$5:$C$8,MATCH(I44,$D$5:$D$8,0))</f>
        <v/>
      </c>
      <c r="E44" s="72">
        <f>INDEX($E$5:$E$8,MATCH(D44,$C$5:$C$8,0))</f>
        <v/>
      </c>
      <c r="F44" s="72">
        <f>INDEX($F$5:$F$8,MATCH(D44,$C$5:$C$8,0))</f>
        <v/>
      </c>
      <c r="G44" s="72">
        <f>INDEX($G$5:$G$8,MATCH(D44,$C$5:$C$8,0))</f>
        <v/>
      </c>
      <c r="H44" s="72" t="inlineStr">
        <is>
          <t>Unit G-03</t>
        </is>
      </c>
      <c r="I44" s="72" t="inlineStr">
        <is>
          <t>2 BD / 1.5 BA</t>
        </is>
      </c>
      <c r="J44" s="80" t="n">
        <v>1008</v>
      </c>
      <c r="K44" s="72" t="inlineStr">
        <is>
          <t>Joseph L. Trozzo</t>
        </is>
      </c>
      <c r="L44" s="81" t="n">
        <v>1315</v>
      </c>
      <c r="M44" s="81">
        <f>Y44</f>
        <v/>
      </c>
      <c r="O44" s="82" t="n">
        <v>46082</v>
      </c>
      <c r="P44" s="82" t="n">
        <v>46475</v>
      </c>
      <c r="R44" s="81" t="n">
        <v>0</v>
      </c>
      <c r="S44" s="81" t="n">
        <v>0</v>
      </c>
      <c r="T44" s="81" t="n">
        <v>0</v>
      </c>
      <c r="Y44" s="81" t="n">
        <v>1315</v>
      </c>
    </row>
    <row r="45">
      <c r="A45" s="72">
        <f>$D$21</f>
        <v/>
      </c>
      <c r="B45" s="72">
        <f>B44+1</f>
        <v/>
      </c>
      <c r="C45" s="72">
        <f>IF(K45="Vacant","Vac",IF(K45="Model","Model",IF(K45="Admin","Admin",IF(K45="Down","Down",IF(K45="Super","Super","Occ")))))</f>
        <v/>
      </c>
      <c r="D45" s="72">
        <f>INDEX($C$5:$C$8,MATCH(I45,$D$5:$D$8,0))</f>
        <v/>
      </c>
      <c r="E45" s="72">
        <f>INDEX($E$5:$E$8,MATCH(D45,$C$5:$C$8,0))</f>
        <v/>
      </c>
      <c r="F45" s="72">
        <f>INDEX($F$5:$F$8,MATCH(D45,$C$5:$C$8,0))</f>
        <v/>
      </c>
      <c r="G45" s="72">
        <f>INDEX($G$5:$G$8,MATCH(D45,$C$5:$C$8,0))</f>
        <v/>
      </c>
      <c r="H45" s="72" t="inlineStr">
        <is>
          <t>Unit G-04</t>
        </is>
      </c>
      <c r="I45" s="72" t="inlineStr">
        <is>
          <t>1 BD / 1 BA</t>
        </is>
      </c>
      <c r="J45" s="80" t="n">
        <v>682</v>
      </c>
      <c r="K45" s="72" t="inlineStr">
        <is>
          <t>Aaron M. Bucchino</t>
        </is>
      </c>
      <c r="L45" s="81" t="n">
        <v>1025</v>
      </c>
      <c r="M45" s="81">
        <f>Y45</f>
        <v/>
      </c>
      <c r="O45" s="82" t="n">
        <v>46108</v>
      </c>
      <c r="P45" s="82" t="n">
        <v>46475</v>
      </c>
      <c r="R45" s="81" t="n">
        <v>0</v>
      </c>
      <c r="S45" s="81" t="n">
        <v>0</v>
      </c>
      <c r="T45" s="81" t="n">
        <v>0</v>
      </c>
      <c r="Y45" s="81" t="n">
        <v>1025</v>
      </c>
    </row>
    <row r="46">
      <c r="A46" s="72">
        <f>$D$21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INDEX($C$5:$C$8,MATCH(I46,$D$5:$D$8,0))</f>
        <v/>
      </c>
      <c r="E46" s="72">
        <f>INDEX($E$5:$E$8,MATCH(D46,$C$5:$C$8,0))</f>
        <v/>
      </c>
      <c r="F46" s="72">
        <f>INDEX($F$5:$F$8,MATCH(D46,$C$5:$C$8,0))</f>
        <v/>
      </c>
      <c r="G46" s="72">
        <f>INDEX($G$5:$G$8,MATCH(D46,$C$5:$C$8,0))</f>
        <v/>
      </c>
      <c r="H46" s="72" t="inlineStr">
        <is>
          <t>Unit G-05</t>
        </is>
      </c>
      <c r="I46" s="72" t="inlineStr">
        <is>
          <t>1 BD / 1 BA</t>
        </is>
      </c>
      <c r="J46" s="80" t="n">
        <v>682</v>
      </c>
      <c r="K46" s="72" t="inlineStr">
        <is>
          <t>Betty  Byrne</t>
        </is>
      </c>
      <c r="L46" s="81" t="n">
        <v>1025</v>
      </c>
      <c r="M46" s="81">
        <f>Y46</f>
        <v/>
      </c>
      <c r="O46" s="82" t="n">
        <v>46084</v>
      </c>
      <c r="P46" s="82" t="n">
        <v>46482</v>
      </c>
      <c r="R46" s="81" t="n">
        <v>0</v>
      </c>
      <c r="S46" s="81" t="n">
        <v>0</v>
      </c>
      <c r="T46" s="81" t="n">
        <v>0</v>
      </c>
      <c r="Y46" s="81" t="n">
        <v>975</v>
      </c>
    </row>
    <row r="47">
      <c r="A47" s="72">
        <f>$D$21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INDEX($C$5:$C$8,MATCH(I47,$D$5:$D$8,0))</f>
        <v/>
      </c>
      <c r="E47" s="72">
        <f>INDEX($E$5:$E$8,MATCH(D47,$C$5:$C$8,0))</f>
        <v/>
      </c>
      <c r="F47" s="72">
        <f>INDEX($F$5:$F$8,MATCH(D47,$C$5:$C$8,0))</f>
        <v/>
      </c>
      <c r="G47" s="72">
        <f>INDEX($G$5:$G$8,MATCH(D47,$C$5:$C$8,0))</f>
        <v/>
      </c>
      <c r="H47" s="72" t="inlineStr">
        <is>
          <t>Unit G-06</t>
        </is>
      </c>
      <c r="I47" s="72" t="inlineStr">
        <is>
          <t>2 BD / 2 BA</t>
        </is>
      </c>
      <c r="J47" s="80" t="n">
        <v>924</v>
      </c>
      <c r="K47" s="72" t="inlineStr">
        <is>
          <t>Jorge O. Rodriguez-Barroso</t>
        </is>
      </c>
      <c r="L47" s="81" t="n">
        <v>1425</v>
      </c>
      <c r="M47" s="81">
        <f>Y47</f>
        <v/>
      </c>
      <c r="O47" s="82" t="n">
        <v>46021</v>
      </c>
      <c r="P47" s="82" t="n">
        <v>46349</v>
      </c>
      <c r="R47" s="81" t="n">
        <v>0</v>
      </c>
      <c r="S47" s="81" t="n">
        <v>0</v>
      </c>
      <c r="T47" s="81" t="n">
        <v>0</v>
      </c>
      <c r="Y47" s="81" t="n">
        <v>1425</v>
      </c>
    </row>
    <row r="48">
      <c r="A48" s="72">
        <f>$D$21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INDEX($C$5:$C$8,MATCH(I48,$D$5:$D$8,0))</f>
        <v/>
      </c>
      <c r="E48" s="72">
        <f>INDEX($E$5:$E$8,MATCH(D48,$C$5:$C$8,0))</f>
        <v/>
      </c>
      <c r="F48" s="72">
        <f>INDEX($F$5:$F$8,MATCH(D48,$C$5:$C$8,0))</f>
        <v/>
      </c>
      <c r="G48" s="72">
        <f>INDEX($G$5:$G$8,MATCH(D48,$C$5:$C$8,0))</f>
        <v/>
      </c>
      <c r="H48" s="72" t="inlineStr">
        <is>
          <t>Unit G-07</t>
        </is>
      </c>
      <c r="I48" s="72" t="inlineStr">
        <is>
          <t>2 BD / 1.5 BA</t>
        </is>
      </c>
      <c r="J48" s="80" t="n">
        <v>1008</v>
      </c>
      <c r="K48" s="72" t="inlineStr">
        <is>
          <t>Denise  Cantelm</t>
        </is>
      </c>
      <c r="L48" s="81" t="n">
        <v>1500</v>
      </c>
      <c r="M48" s="81">
        <f>Y48</f>
        <v/>
      </c>
      <c r="O48" s="82" t="n">
        <v>44958</v>
      </c>
      <c r="P48" s="82" t="n">
        <v>46461</v>
      </c>
      <c r="R48" s="81" t="n">
        <v>0</v>
      </c>
      <c r="S48" s="81" t="n">
        <v>0</v>
      </c>
      <c r="T48" s="81" t="n">
        <v>0</v>
      </c>
      <c r="Y48" s="81" t="n">
        <v>1368</v>
      </c>
    </row>
    <row r="49">
      <c r="A49" s="72">
        <f>$D$21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INDEX($C$5:$C$8,MATCH(I49,$D$5:$D$8,0))</f>
        <v/>
      </c>
      <c r="E49" s="72">
        <f>INDEX($E$5:$E$8,MATCH(D49,$C$5:$C$8,0))</f>
        <v/>
      </c>
      <c r="F49" s="72">
        <f>INDEX($F$5:$F$8,MATCH(D49,$C$5:$C$8,0))</f>
        <v/>
      </c>
      <c r="G49" s="72">
        <f>INDEX($G$5:$G$8,MATCH(D49,$C$5:$C$8,0))</f>
        <v/>
      </c>
      <c r="H49" s="72" t="inlineStr">
        <is>
          <t>Unit G-08</t>
        </is>
      </c>
      <c r="I49" s="72" t="inlineStr">
        <is>
          <t>1 BD / 1 BA</t>
        </is>
      </c>
      <c r="J49" s="80" t="n">
        <v>682</v>
      </c>
      <c r="K49" s="72" t="inlineStr">
        <is>
          <t>Beverly Jacobson</t>
        </is>
      </c>
      <c r="L49" s="81" t="n">
        <v>1025</v>
      </c>
      <c r="M49" s="81">
        <f>Y49</f>
        <v/>
      </c>
      <c r="O49" s="82" t="n">
        <v>45047</v>
      </c>
      <c r="P49" s="82" t="n">
        <v>46482</v>
      </c>
      <c r="R49" s="81" t="n">
        <v>0</v>
      </c>
      <c r="S49" s="81" t="n">
        <v>0</v>
      </c>
      <c r="T49" s="81" t="n">
        <v>0</v>
      </c>
      <c r="Y49" s="81" t="n">
        <v>1049</v>
      </c>
    </row>
    <row r="50">
      <c r="A50" s="72">
        <f>$D$21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INDEX($C$5:$C$8,MATCH(I50,$D$5:$D$8,0))</f>
        <v/>
      </c>
      <c r="E50" s="72">
        <f>INDEX($E$5:$E$8,MATCH(D50,$C$5:$C$8,0))</f>
        <v/>
      </c>
      <c r="F50" s="72">
        <f>INDEX($F$5:$F$8,MATCH(D50,$C$5:$C$8,0))</f>
        <v/>
      </c>
      <c r="G50" s="72">
        <f>INDEX($G$5:$G$8,MATCH(D50,$C$5:$C$8,0))</f>
        <v/>
      </c>
      <c r="H50" s="72" t="inlineStr">
        <is>
          <t>Unit G-09</t>
        </is>
      </c>
      <c r="I50" s="72" t="inlineStr">
        <is>
          <t>2 BD / 1.5 BA</t>
        </is>
      </c>
      <c r="J50" s="80" t="n">
        <v>1008</v>
      </c>
      <c r="K50" s="72" t="inlineStr">
        <is>
          <t>MARK G. LEVEQUE</t>
        </is>
      </c>
      <c r="L50" s="81" t="n">
        <v>1500</v>
      </c>
      <c r="M50" s="81">
        <f>Y50</f>
        <v/>
      </c>
      <c r="O50" s="82" t="n">
        <v>46132</v>
      </c>
      <c r="P50" s="82" t="n">
        <v>46489</v>
      </c>
      <c r="R50" s="81" t="n">
        <v>0</v>
      </c>
      <c r="S50" s="81" t="n">
        <v>0</v>
      </c>
      <c r="T50" s="81" t="n">
        <v>0</v>
      </c>
      <c r="Y50" s="81" t="n">
        <v>1315</v>
      </c>
    </row>
    <row r="51">
      <c r="A51" s="72">
        <f>$D$21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INDEX($C$5:$C$8,MATCH(I51,$D$5:$D$8,0))</f>
        <v/>
      </c>
      <c r="E51" s="72">
        <f>INDEX($E$5:$E$8,MATCH(D51,$C$5:$C$8,0))</f>
        <v/>
      </c>
      <c r="F51" s="72">
        <f>INDEX($F$5:$F$8,MATCH(D51,$C$5:$C$8,0))</f>
        <v/>
      </c>
      <c r="G51" s="72">
        <f>INDEX($G$5:$G$8,MATCH(D51,$C$5:$C$8,0))</f>
        <v/>
      </c>
      <c r="H51" s="72" t="inlineStr">
        <is>
          <t>Unit G-10</t>
        </is>
      </c>
      <c r="I51" s="72" t="inlineStr">
        <is>
          <t>2 BD / 2 BA</t>
        </is>
      </c>
      <c r="J51" s="80" t="n">
        <v>924</v>
      </c>
      <c r="K51" s="72" t="inlineStr">
        <is>
          <t>Mainstay Life Services</t>
        </is>
      </c>
      <c r="L51" s="81" t="n">
        <v>1425</v>
      </c>
      <c r="M51" s="81">
        <f>Y51</f>
        <v/>
      </c>
      <c r="O51" s="82" t="n">
        <v>46174</v>
      </c>
      <c r="P51" s="82" t="n">
        <v>46545</v>
      </c>
      <c r="R51" s="81" t="n">
        <v>0</v>
      </c>
      <c r="S51" s="81" t="n">
        <v>0</v>
      </c>
      <c r="T51" s="81" t="n">
        <v>0</v>
      </c>
      <c r="Y51" s="81" t="n">
        <v>1425</v>
      </c>
    </row>
    <row r="52">
      <c r="A52" s="72">
        <f>$D$21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INDEX($C$5:$C$8,MATCH(I52,$D$5:$D$8,0))</f>
        <v/>
      </c>
      <c r="E52" s="72">
        <f>INDEX($E$5:$E$8,MATCH(D52,$C$5:$C$8,0))</f>
        <v/>
      </c>
      <c r="F52" s="72">
        <f>INDEX($F$5:$F$8,MATCH(D52,$C$5:$C$8,0))</f>
        <v/>
      </c>
      <c r="G52" s="72">
        <f>INDEX($G$5:$G$8,MATCH(D52,$C$5:$C$8,0))</f>
        <v/>
      </c>
      <c r="H52" s="72" t="inlineStr">
        <is>
          <t>Unit G-11</t>
        </is>
      </c>
      <c r="I52" s="72" t="inlineStr">
        <is>
          <t>1 BD / 1 BA</t>
        </is>
      </c>
      <c r="J52" s="80" t="n">
        <v>682</v>
      </c>
      <c r="K52" s="72" t="inlineStr">
        <is>
          <t>Nancy Iovino</t>
        </is>
      </c>
      <c r="L52" s="81" t="n">
        <v>1025</v>
      </c>
      <c r="M52" s="81">
        <f>Y52</f>
        <v/>
      </c>
      <c r="O52" s="82" t="n">
        <v>44986</v>
      </c>
      <c r="P52" s="82" t="n">
        <v>46524</v>
      </c>
      <c r="R52" s="81" t="n">
        <v>0</v>
      </c>
      <c r="S52" s="81" t="n">
        <v>0</v>
      </c>
      <c r="T52" s="81" t="n">
        <v>0</v>
      </c>
      <c r="Y52" s="81" t="n">
        <v>1021</v>
      </c>
    </row>
    <row r="53">
      <c r="A53" s="72">
        <f>$D$21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INDEX($C$5:$C$8,MATCH(I53,$D$5:$D$8,0))</f>
        <v/>
      </c>
      <c r="E53" s="72">
        <f>INDEX($E$5:$E$8,MATCH(D53,$C$5:$C$8,0))</f>
        <v/>
      </c>
      <c r="F53" s="72">
        <f>INDEX($F$5:$F$8,MATCH(D53,$C$5:$C$8,0))</f>
        <v/>
      </c>
      <c r="G53" s="72">
        <f>INDEX($G$5:$G$8,MATCH(D53,$C$5:$C$8,0))</f>
        <v/>
      </c>
      <c r="H53" s="72" t="inlineStr">
        <is>
          <t>Unit 101</t>
        </is>
      </c>
      <c r="I53" s="72" t="inlineStr">
        <is>
          <t>1 BD / 1 BA</t>
        </is>
      </c>
      <c r="J53" s="80" t="n">
        <v>682</v>
      </c>
      <c r="K53" s="72" t="inlineStr">
        <is>
          <t>Mamadou  S. Diallo</t>
        </is>
      </c>
      <c r="L53" s="81" t="n">
        <v>1025</v>
      </c>
      <c r="M53" s="81">
        <f>Y53</f>
        <v/>
      </c>
      <c r="O53" s="82" t="n">
        <v>45779</v>
      </c>
      <c r="P53" s="82" t="n">
        <v>46559</v>
      </c>
      <c r="R53" s="81" t="n">
        <v>0</v>
      </c>
      <c r="S53" s="81" t="n">
        <v>0</v>
      </c>
      <c r="T53" s="81" t="n">
        <v>0</v>
      </c>
      <c r="Y53" s="81" t="n">
        <v>975</v>
      </c>
    </row>
    <row r="54">
      <c r="A54" s="72">
        <f>$D$21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INDEX($C$5:$C$8,MATCH(I54,$D$5:$D$8,0))</f>
        <v/>
      </c>
      <c r="E54" s="72">
        <f>INDEX($E$5:$E$8,MATCH(D54,$C$5:$C$8,0))</f>
        <v/>
      </c>
      <c r="F54" s="72">
        <f>INDEX($F$5:$F$8,MATCH(D54,$C$5:$C$8,0))</f>
        <v/>
      </c>
      <c r="G54" s="72">
        <f>INDEX($G$5:$G$8,MATCH(D54,$C$5:$C$8,0))</f>
        <v/>
      </c>
      <c r="H54" s="72" t="inlineStr">
        <is>
          <t>Unit 102</t>
        </is>
      </c>
      <c r="I54" s="72" t="inlineStr">
        <is>
          <t>2 BD / 1.5 BA</t>
        </is>
      </c>
      <c r="J54" s="80" t="n">
        <v>1008</v>
      </c>
      <c r="K54" s="72" t="inlineStr">
        <is>
          <t>Elizabeth A. Warren</t>
        </is>
      </c>
      <c r="L54" s="81" t="n">
        <v>1500</v>
      </c>
      <c r="M54" s="81">
        <f>Y54</f>
        <v/>
      </c>
      <c r="O54" s="82" t="n">
        <v>44866</v>
      </c>
      <c r="P54" s="82" t="n">
        <v>46510</v>
      </c>
      <c r="R54" s="81" t="n">
        <v>0</v>
      </c>
      <c r="S54" s="81" t="n">
        <v>0</v>
      </c>
      <c r="T54" s="81" t="n">
        <v>0</v>
      </c>
      <c r="Y54" s="81" t="n">
        <v>1335</v>
      </c>
    </row>
    <row r="55">
      <c r="A55" s="72">
        <f>$D$21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INDEX($C$5:$C$8,MATCH(I55,$D$5:$D$8,0))</f>
        <v/>
      </c>
      <c r="E55" s="72">
        <f>INDEX($E$5:$E$8,MATCH(D55,$C$5:$C$8,0))</f>
        <v/>
      </c>
      <c r="F55" s="72">
        <f>INDEX($F$5:$F$8,MATCH(D55,$C$5:$C$8,0))</f>
        <v/>
      </c>
      <c r="G55" s="72">
        <f>INDEX($G$5:$G$8,MATCH(D55,$C$5:$C$8,0))</f>
        <v/>
      </c>
      <c r="H55" s="72" t="inlineStr">
        <is>
          <t>Unit 103</t>
        </is>
      </c>
      <c r="I55" s="72" t="inlineStr">
        <is>
          <t>2 BD / 1.5 BA</t>
        </is>
      </c>
      <c r="J55" s="80" t="n">
        <v>1008</v>
      </c>
      <c r="K55" s="72" t="inlineStr">
        <is>
          <t>Robert   Stock</t>
        </is>
      </c>
      <c r="L55" s="81" t="n">
        <v>1315</v>
      </c>
      <c r="M55" s="81">
        <f>Y55</f>
        <v/>
      </c>
      <c r="O55" s="82" t="n">
        <v>44986</v>
      </c>
      <c r="P55" s="82" t="n">
        <v>46524</v>
      </c>
      <c r="R55" s="81" t="n">
        <v>0</v>
      </c>
      <c r="S55" s="81" t="n">
        <v>0</v>
      </c>
      <c r="T55" s="81" t="n">
        <v>0</v>
      </c>
      <c r="Y55" s="81" t="n">
        <v>1414</v>
      </c>
    </row>
    <row r="56">
      <c r="A56" s="72">
        <f>$D$21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INDEX($C$5:$C$8,MATCH(I56,$D$5:$D$8,0))</f>
        <v/>
      </c>
      <c r="E56" s="72">
        <f>INDEX($E$5:$E$8,MATCH(D56,$C$5:$C$8,0))</f>
        <v/>
      </c>
      <c r="F56" s="72">
        <f>INDEX($F$5:$F$8,MATCH(D56,$C$5:$C$8,0))</f>
        <v/>
      </c>
      <c r="G56" s="72">
        <f>INDEX($G$5:$G$8,MATCH(D56,$C$5:$C$8,0))</f>
        <v/>
      </c>
      <c r="H56" s="72" t="inlineStr">
        <is>
          <t>Unit 104</t>
        </is>
      </c>
      <c r="I56" s="72" t="inlineStr">
        <is>
          <t>1 BD / 1 BA</t>
        </is>
      </c>
      <c r="J56" s="80" t="n">
        <v>682</v>
      </c>
      <c r="K56" s="72" t="inlineStr">
        <is>
          <t>Christopher     Ashley</t>
        </is>
      </c>
      <c r="L56" s="81" t="n">
        <v>1025</v>
      </c>
      <c r="M56" s="81">
        <f>Y56</f>
        <v/>
      </c>
      <c r="O56" s="82" t="n">
        <v>44896</v>
      </c>
      <c r="P56" s="82" t="n">
        <v>46587</v>
      </c>
      <c r="R56" s="81" t="n">
        <v>0</v>
      </c>
      <c r="S56" s="81" t="n">
        <v>0</v>
      </c>
      <c r="T56" s="81" t="n">
        <v>0</v>
      </c>
      <c r="Y56" s="81" t="n">
        <v>1025</v>
      </c>
    </row>
    <row r="57">
      <c r="A57" s="72">
        <f>$D$21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INDEX($C$5:$C$8,MATCH(I57,$D$5:$D$8,0))</f>
        <v/>
      </c>
      <c r="E57" s="72">
        <f>INDEX($E$5:$E$8,MATCH(D57,$C$5:$C$8,0))</f>
        <v/>
      </c>
      <c r="F57" s="72">
        <f>INDEX($F$5:$F$8,MATCH(D57,$C$5:$C$8,0))</f>
        <v/>
      </c>
      <c r="G57" s="72">
        <f>INDEX($G$5:$G$8,MATCH(D57,$C$5:$C$8,0))</f>
        <v/>
      </c>
      <c r="H57" s="72" t="inlineStr">
        <is>
          <t>Unit 108</t>
        </is>
      </c>
      <c r="I57" s="72" t="inlineStr">
        <is>
          <t>1 BD / 1 BA</t>
        </is>
      </c>
      <c r="J57" s="80" t="n">
        <v>682</v>
      </c>
      <c r="K57" s="72" t="inlineStr">
        <is>
          <t>Zakiya E. Moses</t>
        </is>
      </c>
      <c r="L57" s="81" t="n">
        <v>1025</v>
      </c>
      <c r="M57" s="81">
        <f>Y57</f>
        <v/>
      </c>
      <c r="O57" s="82" t="n">
        <v>45486</v>
      </c>
      <c r="P57" s="82" t="n">
        <v>46573</v>
      </c>
      <c r="R57" s="81" t="n">
        <v>0</v>
      </c>
      <c r="S57" s="81" t="n">
        <v>0</v>
      </c>
      <c r="T57" s="81" t="n">
        <v>0</v>
      </c>
      <c r="Y57" s="81" t="n">
        <v>1025</v>
      </c>
    </row>
    <row r="58">
      <c r="A58" s="72">
        <f>$D$21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INDEX($C$5:$C$8,MATCH(I58,$D$5:$D$8,0))</f>
        <v/>
      </c>
      <c r="E58" s="72">
        <f>INDEX($E$5:$E$8,MATCH(D58,$C$5:$C$8,0))</f>
        <v/>
      </c>
      <c r="F58" s="72">
        <f>INDEX($F$5:$F$8,MATCH(D58,$C$5:$C$8,0))</f>
        <v/>
      </c>
      <c r="G58" s="72">
        <f>INDEX($G$5:$G$8,MATCH(D58,$C$5:$C$8,0))</f>
        <v/>
      </c>
      <c r="H58" s="72" t="inlineStr">
        <is>
          <t>Unit 109</t>
        </is>
      </c>
      <c r="I58" s="72" t="inlineStr">
        <is>
          <t>2 BD / 1.5 BA</t>
        </is>
      </c>
      <c r="J58" s="80" t="n">
        <v>1008</v>
      </c>
      <c r="K58" s="72" t="inlineStr">
        <is>
          <t>Julia Schulte</t>
        </is>
      </c>
      <c r="L58" s="81" t="n">
        <v>1315</v>
      </c>
      <c r="M58" s="81">
        <f>Y58</f>
        <v/>
      </c>
      <c r="O58" s="82" t="n">
        <v>44470</v>
      </c>
      <c r="P58" s="82" t="n">
        <v>46650</v>
      </c>
      <c r="R58" s="81" t="n">
        <v>0</v>
      </c>
      <c r="S58" s="81" t="n">
        <v>0</v>
      </c>
      <c r="T58" s="81" t="n">
        <v>0</v>
      </c>
      <c r="Y58" s="81" t="n">
        <v>1270</v>
      </c>
    </row>
    <row r="59">
      <c r="A59" s="72">
        <f>$D$21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INDEX($C$5:$C$8,MATCH(I59,$D$5:$D$8,0))</f>
        <v/>
      </c>
      <c r="E59" s="72">
        <f>INDEX($E$5:$E$8,MATCH(D59,$C$5:$C$8,0))</f>
        <v/>
      </c>
      <c r="F59" s="72">
        <f>INDEX($F$5:$F$8,MATCH(D59,$C$5:$C$8,0))</f>
        <v/>
      </c>
      <c r="G59" s="72">
        <f>INDEX($G$5:$G$8,MATCH(D59,$C$5:$C$8,0))</f>
        <v/>
      </c>
      <c r="H59" s="72" t="inlineStr">
        <is>
          <t>Unit 110</t>
        </is>
      </c>
      <c r="I59" s="72" t="inlineStr">
        <is>
          <t>1 BD / 1 BA</t>
        </is>
      </c>
      <c r="J59" s="80" t="n">
        <v>682</v>
      </c>
      <c r="K59" s="72" t="inlineStr">
        <is>
          <t>Mamadou O. Bah</t>
        </is>
      </c>
      <c r="L59" s="81" t="n">
        <v>1025</v>
      </c>
      <c r="M59" s="81">
        <f>Y59</f>
        <v/>
      </c>
      <c r="O59" s="82" t="n">
        <v>45904</v>
      </c>
      <c r="P59" s="82" t="n">
        <v>46636</v>
      </c>
      <c r="R59" s="81" t="n">
        <v>0</v>
      </c>
      <c r="S59" s="81" t="n">
        <v>0</v>
      </c>
      <c r="T59" s="81" t="n">
        <v>0</v>
      </c>
      <c r="Y59" s="81" t="n">
        <v>975</v>
      </c>
    </row>
    <row r="60">
      <c r="A60" s="72">
        <f>$D$21</f>
        <v/>
      </c>
      <c r="B60" s="72">
        <f>B59+1</f>
        <v/>
      </c>
      <c r="C60" s="72">
        <f>IF(K60="Vacant","Vac",IF(K60="Model","Model",IF(K60="Admin","Admin",IF(K60="Down","Down",IF(K60="Super","Super","Occ")))))</f>
        <v/>
      </c>
      <c r="D60" s="72">
        <f>INDEX($C$5:$C$8,MATCH(I60,$D$5:$D$8,0))</f>
        <v/>
      </c>
      <c r="E60" s="72">
        <f>INDEX($E$5:$E$8,MATCH(D60,$C$5:$C$8,0))</f>
        <v/>
      </c>
      <c r="F60" s="72">
        <f>INDEX($F$5:$F$8,MATCH(D60,$C$5:$C$8,0))</f>
        <v/>
      </c>
      <c r="G60" s="72">
        <f>INDEX($G$5:$G$8,MATCH(D60,$C$5:$C$8,0))</f>
        <v/>
      </c>
      <c r="H60" s="72" t="inlineStr">
        <is>
          <t>Unit 111</t>
        </is>
      </c>
      <c r="I60" s="72" t="inlineStr">
        <is>
          <t>2 BD / 2 BA</t>
        </is>
      </c>
      <c r="J60" s="80" t="n">
        <v>924</v>
      </c>
      <c r="K60" s="72" t="inlineStr">
        <is>
          <t>Thomas Trageser</t>
        </is>
      </c>
      <c r="L60" s="81" t="n">
        <v>1365</v>
      </c>
      <c r="M60" s="81">
        <f>Y60</f>
        <v/>
      </c>
      <c r="O60" s="82" t="n">
        <v>44713</v>
      </c>
      <c r="P60" s="82" t="n">
        <v>46524</v>
      </c>
      <c r="R60" s="81" t="n">
        <v>0</v>
      </c>
      <c r="S60" s="81" t="n">
        <v>0</v>
      </c>
      <c r="T60" s="81" t="n">
        <v>0</v>
      </c>
      <c r="Y60" s="81" t="n">
        <v>1506</v>
      </c>
    </row>
    <row r="61">
      <c r="A61" s="72">
        <f>$D$21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INDEX($C$5:$C$8,MATCH(I61,$D$5:$D$8,0))</f>
        <v/>
      </c>
      <c r="E61" s="72">
        <f>INDEX($E$5:$E$8,MATCH(D61,$C$5:$C$8,0))</f>
        <v/>
      </c>
      <c r="F61" s="72">
        <f>INDEX($F$5:$F$8,MATCH(D61,$C$5:$C$8,0))</f>
        <v/>
      </c>
      <c r="G61" s="72">
        <f>INDEX($G$5:$G$8,MATCH(D61,$C$5:$C$8,0))</f>
        <v/>
      </c>
      <c r="H61" s="72" t="inlineStr">
        <is>
          <t>Unit 112</t>
        </is>
      </c>
      <c r="I61" s="72" t="inlineStr">
        <is>
          <t>2 BD / 1.5 BA</t>
        </is>
      </c>
      <c r="J61" s="80" t="n">
        <v>1008</v>
      </c>
      <c r="K61" s="72" t="inlineStr">
        <is>
          <t>Colleen Wick</t>
        </is>
      </c>
      <c r="L61" s="81" t="n">
        <v>1500</v>
      </c>
      <c r="M61" s="81">
        <f>Y61</f>
        <v/>
      </c>
      <c r="O61" s="82" t="n">
        <v>46164</v>
      </c>
      <c r="P61" s="82" t="n">
        <v>46545</v>
      </c>
      <c r="R61" s="81" t="n">
        <v>0</v>
      </c>
      <c r="S61" s="81" t="n">
        <v>0</v>
      </c>
      <c r="T61" s="81" t="n">
        <v>0</v>
      </c>
      <c r="Y61" s="81" t="n">
        <v>1600</v>
      </c>
    </row>
    <row r="62">
      <c r="A62" s="72">
        <f>$D$21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INDEX($C$5:$C$8,MATCH(I62,$D$5:$D$8,0))</f>
        <v/>
      </c>
      <c r="E62" s="72">
        <f>INDEX($E$5:$E$8,MATCH(D62,$C$5:$C$8,0))</f>
        <v/>
      </c>
      <c r="F62" s="72">
        <f>INDEX($F$5:$F$8,MATCH(D62,$C$5:$C$8,0))</f>
        <v/>
      </c>
      <c r="G62" s="72">
        <f>INDEX($G$5:$G$8,MATCH(D62,$C$5:$C$8,0))</f>
        <v/>
      </c>
      <c r="H62" s="72" t="inlineStr">
        <is>
          <t>Unit 114</t>
        </is>
      </c>
      <c r="I62" s="72" t="inlineStr">
        <is>
          <t>1 BD / 1 BA</t>
        </is>
      </c>
      <c r="J62" s="80" t="n">
        <v>682</v>
      </c>
      <c r="K62" s="72" t="inlineStr">
        <is>
          <t>Anthony   Bucci</t>
        </is>
      </c>
      <c r="L62" s="81" t="n">
        <v>1025</v>
      </c>
      <c r="M62" s="81">
        <f>Y62</f>
        <v/>
      </c>
      <c r="O62" s="82" t="n">
        <v>44470</v>
      </c>
      <c r="P62" s="82" t="n">
        <v>46482</v>
      </c>
      <c r="R62" s="81" t="n">
        <v>0</v>
      </c>
      <c r="S62" s="81" t="n">
        <v>0</v>
      </c>
      <c r="T62" s="81" t="n">
        <v>0</v>
      </c>
      <c r="Y62" s="81" t="n">
        <v>1065</v>
      </c>
    </row>
    <row r="63">
      <c r="A63" s="72">
        <f>$D$21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INDEX($C$5:$C$8,MATCH(I63,$D$5:$D$8,0))</f>
        <v/>
      </c>
      <c r="E63" s="72">
        <f>INDEX($E$5:$E$8,MATCH(D63,$C$5:$C$8,0))</f>
        <v/>
      </c>
      <c r="F63" s="72">
        <f>INDEX($F$5:$F$8,MATCH(D63,$C$5:$C$8,0))</f>
        <v/>
      </c>
      <c r="G63" s="72">
        <f>INDEX($G$5:$G$8,MATCH(D63,$C$5:$C$8,0))</f>
        <v/>
      </c>
      <c r="H63" s="72" t="inlineStr">
        <is>
          <t>Unit 115</t>
        </is>
      </c>
      <c r="I63" s="72" t="inlineStr">
        <is>
          <t>2 BD / 1.5 BA</t>
        </is>
      </c>
      <c r="J63" s="80" t="n">
        <v>1008</v>
      </c>
      <c r="K63" s="72" t="inlineStr">
        <is>
          <t>William T. Doorley</t>
        </is>
      </c>
      <c r="L63" s="81" t="n">
        <v>1500</v>
      </c>
      <c r="M63" s="81">
        <f>Y63</f>
        <v/>
      </c>
      <c r="O63" s="82" t="n">
        <v>45619</v>
      </c>
      <c r="P63" s="82" t="n">
        <v>46587</v>
      </c>
      <c r="R63" s="81" t="n">
        <v>0</v>
      </c>
      <c r="S63" s="81" t="n">
        <v>0</v>
      </c>
      <c r="T63" s="81" t="n">
        <v>0</v>
      </c>
      <c r="Y63" s="81" t="n">
        <v>1381</v>
      </c>
    </row>
    <row r="64">
      <c r="A64" s="72">
        <f>$D$21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INDEX($C$5:$C$8,MATCH(I64,$D$5:$D$8,0))</f>
        <v/>
      </c>
      <c r="E64" s="72">
        <f>INDEX($E$5:$E$8,MATCH(D64,$C$5:$C$8,0))</f>
        <v/>
      </c>
      <c r="F64" s="72">
        <f>INDEX($F$5:$F$8,MATCH(D64,$C$5:$C$8,0))</f>
        <v/>
      </c>
      <c r="G64" s="72">
        <f>INDEX($G$5:$G$8,MATCH(D64,$C$5:$C$8,0))</f>
        <v/>
      </c>
      <c r="H64" s="72" t="inlineStr">
        <is>
          <t>Unit 116</t>
        </is>
      </c>
      <c r="I64" s="72" t="inlineStr">
        <is>
          <t>2 BD / 2 BA</t>
        </is>
      </c>
      <c r="J64" s="80" t="n">
        <v>924</v>
      </c>
      <c r="K64" s="72" t="inlineStr">
        <is>
          <t>Brett A. Skonieczny</t>
        </is>
      </c>
      <c r="L64" s="81" t="n">
        <v>1365</v>
      </c>
      <c r="M64" s="81">
        <f>Y64</f>
        <v/>
      </c>
      <c r="O64" s="82" t="n">
        <v>46104</v>
      </c>
      <c r="P64" s="82" t="n">
        <v>46482</v>
      </c>
      <c r="R64" s="81" t="n">
        <v>0</v>
      </c>
      <c r="S64" s="81" t="n">
        <v>0</v>
      </c>
      <c r="T64" s="81" t="n">
        <v>0</v>
      </c>
      <c r="Y64" s="81" t="n">
        <v>1315</v>
      </c>
    </row>
    <row r="65">
      <c r="A65" s="72">
        <f>$D$21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INDEX($C$5:$C$8,MATCH(I65,$D$5:$D$8,0))</f>
        <v/>
      </c>
      <c r="E65" s="72">
        <f>INDEX($E$5:$E$8,MATCH(D65,$C$5:$C$8,0))</f>
        <v/>
      </c>
      <c r="F65" s="72">
        <f>INDEX($F$5:$F$8,MATCH(D65,$C$5:$C$8,0))</f>
        <v/>
      </c>
      <c r="G65" s="72">
        <f>INDEX($G$5:$G$8,MATCH(D65,$C$5:$C$8,0))</f>
        <v/>
      </c>
      <c r="H65" s="72" t="inlineStr">
        <is>
          <t>Unit 117</t>
        </is>
      </c>
      <c r="I65" s="72" t="inlineStr">
        <is>
          <t>1 BD / 1 BA</t>
        </is>
      </c>
      <c r="J65" s="80" t="n">
        <v>682</v>
      </c>
      <c r="K65" s="72" t="inlineStr">
        <is>
          <t>Michael W. Newton</t>
        </is>
      </c>
      <c r="L65" s="81" t="n">
        <v>1025</v>
      </c>
      <c r="M65" s="81">
        <f>Y65</f>
        <v/>
      </c>
      <c r="O65" s="82" t="n">
        <v>44991</v>
      </c>
      <c r="P65" s="82" t="n">
        <v>46482</v>
      </c>
      <c r="R65" s="81" t="n">
        <v>0</v>
      </c>
      <c r="S65" s="81" t="n">
        <v>0</v>
      </c>
      <c r="T65" s="81" t="n">
        <v>0</v>
      </c>
      <c r="Y65" s="81" t="n">
        <v>1014</v>
      </c>
    </row>
    <row r="66">
      <c r="A66" s="72">
        <f>$D$21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INDEX($C$5:$C$8,MATCH(I66,$D$5:$D$8,0))</f>
        <v/>
      </c>
      <c r="E66" s="72">
        <f>INDEX($E$5:$E$8,MATCH(D66,$C$5:$C$8,0))</f>
        <v/>
      </c>
      <c r="F66" s="72">
        <f>INDEX($F$5:$F$8,MATCH(D66,$C$5:$C$8,0))</f>
        <v/>
      </c>
      <c r="G66" s="72">
        <f>INDEX($G$5:$G$8,MATCH(D66,$C$5:$C$8,0))</f>
        <v/>
      </c>
      <c r="H66" s="72" t="inlineStr">
        <is>
          <t>Unit 201</t>
        </is>
      </c>
      <c r="I66" s="72" t="inlineStr">
        <is>
          <t>1 BD / 1 BA</t>
        </is>
      </c>
      <c r="J66" s="80" t="n">
        <v>682</v>
      </c>
      <c r="K66" s="72" t="inlineStr">
        <is>
          <t>Gary M. Staller</t>
        </is>
      </c>
      <c r="L66" s="81" t="n">
        <v>1025</v>
      </c>
      <c r="M66" s="81">
        <f>Y66</f>
        <v/>
      </c>
      <c r="O66" s="82" t="n">
        <v>45748</v>
      </c>
      <c r="P66" s="82" t="n">
        <v>46510</v>
      </c>
      <c r="R66" s="81" t="n">
        <v>0</v>
      </c>
      <c r="S66" s="81" t="n">
        <v>0</v>
      </c>
      <c r="T66" s="81" t="n">
        <v>0</v>
      </c>
      <c r="Y66" s="81" t="n">
        <v>1014</v>
      </c>
    </row>
    <row r="67">
      <c r="A67" s="72">
        <f>$D$21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INDEX($C$5:$C$8,MATCH(I67,$D$5:$D$8,0))</f>
        <v/>
      </c>
      <c r="E67" s="72">
        <f>INDEX($E$5:$E$8,MATCH(D67,$C$5:$C$8,0))</f>
        <v/>
      </c>
      <c r="F67" s="72">
        <f>INDEX($F$5:$F$8,MATCH(D67,$C$5:$C$8,0))</f>
        <v/>
      </c>
      <c r="G67" s="72">
        <f>INDEX($G$5:$G$8,MATCH(D67,$C$5:$C$8,0))</f>
        <v/>
      </c>
      <c r="H67" s="72" t="inlineStr">
        <is>
          <t>Unit 202</t>
        </is>
      </c>
      <c r="I67" s="72" t="inlineStr">
        <is>
          <t>2 BD / 2 BA</t>
        </is>
      </c>
      <c r="J67" s="80" t="n">
        <v>1008</v>
      </c>
      <c r="K67" s="72" t="inlineStr">
        <is>
          <t>Gunasekaran Vadivel</t>
        </is>
      </c>
      <c r="L67" s="81" t="n">
        <v>1500</v>
      </c>
      <c r="M67" s="81">
        <f>Y67</f>
        <v/>
      </c>
      <c r="O67" s="82" t="n">
        <v>46197</v>
      </c>
      <c r="P67" s="82" t="n">
        <v>46559</v>
      </c>
      <c r="R67" s="81" t="n">
        <v>0</v>
      </c>
      <c r="S67" s="81" t="n">
        <v>0</v>
      </c>
      <c r="T67" s="81" t="n">
        <v>0</v>
      </c>
      <c r="Y67" s="81" t="n">
        <v>1400</v>
      </c>
    </row>
    <row r="68">
      <c r="A68" s="72">
        <f>$D$21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INDEX($C$5:$C$8,MATCH(I68,$D$5:$D$8,0))</f>
        <v/>
      </c>
      <c r="E68" s="72">
        <f>INDEX($E$5:$E$8,MATCH(D68,$C$5:$C$8,0))</f>
        <v/>
      </c>
      <c r="F68" s="72">
        <f>INDEX($F$5:$F$8,MATCH(D68,$C$5:$C$8,0))</f>
        <v/>
      </c>
      <c r="G68" s="72">
        <f>INDEX($G$5:$G$8,MATCH(D68,$C$5:$C$8,0))</f>
        <v/>
      </c>
      <c r="H68" s="72" t="inlineStr">
        <is>
          <t>Unit 203</t>
        </is>
      </c>
      <c r="I68" s="72" t="inlineStr">
        <is>
          <t>2 BD / 1.5 BA</t>
        </is>
      </c>
      <c r="J68" s="80" t="n">
        <v>1008</v>
      </c>
      <c r="K68" s="72" t="inlineStr">
        <is>
          <t>Doris M. Priore</t>
        </is>
      </c>
      <c r="L68" s="81" t="n">
        <v>1315</v>
      </c>
      <c r="M68" s="81">
        <f>Y68</f>
        <v/>
      </c>
      <c r="O68" s="82" t="n">
        <v>44896</v>
      </c>
      <c r="P68" s="82" t="n">
        <v>46587</v>
      </c>
      <c r="R68" s="81" t="n">
        <v>0</v>
      </c>
      <c r="S68" s="81" t="n">
        <v>0</v>
      </c>
      <c r="T68" s="81" t="n">
        <v>0</v>
      </c>
      <c r="Y68" s="81" t="n">
        <v>1381</v>
      </c>
    </row>
    <row r="69">
      <c r="A69" s="72">
        <f>$D$21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INDEX($C$5:$C$8,MATCH(I69,$D$5:$D$8,0))</f>
        <v/>
      </c>
      <c r="E69" s="72">
        <f>INDEX($E$5:$E$8,MATCH(D69,$C$5:$C$8,0))</f>
        <v/>
      </c>
      <c r="F69" s="72">
        <f>INDEX($F$5:$F$8,MATCH(D69,$C$5:$C$8,0))</f>
        <v/>
      </c>
      <c r="G69" s="72">
        <f>INDEX($G$5:$G$8,MATCH(D69,$C$5:$C$8,0))</f>
        <v/>
      </c>
      <c r="H69" s="72" t="inlineStr">
        <is>
          <t>Unit 204</t>
        </is>
      </c>
      <c r="I69" s="72" t="inlineStr">
        <is>
          <t>1 BD / 1 BA</t>
        </is>
      </c>
      <c r="J69" s="80" t="n">
        <v>682</v>
      </c>
      <c r="K69" s="72" t="inlineStr">
        <is>
          <t>Jim   DelBianco</t>
        </is>
      </c>
      <c r="L69" s="81" t="n">
        <v>1025</v>
      </c>
      <c r="M69" s="81">
        <f>Y69</f>
        <v/>
      </c>
      <c r="O69" s="82" t="n">
        <v>45200</v>
      </c>
      <c r="P69" s="82" t="n">
        <v>46650</v>
      </c>
      <c r="R69" s="81" t="n">
        <v>0</v>
      </c>
      <c r="S69" s="81" t="n">
        <v>0</v>
      </c>
      <c r="T69" s="81" t="n">
        <v>0</v>
      </c>
      <c r="Y69" s="81" t="n">
        <v>1064</v>
      </c>
    </row>
    <row r="70">
      <c r="A70" s="72">
        <f>$D$21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INDEX($C$5:$C$8,MATCH(I70,$D$5:$D$8,0))</f>
        <v/>
      </c>
      <c r="E70" s="72">
        <f>INDEX($E$5:$E$8,MATCH(D70,$C$5:$C$8,0))</f>
        <v/>
      </c>
      <c r="F70" s="72">
        <f>INDEX($F$5:$F$8,MATCH(D70,$C$5:$C$8,0))</f>
        <v/>
      </c>
      <c r="G70" s="72">
        <f>INDEX($G$5:$G$8,MATCH(D70,$C$5:$C$8,0))</f>
        <v/>
      </c>
      <c r="H70" s="72" t="inlineStr">
        <is>
          <t>Unit 205</t>
        </is>
      </c>
      <c r="I70" s="72" t="inlineStr">
        <is>
          <t>3 BD / 2 BA</t>
        </is>
      </c>
      <c r="J70" s="80" t="n">
        <v>1166</v>
      </c>
      <c r="K70" s="72" t="inlineStr">
        <is>
          <t>Thierno  M. Bah</t>
        </is>
      </c>
      <c r="L70" s="81" t="n">
        <v>1550</v>
      </c>
      <c r="M70" s="81">
        <f>Y70</f>
        <v/>
      </c>
      <c r="O70" s="82" t="n">
        <v>45147</v>
      </c>
      <c r="P70" s="82" t="n">
        <v>46615</v>
      </c>
      <c r="R70" s="81" t="n">
        <v>0</v>
      </c>
      <c r="S70" s="81" t="n">
        <v>0</v>
      </c>
      <c r="T70" s="81" t="n">
        <v>0</v>
      </c>
      <c r="Y70" s="81" t="n">
        <v>1550</v>
      </c>
    </row>
    <row r="71">
      <c r="A71" s="72">
        <f>$D$21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INDEX($C$5:$C$8,MATCH(I71,$D$5:$D$8,0))</f>
        <v/>
      </c>
      <c r="E71" s="72">
        <f>INDEX($E$5:$E$8,MATCH(D71,$C$5:$C$8,0))</f>
        <v/>
      </c>
      <c r="F71" s="72">
        <f>INDEX($F$5:$F$8,MATCH(D71,$C$5:$C$8,0))</f>
        <v/>
      </c>
      <c r="G71" s="72">
        <f>INDEX($G$5:$G$8,MATCH(D71,$C$5:$C$8,0))</f>
        <v/>
      </c>
      <c r="H71" s="72" t="inlineStr">
        <is>
          <t>Unit 206</t>
        </is>
      </c>
      <c r="I71" s="72" t="inlineStr">
        <is>
          <t>1 BD / 1 BA</t>
        </is>
      </c>
      <c r="J71" s="80" t="n">
        <v>682</v>
      </c>
      <c r="K71" s="72" t="inlineStr">
        <is>
          <t>Jeremia L. Powell</t>
        </is>
      </c>
      <c r="L71" s="81" t="n">
        <v>1025</v>
      </c>
      <c r="M71" s="81">
        <f>Y71</f>
        <v/>
      </c>
      <c r="O71" s="82" t="n">
        <v>45352</v>
      </c>
      <c r="P71" s="82" t="n">
        <v>46524</v>
      </c>
      <c r="R71" s="81" t="n">
        <v>0</v>
      </c>
      <c r="S71" s="81" t="n">
        <v>0</v>
      </c>
      <c r="T71" s="81" t="n">
        <v>0</v>
      </c>
      <c r="Y71" s="81" t="n">
        <v>1066</v>
      </c>
    </row>
    <row r="72">
      <c r="A72" s="72">
        <f>$D$21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INDEX($C$5:$C$8,MATCH(I72,$D$5:$D$8,0))</f>
        <v/>
      </c>
      <c r="E72" s="72">
        <f>INDEX($E$5:$E$8,MATCH(D72,$C$5:$C$8,0))</f>
        <v/>
      </c>
      <c r="F72" s="72">
        <f>INDEX($F$5:$F$8,MATCH(D72,$C$5:$C$8,0))</f>
        <v/>
      </c>
      <c r="G72" s="72">
        <f>INDEX($G$5:$G$8,MATCH(D72,$C$5:$C$8,0))</f>
        <v/>
      </c>
      <c r="H72" s="72" t="inlineStr">
        <is>
          <t>Unit 207</t>
        </is>
      </c>
      <c r="I72" s="72" t="inlineStr">
        <is>
          <t>2 BD / 1.5 BA</t>
        </is>
      </c>
      <c r="J72" s="80" t="n">
        <v>1008</v>
      </c>
      <c r="K72" s="72" t="inlineStr">
        <is>
          <t>April L. Moore</t>
        </is>
      </c>
      <c r="L72" s="81" t="n">
        <v>1315</v>
      </c>
      <c r="M72" s="81">
        <f>Y72</f>
        <v/>
      </c>
      <c r="O72" s="82" t="n">
        <v>44958</v>
      </c>
      <c r="P72" s="82" t="n">
        <v>46461</v>
      </c>
      <c r="R72" s="81" t="n">
        <v>0</v>
      </c>
      <c r="S72" s="81" t="n">
        <v>0</v>
      </c>
      <c r="T72" s="81" t="n">
        <v>0</v>
      </c>
      <c r="Y72" s="81" t="n">
        <v>1375</v>
      </c>
    </row>
    <row r="73">
      <c r="A73" s="72">
        <f>$D$21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INDEX($C$5:$C$8,MATCH(I73,$D$5:$D$8,0))</f>
        <v/>
      </c>
      <c r="E73" s="72">
        <f>INDEX($E$5:$E$8,MATCH(D73,$C$5:$C$8,0))</f>
        <v/>
      </c>
      <c r="F73" s="72">
        <f>INDEX($F$5:$F$8,MATCH(D73,$C$5:$C$8,0))</f>
        <v/>
      </c>
      <c r="G73" s="72">
        <f>INDEX($G$5:$G$8,MATCH(D73,$C$5:$C$8,0))</f>
        <v/>
      </c>
      <c r="H73" s="72" t="inlineStr">
        <is>
          <t>Unit 208</t>
        </is>
      </c>
      <c r="I73" s="72" t="inlineStr">
        <is>
          <t>2 BD / 2 BA</t>
        </is>
      </c>
      <c r="J73" s="80" t="n">
        <v>924</v>
      </c>
      <c r="K73" s="72" t="inlineStr">
        <is>
          <t>James  Sedley</t>
        </is>
      </c>
      <c r="L73" s="81" t="n">
        <v>1365</v>
      </c>
      <c r="M73" s="81">
        <f>Y73</f>
        <v/>
      </c>
      <c r="O73" s="82" t="n">
        <v>45139</v>
      </c>
      <c r="P73" s="82" t="n">
        <v>46587</v>
      </c>
      <c r="R73" s="81" t="n">
        <v>0</v>
      </c>
      <c r="S73" s="81" t="n">
        <v>0</v>
      </c>
      <c r="T73" s="81" t="n">
        <v>0</v>
      </c>
      <c r="Y73" s="81" t="n">
        <v>1386</v>
      </c>
    </row>
    <row r="74">
      <c r="A74" s="72">
        <f>$D$21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INDEX($C$5:$C$8,MATCH(I74,$D$5:$D$8,0))</f>
        <v/>
      </c>
      <c r="E74" s="72">
        <f>INDEX($E$5:$E$8,MATCH(D74,$C$5:$C$8,0))</f>
        <v/>
      </c>
      <c r="F74" s="72">
        <f>INDEX($F$5:$F$8,MATCH(D74,$C$5:$C$8,0))</f>
        <v/>
      </c>
      <c r="G74" s="72">
        <f>INDEX($G$5:$G$8,MATCH(D74,$C$5:$C$8,0))</f>
        <v/>
      </c>
      <c r="H74" s="72" t="inlineStr">
        <is>
          <t>Unit 209</t>
        </is>
      </c>
      <c r="I74" s="72" t="inlineStr">
        <is>
          <t>1 BD / 1 BA</t>
        </is>
      </c>
      <c r="J74" s="80" t="n">
        <v>682</v>
      </c>
      <c r="K74" s="72" t="inlineStr">
        <is>
          <t>Joshua T. Sikora</t>
        </is>
      </c>
      <c r="L74" s="81" t="n">
        <v>1025</v>
      </c>
      <c r="M74" s="81">
        <f>Y74</f>
        <v/>
      </c>
      <c r="O74" s="82" t="n">
        <v>45047</v>
      </c>
      <c r="P74" s="82" t="n">
        <v>46524</v>
      </c>
      <c r="R74" s="81" t="n">
        <v>0</v>
      </c>
      <c r="S74" s="81" t="n">
        <v>0</v>
      </c>
      <c r="T74" s="81" t="n">
        <v>0</v>
      </c>
      <c r="Y74" s="81" t="n">
        <v>1095</v>
      </c>
    </row>
    <row r="75">
      <c r="A75" s="83">
        <f>$D$21</f>
        <v/>
      </c>
      <c r="B75" s="83">
        <f>B74+1</f>
        <v/>
      </c>
      <c r="C75" s="83">
        <f>IF(K75="Vacant","Vac",IF(K75="Model","Model",IF(K75="Admin","Admin",IF(K75="Down","Down",IF(K75="Super","Super","Occ")))))</f>
        <v/>
      </c>
      <c r="D75" s="83">
        <f>INDEX($C$5:$C$8,MATCH(I75,$D$5:$D$8,0))</f>
        <v/>
      </c>
      <c r="E75" s="83">
        <f>INDEX($E$5:$E$8,MATCH(D75,$C$5:$C$8,0))</f>
        <v/>
      </c>
      <c r="F75" s="83">
        <f>INDEX($F$5:$F$8,MATCH(D75,$C$5:$C$8,0))</f>
        <v/>
      </c>
      <c r="G75" s="83">
        <f>INDEX($G$5:$G$8,MATCH(D75,$C$5:$C$8,0))</f>
        <v/>
      </c>
      <c r="H75" s="83" t="inlineStr">
        <is>
          <t>Unit 210</t>
        </is>
      </c>
      <c r="I75" s="83" t="inlineStr">
        <is>
          <t>1 BD / 1 BA</t>
        </is>
      </c>
      <c r="J75" s="84" t="n">
        <v>682</v>
      </c>
      <c r="K75" s="83" t="inlineStr">
        <is>
          <t>Vacant</t>
        </is>
      </c>
      <c r="L75" s="85" t="n">
        <v>975</v>
      </c>
      <c r="M75" s="85">
        <f>Y75</f>
        <v/>
      </c>
      <c r="N75" s="86" t="n"/>
      <c r="O75" s="86" t="n"/>
      <c r="P75" s="86" t="n"/>
      <c r="Q75" s="86" t="n"/>
      <c r="R75" s="85" t="n">
        <v>0</v>
      </c>
      <c r="S75" s="85" t="n">
        <v>0</v>
      </c>
      <c r="T75" s="85" t="n">
        <v>0</v>
      </c>
      <c r="U75" s="86" t="n"/>
      <c r="V75" s="86" t="n"/>
      <c r="W75" s="86" t="n"/>
      <c r="X75" s="86" t="n"/>
      <c r="Y75" s="85" t="n">
        <v>0</v>
      </c>
    </row>
    <row r="76">
      <c r="A76" s="72">
        <f>$D$21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INDEX($C$5:$C$8,MATCH(I76,$D$5:$D$8,0))</f>
        <v/>
      </c>
      <c r="E76" s="72">
        <f>INDEX($E$5:$E$8,MATCH(D76,$C$5:$C$8,0))</f>
        <v/>
      </c>
      <c r="F76" s="72">
        <f>INDEX($F$5:$F$8,MATCH(D76,$C$5:$C$8,0))</f>
        <v/>
      </c>
      <c r="G76" s="72">
        <f>INDEX($G$5:$G$8,MATCH(D76,$C$5:$C$8,0))</f>
        <v/>
      </c>
      <c r="H76" s="72" t="inlineStr">
        <is>
          <t>Unit 211</t>
        </is>
      </c>
      <c r="I76" s="72" t="inlineStr">
        <is>
          <t>2 BD / 2 BA</t>
        </is>
      </c>
      <c r="J76" s="80" t="n">
        <v>924</v>
      </c>
      <c r="K76" s="72" t="inlineStr">
        <is>
          <t>Jason C. Freidet</t>
        </is>
      </c>
      <c r="L76" s="81" t="n">
        <v>1365</v>
      </c>
      <c r="M76" s="81">
        <f>Y76</f>
        <v/>
      </c>
      <c r="O76" s="82" t="n">
        <v>46216</v>
      </c>
      <c r="P76" s="82" t="n">
        <v>46594</v>
      </c>
      <c r="R76" s="81" t="n">
        <v>0</v>
      </c>
      <c r="S76" s="81" t="n">
        <v>0</v>
      </c>
      <c r="T76" s="81" t="n">
        <v>0</v>
      </c>
      <c r="Y76" s="81" t="n">
        <v>1365</v>
      </c>
    </row>
    <row r="77">
      <c r="A77" s="83">
        <f>$D$21</f>
        <v/>
      </c>
      <c r="B77" s="83">
        <f>B76+1</f>
        <v/>
      </c>
      <c r="C77" s="83">
        <f>IF(K77="Vacant","Vac",IF(K77="Model","Model",IF(K77="Admin","Admin",IF(K77="Down","Down",IF(K77="Super","Super","Occ")))))</f>
        <v/>
      </c>
      <c r="D77" s="83">
        <f>INDEX($C$5:$C$8,MATCH(I77,$D$5:$D$8,0))</f>
        <v/>
      </c>
      <c r="E77" s="83">
        <f>INDEX($E$5:$E$8,MATCH(D77,$C$5:$C$8,0))</f>
        <v/>
      </c>
      <c r="F77" s="83">
        <f>INDEX($F$5:$F$8,MATCH(D77,$C$5:$C$8,0))</f>
        <v/>
      </c>
      <c r="G77" s="83">
        <f>INDEX($G$5:$G$8,MATCH(D77,$C$5:$C$8,0))</f>
        <v/>
      </c>
      <c r="H77" s="83" t="inlineStr">
        <is>
          <t>Unit 212</t>
        </is>
      </c>
      <c r="I77" s="83" t="inlineStr">
        <is>
          <t>2 BD / 1.5 BA</t>
        </is>
      </c>
      <c r="J77" s="84" t="n">
        <v>1008</v>
      </c>
      <c r="K77" s="83" t="inlineStr">
        <is>
          <t>Vacant</t>
        </is>
      </c>
      <c r="L77" s="85" t="n">
        <v>1315</v>
      </c>
      <c r="M77" s="85">
        <f>Y77</f>
        <v/>
      </c>
      <c r="N77" s="86" t="n"/>
      <c r="O77" s="86" t="n"/>
      <c r="P77" s="86" t="n"/>
      <c r="Q77" s="86" t="n"/>
      <c r="R77" s="85" t="n">
        <v>0</v>
      </c>
      <c r="S77" s="85" t="n">
        <v>0</v>
      </c>
      <c r="T77" s="85" t="n">
        <v>0</v>
      </c>
      <c r="U77" s="86" t="n"/>
      <c r="V77" s="86" t="n"/>
      <c r="W77" s="86" t="n"/>
      <c r="X77" s="86" t="n"/>
      <c r="Y77" s="85" t="n">
        <v>0</v>
      </c>
    </row>
    <row r="78">
      <c r="A78" s="72">
        <f>$D$21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INDEX($C$5:$C$8,MATCH(I78,$D$5:$D$8,0))</f>
        <v/>
      </c>
      <c r="E78" s="72">
        <f>INDEX($E$5:$E$8,MATCH(D78,$C$5:$C$8,0))</f>
        <v/>
      </c>
      <c r="F78" s="72">
        <f>INDEX($F$5:$F$8,MATCH(D78,$C$5:$C$8,0))</f>
        <v/>
      </c>
      <c r="G78" s="72">
        <f>INDEX($G$5:$G$8,MATCH(D78,$C$5:$C$8,0))</f>
        <v/>
      </c>
      <c r="H78" s="72" t="inlineStr">
        <is>
          <t>Unit 214</t>
        </is>
      </c>
      <c r="I78" s="72" t="inlineStr">
        <is>
          <t>1 BD / 1 BA</t>
        </is>
      </c>
      <c r="J78" s="80" t="n">
        <v>682</v>
      </c>
      <c r="K78" s="72" t="inlineStr">
        <is>
          <t>Moses L. Cunningham</t>
        </is>
      </c>
      <c r="L78" s="81" t="n">
        <v>1025</v>
      </c>
      <c r="M78" s="81">
        <f>Y78</f>
        <v/>
      </c>
      <c r="O78" s="82" t="n">
        <v>44860</v>
      </c>
      <c r="P78" s="82" t="n">
        <v>46314</v>
      </c>
      <c r="R78" s="81" t="n">
        <v>0</v>
      </c>
      <c r="S78" s="81" t="n">
        <v>0</v>
      </c>
      <c r="T78" s="81" t="n">
        <v>0</v>
      </c>
      <c r="Y78" s="81" t="n">
        <v>995</v>
      </c>
    </row>
    <row r="79">
      <c r="A79" s="72">
        <f>$D$21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INDEX($C$5:$C$8,MATCH(I79,$D$5:$D$8,0))</f>
        <v/>
      </c>
      <c r="E79" s="72">
        <f>INDEX($E$5:$E$8,MATCH(D79,$C$5:$C$8,0))</f>
        <v/>
      </c>
      <c r="F79" s="72">
        <f>INDEX($F$5:$F$8,MATCH(D79,$C$5:$C$8,0))</f>
        <v/>
      </c>
      <c r="G79" s="72">
        <f>INDEX($G$5:$G$8,MATCH(D79,$C$5:$C$8,0))</f>
        <v/>
      </c>
      <c r="H79" s="72" t="inlineStr">
        <is>
          <t>Unit 215</t>
        </is>
      </c>
      <c r="I79" s="72" t="inlineStr">
        <is>
          <t>2 BD / 1.5 BA</t>
        </is>
      </c>
      <c r="J79" s="80" t="n">
        <v>1008</v>
      </c>
      <c r="K79" s="72" t="inlineStr">
        <is>
          <t>Janardan Jayaraman</t>
        </is>
      </c>
      <c r="L79" s="81" t="n">
        <v>1500</v>
      </c>
      <c r="M79" s="81">
        <f>Y79</f>
        <v/>
      </c>
      <c r="O79" s="82" t="n">
        <v>44958</v>
      </c>
      <c r="P79" s="82" t="n">
        <v>46482</v>
      </c>
      <c r="R79" s="81" t="n">
        <v>0</v>
      </c>
      <c r="S79" s="81" t="n">
        <v>0</v>
      </c>
      <c r="T79" s="81" t="n">
        <v>0</v>
      </c>
      <c r="Y79" s="81" t="n">
        <v>1368</v>
      </c>
    </row>
    <row r="80">
      <c r="A80" s="72">
        <f>$D$21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INDEX($C$5:$C$8,MATCH(I80,$D$5:$D$8,0))</f>
        <v/>
      </c>
      <c r="E80" s="72">
        <f>INDEX($E$5:$E$8,MATCH(D80,$C$5:$C$8,0))</f>
        <v/>
      </c>
      <c r="F80" s="72">
        <f>INDEX($F$5:$F$8,MATCH(D80,$C$5:$C$8,0))</f>
        <v/>
      </c>
      <c r="G80" s="72">
        <f>INDEX($G$5:$G$8,MATCH(D80,$C$5:$C$8,0))</f>
        <v/>
      </c>
      <c r="H80" s="72" t="inlineStr">
        <is>
          <t>Unit 216</t>
        </is>
      </c>
      <c r="I80" s="72" t="inlineStr">
        <is>
          <t>2 BD / 2 BA</t>
        </is>
      </c>
      <c r="J80" s="80" t="n">
        <v>924</v>
      </c>
      <c r="K80" s="72" t="inlineStr">
        <is>
          <t>Joe Vogel</t>
        </is>
      </c>
      <c r="L80" s="81" t="n">
        <v>1425</v>
      </c>
      <c r="M80" s="81">
        <f>Y80</f>
        <v/>
      </c>
      <c r="O80" s="82" t="n">
        <v>46176</v>
      </c>
      <c r="P80" s="82" t="n">
        <v>46545</v>
      </c>
      <c r="R80" s="81" t="n">
        <v>0</v>
      </c>
      <c r="S80" s="81" t="n">
        <v>0</v>
      </c>
      <c r="T80" s="81" t="n">
        <v>0</v>
      </c>
      <c r="Y80" s="81" t="n">
        <v>1425</v>
      </c>
    </row>
    <row r="81">
      <c r="A81" s="72">
        <f>$D$21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INDEX($C$5:$C$8,MATCH(I81,$D$5:$D$8,0))</f>
        <v/>
      </c>
      <c r="E81" s="72">
        <f>INDEX($E$5:$E$8,MATCH(D81,$C$5:$C$8,0))</f>
        <v/>
      </c>
      <c r="F81" s="72">
        <f>INDEX($F$5:$F$8,MATCH(D81,$C$5:$C$8,0))</f>
        <v/>
      </c>
      <c r="G81" s="72">
        <f>INDEX($G$5:$G$8,MATCH(D81,$C$5:$C$8,0))</f>
        <v/>
      </c>
      <c r="H81" s="72" t="inlineStr">
        <is>
          <t>Unit 217</t>
        </is>
      </c>
      <c r="I81" s="72" t="inlineStr">
        <is>
          <t>1 BD / 1 BA</t>
        </is>
      </c>
      <c r="J81" s="80" t="n">
        <v>682</v>
      </c>
      <c r="K81" s="72" t="inlineStr">
        <is>
          <t>James B. Phillips</t>
        </is>
      </c>
      <c r="L81" s="81" t="n">
        <v>1025</v>
      </c>
      <c r="M81" s="81">
        <f>Y81</f>
        <v/>
      </c>
      <c r="O81" s="82" t="n">
        <v>46127</v>
      </c>
      <c r="P81" s="82" t="n">
        <v>46510</v>
      </c>
      <c r="R81" s="81" t="n">
        <v>0</v>
      </c>
      <c r="S81" s="81" t="n">
        <v>0</v>
      </c>
      <c r="T81" s="81" t="n">
        <v>0</v>
      </c>
      <c r="Y81" s="81" t="n">
        <v>975</v>
      </c>
    </row>
    <row r="82">
      <c r="A82" s="72">
        <f>$D$21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INDEX($C$5:$C$8,MATCH(I82,$D$5:$D$8,0))</f>
        <v/>
      </c>
      <c r="E82" s="72">
        <f>INDEX($E$5:$E$8,MATCH(D82,$C$5:$C$8,0))</f>
        <v/>
      </c>
      <c r="F82" s="72">
        <f>INDEX($F$5:$F$8,MATCH(D82,$C$5:$C$8,0))</f>
        <v/>
      </c>
      <c r="G82" s="72">
        <f>INDEX($G$5:$G$8,MATCH(D82,$C$5:$C$8,0))</f>
        <v/>
      </c>
      <c r="H82" s="72" t="inlineStr">
        <is>
          <t>Unit 301</t>
        </is>
      </c>
      <c r="I82" s="72" t="inlineStr">
        <is>
          <t>1 BD / 1 BA</t>
        </is>
      </c>
      <c r="J82" s="80" t="n">
        <v>682</v>
      </c>
      <c r="K82" s="72" t="inlineStr">
        <is>
          <t>David C. Campbell</t>
        </is>
      </c>
      <c r="L82" s="81" t="n">
        <v>1025</v>
      </c>
      <c r="M82" s="81">
        <f>Y82</f>
        <v/>
      </c>
      <c r="O82" s="82" t="n">
        <v>46080</v>
      </c>
      <c r="P82" s="82" t="n">
        <v>46468</v>
      </c>
      <c r="R82" s="81" t="n">
        <v>0</v>
      </c>
      <c r="S82" s="81" t="n">
        <v>0</v>
      </c>
      <c r="T82" s="81" t="n">
        <v>0</v>
      </c>
      <c r="Y82" s="81" t="n">
        <v>975</v>
      </c>
    </row>
    <row r="83">
      <c r="A83" s="72">
        <f>$D$21</f>
        <v/>
      </c>
      <c r="B83" s="72">
        <f>B82+1</f>
        <v/>
      </c>
      <c r="C83" s="72">
        <f>IF(K83="Vacant","Vac",IF(K83="Model","Model",IF(K83="Admin","Admin",IF(K83="Down","Down",IF(K83="Super","Super","Occ")))))</f>
        <v/>
      </c>
      <c r="D83" s="72">
        <f>INDEX($C$5:$C$8,MATCH(I83,$D$5:$D$8,0))</f>
        <v/>
      </c>
      <c r="E83" s="72">
        <f>INDEX($E$5:$E$8,MATCH(D83,$C$5:$C$8,0))</f>
        <v/>
      </c>
      <c r="F83" s="72">
        <f>INDEX($F$5:$F$8,MATCH(D83,$C$5:$C$8,0))</f>
        <v/>
      </c>
      <c r="G83" s="72">
        <f>INDEX($G$5:$G$8,MATCH(D83,$C$5:$C$8,0))</f>
        <v/>
      </c>
      <c r="H83" s="72" t="inlineStr">
        <is>
          <t>Unit 302</t>
        </is>
      </c>
      <c r="I83" s="72" t="inlineStr">
        <is>
          <t>2 BD / 1.5 BA</t>
        </is>
      </c>
      <c r="J83" s="80" t="n">
        <v>1008</v>
      </c>
      <c r="K83" s="72" t="inlineStr">
        <is>
          <t>Robert    Chiodo</t>
        </is>
      </c>
      <c r="L83" s="81" t="n">
        <v>1500</v>
      </c>
      <c r="M83" s="81">
        <f>Y83</f>
        <v/>
      </c>
      <c r="O83" s="82" t="n">
        <v>45047</v>
      </c>
      <c r="P83" s="82" t="n">
        <v>46524</v>
      </c>
      <c r="R83" s="81" t="n">
        <v>0</v>
      </c>
      <c r="S83" s="81" t="n">
        <v>0</v>
      </c>
      <c r="T83" s="81" t="n">
        <v>0</v>
      </c>
      <c r="Y83" s="81" t="n">
        <v>1401</v>
      </c>
    </row>
    <row r="84">
      <c r="A84" s="72">
        <f>$D$21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INDEX($C$5:$C$8,MATCH(I84,$D$5:$D$8,0))</f>
        <v/>
      </c>
      <c r="E84" s="72">
        <f>INDEX($E$5:$E$8,MATCH(D84,$C$5:$C$8,0))</f>
        <v/>
      </c>
      <c r="F84" s="72">
        <f>INDEX($F$5:$F$8,MATCH(D84,$C$5:$C$8,0))</f>
        <v/>
      </c>
      <c r="G84" s="72">
        <f>INDEX($G$5:$G$8,MATCH(D84,$C$5:$C$8,0))</f>
        <v/>
      </c>
      <c r="H84" s="72" t="inlineStr">
        <is>
          <t>Unit 303</t>
        </is>
      </c>
      <c r="I84" s="72" t="inlineStr">
        <is>
          <t>2 BD / 1.5 BA</t>
        </is>
      </c>
      <c r="J84" s="80" t="n">
        <v>1008</v>
      </c>
      <c r="K84" s="72" t="inlineStr">
        <is>
          <t>Elizabeth Camargo</t>
        </is>
      </c>
      <c r="L84" s="81" t="n">
        <v>1315</v>
      </c>
      <c r="M84" s="81">
        <f>Y84</f>
        <v/>
      </c>
      <c r="O84" s="82" t="n">
        <v>44774</v>
      </c>
      <c r="P84" s="82" t="n">
        <v>46587</v>
      </c>
      <c r="R84" s="81" t="n">
        <v>0</v>
      </c>
      <c r="S84" s="81" t="n">
        <v>0</v>
      </c>
      <c r="T84" s="81" t="n">
        <v>0</v>
      </c>
      <c r="Y84" s="81" t="n">
        <v>1354</v>
      </c>
    </row>
    <row r="85">
      <c r="A85" s="72">
        <f>$D$21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INDEX($C$5:$C$8,MATCH(I85,$D$5:$D$8,0))</f>
        <v/>
      </c>
      <c r="E85" s="72">
        <f>INDEX($E$5:$E$8,MATCH(D85,$C$5:$C$8,0))</f>
        <v/>
      </c>
      <c r="F85" s="72">
        <f>INDEX($F$5:$F$8,MATCH(D85,$C$5:$C$8,0))</f>
        <v/>
      </c>
      <c r="G85" s="72">
        <f>INDEX($G$5:$G$8,MATCH(D85,$C$5:$C$8,0))</f>
        <v/>
      </c>
      <c r="H85" s="72" t="inlineStr">
        <is>
          <t>Unit 304</t>
        </is>
      </c>
      <c r="I85" s="72" t="inlineStr">
        <is>
          <t>1 BD / 1 BA</t>
        </is>
      </c>
      <c r="J85" s="80" t="n">
        <v>682</v>
      </c>
      <c r="K85" s="72" t="inlineStr">
        <is>
          <t>Anita Feitt</t>
        </is>
      </c>
      <c r="L85" s="81" t="n">
        <v>1025</v>
      </c>
      <c r="M85" s="81">
        <f>Y85</f>
        <v/>
      </c>
      <c r="O85" s="82" t="n">
        <v>45153</v>
      </c>
      <c r="P85" s="82" t="n">
        <v>46615</v>
      </c>
      <c r="R85" s="81" t="n">
        <v>0</v>
      </c>
      <c r="S85" s="81" t="n">
        <v>0</v>
      </c>
      <c r="T85" s="81" t="n">
        <v>0</v>
      </c>
      <c r="Y85" s="81" t="n">
        <v>995</v>
      </c>
    </row>
    <row r="86">
      <c r="A86" s="72">
        <f>$D$21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INDEX($C$5:$C$8,MATCH(I86,$D$5:$D$8,0))</f>
        <v/>
      </c>
      <c r="E86" s="72">
        <f>INDEX($E$5:$E$8,MATCH(D86,$C$5:$C$8,0))</f>
        <v/>
      </c>
      <c r="F86" s="72">
        <f>INDEX($F$5:$F$8,MATCH(D86,$C$5:$C$8,0))</f>
        <v/>
      </c>
      <c r="G86" s="72">
        <f>INDEX($G$5:$G$8,MATCH(D86,$C$5:$C$8,0))</f>
        <v/>
      </c>
      <c r="H86" s="72" t="inlineStr">
        <is>
          <t>Unit 305</t>
        </is>
      </c>
      <c r="I86" s="72" t="inlineStr">
        <is>
          <t>1 BD / 1 BA</t>
        </is>
      </c>
      <c r="J86" s="80" t="n">
        <v>682</v>
      </c>
      <c r="K86" s="72" t="inlineStr">
        <is>
          <t>Gary S. Tarleton</t>
        </is>
      </c>
      <c r="L86" s="81" t="n">
        <v>1025</v>
      </c>
      <c r="M86" s="81">
        <f>Y86</f>
        <v/>
      </c>
      <c r="O86" s="82" t="n">
        <v>45170</v>
      </c>
      <c r="P86" s="82" t="n">
        <v>46615</v>
      </c>
      <c r="R86" s="81" t="n">
        <v>0</v>
      </c>
      <c r="S86" s="81" t="n">
        <v>0</v>
      </c>
      <c r="T86" s="81" t="n">
        <v>0</v>
      </c>
      <c r="Y86" s="81" t="n">
        <v>1049</v>
      </c>
    </row>
    <row r="87">
      <c r="A87" s="72">
        <f>$D$21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INDEX($C$5:$C$8,MATCH(I87,$D$5:$D$8,0))</f>
        <v/>
      </c>
      <c r="E87" s="72">
        <f>INDEX($E$5:$E$8,MATCH(D87,$C$5:$C$8,0))</f>
        <v/>
      </c>
      <c r="F87" s="72">
        <f>INDEX($F$5:$F$8,MATCH(D87,$C$5:$C$8,0))</f>
        <v/>
      </c>
      <c r="G87" s="72">
        <f>INDEX($G$5:$G$8,MATCH(D87,$C$5:$C$8,0))</f>
        <v/>
      </c>
      <c r="H87" s="72" t="inlineStr">
        <is>
          <t>Unit 306</t>
        </is>
      </c>
      <c r="I87" s="72" t="inlineStr">
        <is>
          <t>1 BD / 1 BA</t>
        </is>
      </c>
      <c r="J87" s="80" t="n">
        <v>682</v>
      </c>
      <c r="K87" s="72" t="inlineStr">
        <is>
          <t>Theresa  Good</t>
        </is>
      </c>
      <c r="L87" s="81" t="n">
        <v>1025</v>
      </c>
      <c r="M87" s="81">
        <f>Y87</f>
        <v/>
      </c>
      <c r="O87" s="82" t="n">
        <v>45017</v>
      </c>
      <c r="P87" s="82" t="n">
        <v>46482</v>
      </c>
      <c r="R87" s="81" t="n">
        <v>0</v>
      </c>
      <c r="S87" s="81" t="n">
        <v>0</v>
      </c>
      <c r="T87" s="81" t="n">
        <v>0</v>
      </c>
      <c r="Y87" s="81" t="n">
        <v>1014</v>
      </c>
    </row>
    <row r="88">
      <c r="A88" s="72">
        <f>$D$21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INDEX($C$5:$C$8,MATCH(I88,$D$5:$D$8,0))</f>
        <v/>
      </c>
      <c r="E88" s="72">
        <f>INDEX($E$5:$E$8,MATCH(D88,$C$5:$C$8,0))</f>
        <v/>
      </c>
      <c r="F88" s="72">
        <f>INDEX($F$5:$F$8,MATCH(D88,$C$5:$C$8,0))</f>
        <v/>
      </c>
      <c r="G88" s="72">
        <f>INDEX($G$5:$G$8,MATCH(D88,$C$5:$C$8,0))</f>
        <v/>
      </c>
      <c r="H88" s="72" t="inlineStr">
        <is>
          <t>Unit 307</t>
        </is>
      </c>
      <c r="I88" s="72" t="inlineStr">
        <is>
          <t>2 BD / 1.5 BA</t>
        </is>
      </c>
      <c r="J88" s="80" t="n">
        <v>1008</v>
      </c>
      <c r="K88" s="72" t="inlineStr">
        <is>
          <t>Sarah A. McCormick</t>
        </is>
      </c>
      <c r="L88" s="81" t="n">
        <v>1315</v>
      </c>
      <c r="M88" s="81">
        <f>Y88</f>
        <v/>
      </c>
      <c r="O88" s="82" t="n">
        <v>45017</v>
      </c>
      <c r="P88" s="82" t="n">
        <v>46461</v>
      </c>
      <c r="R88" s="81" t="n">
        <v>0</v>
      </c>
      <c r="S88" s="81" t="n">
        <v>0</v>
      </c>
      <c r="T88" s="81" t="n">
        <v>0</v>
      </c>
      <c r="Y88" s="81" t="n">
        <v>1315</v>
      </c>
    </row>
    <row r="89">
      <c r="A89" s="72">
        <f>$D$21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INDEX($C$5:$C$8,MATCH(I89,$D$5:$D$8,0))</f>
        <v/>
      </c>
      <c r="E89" s="72">
        <f>INDEX($E$5:$E$8,MATCH(D89,$C$5:$C$8,0))</f>
        <v/>
      </c>
      <c r="F89" s="72">
        <f>INDEX($F$5:$F$8,MATCH(D89,$C$5:$C$8,0))</f>
        <v/>
      </c>
      <c r="G89" s="72">
        <f>INDEX($G$5:$G$8,MATCH(D89,$C$5:$C$8,0))</f>
        <v/>
      </c>
      <c r="H89" s="72" t="inlineStr">
        <is>
          <t>Unit 308</t>
        </is>
      </c>
      <c r="I89" s="72" t="inlineStr">
        <is>
          <t>2 BD / 1.5 BA</t>
        </is>
      </c>
      <c r="J89" s="80" t="n">
        <v>1008</v>
      </c>
      <c r="K89" s="72" t="inlineStr">
        <is>
          <t>Ruth N. Erl</t>
        </is>
      </c>
      <c r="L89" s="81" t="n">
        <v>1315</v>
      </c>
      <c r="M89" s="81">
        <f>Y89</f>
        <v/>
      </c>
      <c r="O89" s="82" t="n">
        <v>45566</v>
      </c>
      <c r="R89" s="81" t="n">
        <v>0</v>
      </c>
      <c r="S89" s="81" t="n">
        <v>0</v>
      </c>
      <c r="T89" s="81" t="n">
        <v>0</v>
      </c>
      <c r="Y89" s="81" t="n">
        <v>1320</v>
      </c>
    </row>
    <row r="90">
      <c r="A90" s="72">
        <f>$D$21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INDEX($C$5:$C$8,MATCH(I90,$D$5:$D$8,0))</f>
        <v/>
      </c>
      <c r="E90" s="72">
        <f>INDEX($E$5:$E$8,MATCH(D90,$C$5:$C$8,0))</f>
        <v/>
      </c>
      <c r="F90" s="72">
        <f>INDEX($F$5:$F$8,MATCH(D90,$C$5:$C$8,0))</f>
        <v/>
      </c>
      <c r="G90" s="72">
        <f>INDEX($G$5:$G$8,MATCH(D90,$C$5:$C$8,0))</f>
        <v/>
      </c>
      <c r="H90" s="72" t="inlineStr">
        <is>
          <t>Unit 309</t>
        </is>
      </c>
      <c r="I90" s="72" t="inlineStr">
        <is>
          <t>1 BD / 1 BA</t>
        </is>
      </c>
      <c r="J90" s="80" t="n">
        <v>682</v>
      </c>
      <c r="K90" s="72" t="inlineStr">
        <is>
          <t>Samantha M. Irvin</t>
        </is>
      </c>
      <c r="L90" s="81" t="n">
        <v>1025</v>
      </c>
      <c r="M90" s="81">
        <f>Y90</f>
        <v/>
      </c>
      <c r="O90" s="82" t="n">
        <v>46066</v>
      </c>
      <c r="P90" s="82" t="n">
        <v>46433</v>
      </c>
      <c r="R90" s="81" t="n">
        <v>0</v>
      </c>
      <c r="S90" s="81" t="n">
        <v>0</v>
      </c>
      <c r="T90" s="81" t="n">
        <v>0</v>
      </c>
      <c r="Y90" s="81" t="n">
        <v>975</v>
      </c>
    </row>
    <row r="91">
      <c r="A91" s="72">
        <f>$D$21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INDEX($C$5:$C$8,MATCH(I91,$D$5:$D$8,0))</f>
        <v/>
      </c>
      <c r="E91" s="72">
        <f>INDEX($E$5:$E$8,MATCH(D91,$C$5:$C$8,0))</f>
        <v/>
      </c>
      <c r="F91" s="72">
        <f>INDEX($F$5:$F$8,MATCH(D91,$C$5:$C$8,0))</f>
        <v/>
      </c>
      <c r="G91" s="72">
        <f>INDEX($G$5:$G$8,MATCH(D91,$C$5:$C$8,0))</f>
        <v/>
      </c>
      <c r="H91" s="72" t="inlineStr">
        <is>
          <t>Unit 310</t>
        </is>
      </c>
      <c r="I91" s="72" t="inlineStr">
        <is>
          <t>1 BD / 1 BA</t>
        </is>
      </c>
      <c r="J91" s="80" t="n">
        <v>682</v>
      </c>
      <c r="K91" s="72" t="inlineStr">
        <is>
          <t>Emma   Nelson</t>
        </is>
      </c>
      <c r="L91" s="81" t="n">
        <v>1025</v>
      </c>
      <c r="M91" s="81">
        <f>Y91</f>
        <v/>
      </c>
      <c r="O91" s="82" t="n">
        <v>45797</v>
      </c>
      <c r="P91" s="82" t="n">
        <v>46524</v>
      </c>
      <c r="R91" s="81" t="n">
        <v>0</v>
      </c>
      <c r="S91" s="81" t="n">
        <v>0</v>
      </c>
      <c r="T91" s="81" t="n">
        <v>0</v>
      </c>
      <c r="Y91" s="81" t="n">
        <v>1225</v>
      </c>
    </row>
    <row r="92">
      <c r="A92" s="72">
        <f>$D$21</f>
        <v/>
      </c>
      <c r="B92" s="72">
        <f>B91+1</f>
        <v/>
      </c>
      <c r="C92" s="72">
        <f>IF(K92="Vacant","Vac",IF(K92="Model","Model",IF(K92="Admin","Admin",IF(K92="Down","Down",IF(K92="Super","Super","Occ")))))</f>
        <v/>
      </c>
      <c r="D92" s="72">
        <f>INDEX($C$5:$C$8,MATCH(I92,$D$5:$D$8,0))</f>
        <v/>
      </c>
      <c r="E92" s="72">
        <f>INDEX($E$5:$E$8,MATCH(D92,$C$5:$C$8,0))</f>
        <v/>
      </c>
      <c r="F92" s="72">
        <f>INDEX($F$5:$F$8,MATCH(D92,$C$5:$C$8,0))</f>
        <v/>
      </c>
      <c r="G92" s="72">
        <f>INDEX($G$5:$G$8,MATCH(D92,$C$5:$C$8,0))</f>
        <v/>
      </c>
      <c r="H92" s="72" t="inlineStr">
        <is>
          <t>Unit 311</t>
        </is>
      </c>
      <c r="I92" s="72" t="inlineStr">
        <is>
          <t>2 BD / 2 BA</t>
        </is>
      </c>
      <c r="J92" s="80" t="n">
        <v>924</v>
      </c>
      <c r="K92" s="72" t="inlineStr">
        <is>
          <t>Dan  Burrows</t>
        </is>
      </c>
      <c r="L92" s="81" t="n">
        <v>1365</v>
      </c>
      <c r="M92" s="81">
        <f>Y92</f>
        <v/>
      </c>
      <c r="O92" s="82" t="n">
        <v>44896</v>
      </c>
      <c r="P92" s="82" t="n">
        <v>46601</v>
      </c>
      <c r="R92" s="81" t="n">
        <v>0</v>
      </c>
      <c r="S92" s="81" t="n">
        <v>0</v>
      </c>
      <c r="T92" s="81" t="n">
        <v>0</v>
      </c>
      <c r="Y92" s="81" t="n">
        <v>1360</v>
      </c>
    </row>
    <row r="93">
      <c r="A93" s="72">
        <f>$D$21</f>
        <v/>
      </c>
      <c r="B93" s="72">
        <f>B92+1</f>
        <v/>
      </c>
      <c r="C93" s="72">
        <f>IF(K93="Vacant","Vac",IF(K93="Model","Model",IF(K93="Admin","Admin",IF(K93="Down","Down",IF(K93="Super","Super","Occ")))))</f>
        <v/>
      </c>
      <c r="D93" s="72">
        <f>INDEX($C$5:$C$8,MATCH(I93,$D$5:$D$8,0))</f>
        <v/>
      </c>
      <c r="E93" s="72">
        <f>INDEX($E$5:$E$8,MATCH(D93,$C$5:$C$8,0))</f>
        <v/>
      </c>
      <c r="F93" s="72">
        <f>INDEX($F$5:$F$8,MATCH(D93,$C$5:$C$8,0))</f>
        <v/>
      </c>
      <c r="G93" s="72">
        <f>INDEX($G$5:$G$8,MATCH(D93,$C$5:$C$8,0))</f>
        <v/>
      </c>
      <c r="H93" s="72" t="inlineStr">
        <is>
          <t>Unit 312</t>
        </is>
      </c>
      <c r="I93" s="72" t="inlineStr">
        <is>
          <t>2 BD / 1.5 BA</t>
        </is>
      </c>
      <c r="J93" s="80" t="n">
        <v>1008</v>
      </c>
      <c r="K93" s="72" t="inlineStr">
        <is>
          <t>Marilyn McDonald</t>
        </is>
      </c>
      <c r="L93" s="81" t="n">
        <v>1500</v>
      </c>
      <c r="M93" s="81">
        <f>Y93</f>
        <v/>
      </c>
      <c r="O93" s="82" t="n">
        <v>44986</v>
      </c>
      <c r="P93" s="82" t="n">
        <v>46524</v>
      </c>
      <c r="R93" s="81" t="n">
        <v>0</v>
      </c>
      <c r="S93" s="81" t="n">
        <v>0</v>
      </c>
      <c r="T93" s="81" t="n">
        <v>0</v>
      </c>
      <c r="Y93" s="81" t="n">
        <v>1398</v>
      </c>
    </row>
    <row r="94">
      <c r="A94" s="72">
        <f>$D$21</f>
        <v/>
      </c>
      <c r="B94" s="72">
        <f>B93+1</f>
        <v/>
      </c>
      <c r="C94" s="72">
        <f>IF(K94="Vacant","Vac",IF(K94="Model","Model",IF(K94="Admin","Admin",IF(K94="Down","Down",IF(K94="Super","Super","Occ")))))</f>
        <v/>
      </c>
      <c r="D94" s="72">
        <f>INDEX($C$5:$C$8,MATCH(I94,$D$5:$D$8,0))</f>
        <v/>
      </c>
      <c r="E94" s="72">
        <f>INDEX($E$5:$E$8,MATCH(D94,$C$5:$C$8,0))</f>
        <v/>
      </c>
      <c r="F94" s="72">
        <f>INDEX($F$5:$F$8,MATCH(D94,$C$5:$C$8,0))</f>
        <v/>
      </c>
      <c r="G94" s="72">
        <f>INDEX($G$5:$G$8,MATCH(D94,$C$5:$C$8,0))</f>
        <v/>
      </c>
      <c r="H94" s="72" t="inlineStr">
        <is>
          <t>Unit 314</t>
        </is>
      </c>
      <c r="I94" s="72" t="inlineStr">
        <is>
          <t>1 BD / 1 BA</t>
        </is>
      </c>
      <c r="J94" s="80" t="n">
        <v>682</v>
      </c>
      <c r="K94" s="72" t="inlineStr">
        <is>
          <t>Judith  Ismail-Beigi</t>
        </is>
      </c>
      <c r="L94" s="81" t="n">
        <v>1025</v>
      </c>
      <c r="M94" s="81">
        <f>Y94</f>
        <v/>
      </c>
      <c r="O94" s="82" t="n">
        <v>45047</v>
      </c>
      <c r="P94" s="82" t="n">
        <v>46559</v>
      </c>
      <c r="R94" s="81" t="n">
        <v>0</v>
      </c>
      <c r="S94" s="81" t="n">
        <v>0</v>
      </c>
      <c r="T94" s="81" t="n">
        <v>0</v>
      </c>
      <c r="Y94" s="81" t="n">
        <v>1080</v>
      </c>
    </row>
    <row r="95">
      <c r="A95" s="72">
        <f>$D$21</f>
        <v/>
      </c>
      <c r="B95" s="72">
        <f>B94+1</f>
        <v/>
      </c>
      <c r="C95" s="72">
        <f>IF(K95="Vacant","Vac",IF(K95="Model","Model",IF(K95="Admin","Admin",IF(K95="Down","Down",IF(K95="Super","Super","Occ")))))</f>
        <v/>
      </c>
      <c r="D95" s="72">
        <f>INDEX($C$5:$C$8,MATCH(I95,$D$5:$D$8,0))</f>
        <v/>
      </c>
      <c r="E95" s="72">
        <f>INDEX($E$5:$E$8,MATCH(D95,$C$5:$C$8,0))</f>
        <v/>
      </c>
      <c r="F95" s="72">
        <f>INDEX($F$5:$F$8,MATCH(D95,$C$5:$C$8,0))</f>
        <v/>
      </c>
      <c r="G95" s="72">
        <f>INDEX($G$5:$G$8,MATCH(D95,$C$5:$C$8,0))</f>
        <v/>
      </c>
      <c r="H95" s="72" t="inlineStr">
        <is>
          <t>Unit 315</t>
        </is>
      </c>
      <c r="I95" s="72" t="inlineStr">
        <is>
          <t>2 BD / 1.5 BA</t>
        </is>
      </c>
      <c r="J95" s="80" t="n">
        <v>1008</v>
      </c>
      <c r="K95" s="72" t="inlineStr">
        <is>
          <t>Margaret    Critchlow</t>
        </is>
      </c>
      <c r="L95" s="81" t="n">
        <v>1500</v>
      </c>
      <c r="M95" s="81">
        <f>Y95</f>
        <v/>
      </c>
      <c r="O95" s="82" t="n">
        <v>45078</v>
      </c>
      <c r="P95" s="82" t="n">
        <v>46524</v>
      </c>
      <c r="R95" s="81" t="n">
        <v>0</v>
      </c>
      <c r="S95" s="81" t="n">
        <v>0</v>
      </c>
      <c r="T95" s="81" t="n">
        <v>0</v>
      </c>
      <c r="Y95" s="81" t="n">
        <v>1464</v>
      </c>
    </row>
    <row r="96">
      <c r="A96" s="72">
        <f>$D$21</f>
        <v/>
      </c>
      <c r="B96" s="72">
        <f>B95+1</f>
        <v/>
      </c>
      <c r="C96" s="72">
        <f>IF(K96="Vacant","Vac",IF(K96="Model","Model",IF(K96="Admin","Admin",IF(K96="Down","Down",IF(K96="Super","Super","Occ")))))</f>
        <v/>
      </c>
      <c r="D96" s="72">
        <f>INDEX($C$5:$C$8,MATCH(I96,$D$5:$D$8,0))</f>
        <v/>
      </c>
      <c r="E96" s="72">
        <f>INDEX($E$5:$E$8,MATCH(D96,$C$5:$C$8,0))</f>
        <v/>
      </c>
      <c r="F96" s="72">
        <f>INDEX($F$5:$F$8,MATCH(D96,$C$5:$C$8,0))</f>
        <v/>
      </c>
      <c r="G96" s="72">
        <f>INDEX($G$5:$G$8,MATCH(D96,$C$5:$C$8,0))</f>
        <v/>
      </c>
      <c r="H96" s="72" t="inlineStr">
        <is>
          <t>Unit 316</t>
        </is>
      </c>
      <c r="I96" s="72" t="inlineStr">
        <is>
          <t>2 BD / 2 BA</t>
        </is>
      </c>
      <c r="J96" s="80" t="n">
        <v>924</v>
      </c>
      <c r="K96" s="72" t="inlineStr">
        <is>
          <t>Patricia Callahan</t>
        </is>
      </c>
      <c r="L96" s="81" t="n">
        <v>1365</v>
      </c>
      <c r="M96" s="81">
        <f>Y96</f>
        <v/>
      </c>
      <c r="O96" s="82" t="n">
        <v>44470</v>
      </c>
      <c r="P96" s="82" t="n">
        <v>46650</v>
      </c>
      <c r="R96" s="81" t="n">
        <v>0</v>
      </c>
      <c r="S96" s="81" t="n">
        <v>0</v>
      </c>
      <c r="T96" s="81" t="n">
        <v>0</v>
      </c>
      <c r="Y96" s="81" t="n">
        <v>1315</v>
      </c>
    </row>
    <row r="97">
      <c r="A97" s="72">
        <f>$D$21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INDEX($C$5:$C$8,MATCH(I97,$D$5:$D$8,0))</f>
        <v/>
      </c>
      <c r="E97" s="72">
        <f>INDEX($E$5:$E$8,MATCH(D97,$C$5:$C$8,0))</f>
        <v/>
      </c>
      <c r="F97" s="72">
        <f>INDEX($F$5:$F$8,MATCH(D97,$C$5:$C$8,0))</f>
        <v/>
      </c>
      <c r="G97" s="72">
        <f>INDEX($G$5:$G$8,MATCH(D97,$C$5:$C$8,0))</f>
        <v/>
      </c>
      <c r="H97" s="72" t="inlineStr">
        <is>
          <t>Unit 317</t>
        </is>
      </c>
      <c r="I97" s="72" t="inlineStr">
        <is>
          <t>1 BD / 1 BA</t>
        </is>
      </c>
      <c r="J97" s="80" t="n">
        <v>682</v>
      </c>
      <c r="K97" s="72" t="inlineStr">
        <is>
          <t>Kathleen Niebling</t>
        </is>
      </c>
      <c r="L97" s="81" t="n">
        <v>1025</v>
      </c>
      <c r="M97" s="81">
        <f>Y97</f>
        <v/>
      </c>
      <c r="O97" s="82" t="n">
        <v>44896</v>
      </c>
      <c r="P97" s="82" t="n">
        <v>45985</v>
      </c>
      <c r="R97" s="81" t="n">
        <v>0</v>
      </c>
      <c r="S97" s="81" t="n">
        <v>0</v>
      </c>
      <c r="T97" s="81" t="n">
        <v>0</v>
      </c>
      <c r="Y97" s="81" t="n">
        <v>975</v>
      </c>
    </row>
    <row r="98">
      <c r="A98" s="72">
        <f>$D$21</f>
        <v/>
      </c>
      <c r="B98" s="72">
        <f>B97+1</f>
        <v/>
      </c>
      <c r="C98" s="72">
        <f>IF(K98="Vacant","Vac",IF(K98="Model","Model",IF(K98="Admin","Admin",IF(K98="Down","Down",IF(K98="Super","Super","Occ")))))</f>
        <v/>
      </c>
      <c r="D98" s="72">
        <f>INDEX($C$5:$C$8,MATCH(I98,$D$5:$D$8,0))</f>
        <v/>
      </c>
      <c r="E98" s="72">
        <f>INDEX($E$5:$E$8,MATCH(D98,$C$5:$C$8,0))</f>
        <v/>
      </c>
      <c r="F98" s="72">
        <f>INDEX($F$5:$F$8,MATCH(D98,$C$5:$C$8,0))</f>
        <v/>
      </c>
      <c r="G98" s="72">
        <f>INDEX($G$5:$G$8,MATCH(D98,$C$5:$C$8,0))</f>
        <v/>
      </c>
      <c r="H98" s="72" t="inlineStr">
        <is>
          <t>Unit 401</t>
        </is>
      </c>
      <c r="I98" s="72" t="inlineStr">
        <is>
          <t>1 BD / 1 BA</t>
        </is>
      </c>
      <c r="J98" s="80" t="n">
        <v>682</v>
      </c>
      <c r="K98" s="72" t="inlineStr">
        <is>
          <t>Janet  Jordan</t>
        </is>
      </c>
      <c r="L98" s="81" t="n">
        <v>1025</v>
      </c>
      <c r="M98" s="81">
        <f>Y98</f>
        <v/>
      </c>
      <c r="O98" s="82" t="n">
        <v>45047</v>
      </c>
      <c r="P98" s="82" t="n">
        <v>46139</v>
      </c>
      <c r="R98" s="81" t="n">
        <v>0</v>
      </c>
      <c r="S98" s="81" t="n">
        <v>0</v>
      </c>
      <c r="T98" s="81" t="n">
        <v>0</v>
      </c>
      <c r="Y98" s="81" t="n">
        <v>1024</v>
      </c>
    </row>
    <row r="99">
      <c r="A99" s="72">
        <f>$D$21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INDEX($C$5:$C$8,MATCH(I99,$D$5:$D$8,0))</f>
        <v/>
      </c>
      <c r="E99" s="72">
        <f>INDEX($E$5:$E$8,MATCH(D99,$C$5:$C$8,0))</f>
        <v/>
      </c>
      <c r="F99" s="72">
        <f>INDEX($F$5:$F$8,MATCH(D99,$C$5:$C$8,0))</f>
        <v/>
      </c>
      <c r="G99" s="72">
        <f>INDEX($G$5:$G$8,MATCH(D99,$C$5:$C$8,0))</f>
        <v/>
      </c>
      <c r="H99" s="72" t="inlineStr">
        <is>
          <t>Unit 402</t>
        </is>
      </c>
      <c r="I99" s="72" t="inlineStr">
        <is>
          <t>2 BD / 1.5 BA</t>
        </is>
      </c>
      <c r="J99" s="80" t="n">
        <v>1008</v>
      </c>
      <c r="K99" s="72" t="inlineStr">
        <is>
          <t>Kaleigh M. Mace</t>
        </is>
      </c>
      <c r="L99" s="81" t="n">
        <v>1500</v>
      </c>
      <c r="M99" s="81">
        <f>Y99</f>
        <v/>
      </c>
      <c r="O99" s="82" t="n">
        <v>45412</v>
      </c>
      <c r="P99" s="82" t="n">
        <v>46524</v>
      </c>
      <c r="R99" s="81" t="n">
        <v>0</v>
      </c>
      <c r="S99" s="81" t="n">
        <v>0</v>
      </c>
      <c r="T99" s="81" t="n">
        <v>0</v>
      </c>
      <c r="Y99" s="81" t="n">
        <v>1438</v>
      </c>
    </row>
    <row r="100">
      <c r="A100" s="72">
        <f>$D$21</f>
        <v/>
      </c>
      <c r="B100" s="72">
        <f>B99+1</f>
        <v/>
      </c>
      <c r="C100" s="72">
        <f>IF(K100="Vacant","Vac",IF(K100="Model","Model",IF(K100="Admin","Admin",IF(K100="Down","Down",IF(K100="Super","Super","Occ")))))</f>
        <v/>
      </c>
      <c r="D100" s="72">
        <f>INDEX($C$5:$C$8,MATCH(I100,$D$5:$D$8,0))</f>
        <v/>
      </c>
      <c r="E100" s="72">
        <f>INDEX($E$5:$E$8,MATCH(D100,$C$5:$C$8,0))</f>
        <v/>
      </c>
      <c r="F100" s="72">
        <f>INDEX($F$5:$F$8,MATCH(D100,$C$5:$C$8,0))</f>
        <v/>
      </c>
      <c r="G100" s="72">
        <f>INDEX($G$5:$G$8,MATCH(D100,$C$5:$C$8,0))</f>
        <v/>
      </c>
      <c r="H100" s="72" t="inlineStr">
        <is>
          <t>Unit 403</t>
        </is>
      </c>
      <c r="I100" s="72" t="inlineStr">
        <is>
          <t>2 BD / 1.5 BA</t>
        </is>
      </c>
      <c r="J100" s="80" t="n">
        <v>1008</v>
      </c>
      <c r="K100" s="72" t="inlineStr">
        <is>
          <t>Sarah F. Molitoris</t>
        </is>
      </c>
      <c r="L100" s="81" t="n">
        <v>1315</v>
      </c>
      <c r="M100" s="81">
        <f>Y100</f>
        <v/>
      </c>
      <c r="O100" s="82" t="n">
        <v>46179</v>
      </c>
      <c r="P100" s="82" t="n">
        <v>46552</v>
      </c>
      <c r="R100" s="81" t="n">
        <v>0</v>
      </c>
      <c r="S100" s="81" t="n">
        <v>0</v>
      </c>
      <c r="T100" s="81" t="n">
        <v>0</v>
      </c>
      <c r="Y100" s="81" t="n">
        <v>1315</v>
      </c>
    </row>
    <row r="101">
      <c r="A101" s="72">
        <f>$D$21</f>
        <v/>
      </c>
      <c r="B101" s="72">
        <f>B100+1</f>
        <v/>
      </c>
      <c r="C101" s="72">
        <f>IF(K101="Vacant","Vac",IF(K101="Model","Model",IF(K101="Admin","Admin",IF(K101="Down","Down",IF(K101="Super","Super","Occ")))))</f>
        <v/>
      </c>
      <c r="D101" s="72">
        <f>INDEX($C$5:$C$8,MATCH(I101,$D$5:$D$8,0))</f>
        <v/>
      </c>
      <c r="E101" s="72">
        <f>INDEX($E$5:$E$8,MATCH(D101,$C$5:$C$8,0))</f>
        <v/>
      </c>
      <c r="F101" s="72">
        <f>INDEX($F$5:$F$8,MATCH(D101,$C$5:$C$8,0))</f>
        <v/>
      </c>
      <c r="G101" s="72">
        <f>INDEX($G$5:$G$8,MATCH(D101,$C$5:$C$8,0))</f>
        <v/>
      </c>
      <c r="H101" s="72" t="inlineStr">
        <is>
          <t>Unit 404</t>
        </is>
      </c>
      <c r="I101" s="72" t="inlineStr">
        <is>
          <t>1 BD / 1 BA</t>
        </is>
      </c>
      <c r="J101" s="80" t="n">
        <v>682</v>
      </c>
      <c r="K101" s="72" t="inlineStr">
        <is>
          <t>Mariah A. Mullen</t>
        </is>
      </c>
      <c r="L101" s="81" t="n">
        <v>1025</v>
      </c>
      <c r="M101" s="81">
        <f>Y101</f>
        <v/>
      </c>
      <c r="O101" s="82" t="n">
        <v>45047</v>
      </c>
      <c r="P101" s="82" t="n">
        <v>46510</v>
      </c>
      <c r="R101" s="81" t="n">
        <v>0</v>
      </c>
      <c r="S101" s="81" t="n">
        <v>0</v>
      </c>
      <c r="T101" s="81" t="n">
        <v>0</v>
      </c>
      <c r="Y101" s="81" t="n">
        <v>1080</v>
      </c>
    </row>
    <row r="102">
      <c r="A102" s="72">
        <f>$D$21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INDEX($C$5:$C$8,MATCH(I102,$D$5:$D$8,0))</f>
        <v/>
      </c>
      <c r="E102" s="72">
        <f>INDEX($E$5:$E$8,MATCH(D102,$C$5:$C$8,0))</f>
        <v/>
      </c>
      <c r="F102" s="72">
        <f>INDEX($F$5:$F$8,MATCH(D102,$C$5:$C$8,0))</f>
        <v/>
      </c>
      <c r="G102" s="72">
        <f>INDEX($G$5:$G$8,MATCH(D102,$C$5:$C$8,0))</f>
        <v/>
      </c>
      <c r="H102" s="72" t="inlineStr">
        <is>
          <t>Unit 405</t>
        </is>
      </c>
      <c r="I102" s="72" t="inlineStr">
        <is>
          <t>3 BD / 2 BA</t>
        </is>
      </c>
      <c r="J102" s="80" t="n">
        <v>1166</v>
      </c>
      <c r="K102" s="72" t="inlineStr">
        <is>
          <t>Martha  Lynch</t>
        </is>
      </c>
      <c r="L102" s="81" t="n">
        <v>1550</v>
      </c>
      <c r="M102" s="81">
        <f>Y102</f>
        <v/>
      </c>
      <c r="O102" s="82" t="n">
        <v>44805</v>
      </c>
      <c r="P102" s="82" t="n">
        <v>46615</v>
      </c>
      <c r="R102" s="81" t="n">
        <v>0</v>
      </c>
      <c r="S102" s="81" t="n">
        <v>0</v>
      </c>
      <c r="T102" s="81" t="n">
        <v>0</v>
      </c>
      <c r="Y102" s="81" t="n">
        <v>1608</v>
      </c>
    </row>
    <row r="103">
      <c r="A103" s="72">
        <f>$D$21</f>
        <v/>
      </c>
      <c r="B103" s="72">
        <f>B102+1</f>
        <v/>
      </c>
      <c r="C103" s="72">
        <f>IF(K103="Vacant","Vac",IF(K103="Model","Model",IF(K103="Admin","Admin",IF(K103="Down","Down",IF(K103="Super","Super","Occ")))))</f>
        <v/>
      </c>
      <c r="D103" s="72">
        <f>INDEX($C$5:$C$8,MATCH(I103,$D$5:$D$8,0))</f>
        <v/>
      </c>
      <c r="E103" s="72">
        <f>INDEX($E$5:$E$8,MATCH(D103,$C$5:$C$8,0))</f>
        <v/>
      </c>
      <c r="F103" s="72">
        <f>INDEX($F$5:$F$8,MATCH(D103,$C$5:$C$8,0))</f>
        <v/>
      </c>
      <c r="G103" s="72">
        <f>INDEX($G$5:$G$8,MATCH(D103,$C$5:$C$8,0))</f>
        <v/>
      </c>
      <c r="H103" s="72" t="inlineStr">
        <is>
          <t>Unit 406</t>
        </is>
      </c>
      <c r="I103" s="72" t="inlineStr">
        <is>
          <t>1 BD / 1 BA</t>
        </is>
      </c>
      <c r="J103" s="80" t="n">
        <v>682</v>
      </c>
      <c r="K103" s="72" t="inlineStr">
        <is>
          <t>Adelaide Eperthener</t>
        </is>
      </c>
      <c r="L103" s="81" t="n">
        <v>1025</v>
      </c>
      <c r="M103" s="81">
        <f>Y103</f>
        <v/>
      </c>
      <c r="O103" s="82" t="n">
        <v>45139</v>
      </c>
      <c r="P103" s="82" t="n">
        <v>46573</v>
      </c>
      <c r="R103" s="81" t="n">
        <v>0</v>
      </c>
      <c r="S103" s="81" t="n">
        <v>0</v>
      </c>
      <c r="T103" s="81" t="n">
        <v>0</v>
      </c>
      <c r="Y103" s="81" t="n">
        <v>1102</v>
      </c>
    </row>
    <row r="104">
      <c r="A104" s="72">
        <f>$D$21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INDEX($C$5:$C$8,MATCH(I104,$D$5:$D$8,0))</f>
        <v/>
      </c>
      <c r="E104" s="72">
        <f>INDEX($E$5:$E$8,MATCH(D104,$C$5:$C$8,0))</f>
        <v/>
      </c>
      <c r="F104" s="72">
        <f>INDEX($F$5:$F$8,MATCH(D104,$C$5:$C$8,0))</f>
        <v/>
      </c>
      <c r="G104" s="72">
        <f>INDEX($G$5:$G$8,MATCH(D104,$C$5:$C$8,0))</f>
        <v/>
      </c>
      <c r="H104" s="72" t="inlineStr">
        <is>
          <t>Unit 407</t>
        </is>
      </c>
      <c r="I104" s="72" t="inlineStr">
        <is>
          <t>2 BD / 1.5 BA</t>
        </is>
      </c>
      <c r="J104" s="80" t="n">
        <v>1008</v>
      </c>
      <c r="K104" s="72" t="inlineStr">
        <is>
          <t>Rose McCarthy</t>
        </is>
      </c>
      <c r="L104" s="81" t="n">
        <v>1315</v>
      </c>
      <c r="M104" s="81">
        <f>Y104</f>
        <v/>
      </c>
      <c r="O104" s="82" t="n">
        <v>44805</v>
      </c>
      <c r="P104" s="82" t="n">
        <v>46251</v>
      </c>
      <c r="R104" s="81" t="n">
        <v>0</v>
      </c>
      <c r="S104" s="81" t="n">
        <v>0</v>
      </c>
      <c r="T104" s="81" t="n">
        <v>0</v>
      </c>
      <c r="Y104" s="81" t="n">
        <v>1315</v>
      </c>
    </row>
    <row r="105">
      <c r="A105" s="72">
        <f>$D$21</f>
        <v/>
      </c>
      <c r="B105" s="72">
        <f>B104+1</f>
        <v/>
      </c>
      <c r="C105" s="72">
        <f>IF(K105="Vacant","Vac",IF(K105="Model","Model",IF(K105="Admin","Admin",IF(K105="Down","Down",IF(K105="Super","Super","Occ")))))</f>
        <v/>
      </c>
      <c r="D105" s="72">
        <f>INDEX($C$5:$C$8,MATCH(I105,$D$5:$D$8,0))</f>
        <v/>
      </c>
      <c r="E105" s="72">
        <f>INDEX($E$5:$E$8,MATCH(D105,$C$5:$C$8,0))</f>
        <v/>
      </c>
      <c r="F105" s="72">
        <f>INDEX($F$5:$F$8,MATCH(D105,$C$5:$C$8,0))</f>
        <v/>
      </c>
      <c r="G105" s="72">
        <f>INDEX($G$5:$G$8,MATCH(D105,$C$5:$C$8,0))</f>
        <v/>
      </c>
      <c r="H105" s="72" t="inlineStr">
        <is>
          <t>Unit 408</t>
        </is>
      </c>
      <c r="I105" s="72" t="inlineStr">
        <is>
          <t>2 BD / 1.5 BA</t>
        </is>
      </c>
      <c r="J105" s="80" t="n">
        <v>1008</v>
      </c>
      <c r="K105" s="72" t="inlineStr">
        <is>
          <t>Elaine S. Goodstein</t>
        </is>
      </c>
      <c r="L105" s="81" t="n">
        <v>1315</v>
      </c>
      <c r="M105" s="81">
        <f>Y105</f>
        <v/>
      </c>
      <c r="O105" s="82" t="n">
        <v>45170</v>
      </c>
      <c r="P105" s="82" t="n">
        <v>46615</v>
      </c>
      <c r="R105" s="81" t="n">
        <v>0</v>
      </c>
      <c r="S105" s="81" t="n">
        <v>0</v>
      </c>
      <c r="T105" s="81" t="n">
        <v>0</v>
      </c>
      <c r="Y105" s="81" t="n">
        <v>1315</v>
      </c>
    </row>
    <row r="106">
      <c r="A106" s="72">
        <f>$D$21</f>
        <v/>
      </c>
      <c r="B106" s="72">
        <f>B105+1</f>
        <v/>
      </c>
      <c r="C106" s="72">
        <f>IF(K106="Vacant","Vac",IF(K106="Model","Model",IF(K106="Admin","Admin",IF(K106="Down","Down",IF(K106="Super","Super","Occ")))))</f>
        <v/>
      </c>
      <c r="D106" s="72">
        <f>INDEX($C$5:$C$8,MATCH(I106,$D$5:$D$8,0))</f>
        <v/>
      </c>
      <c r="E106" s="72">
        <f>INDEX($E$5:$E$8,MATCH(D106,$C$5:$C$8,0))</f>
        <v/>
      </c>
      <c r="F106" s="72">
        <f>INDEX($F$5:$F$8,MATCH(D106,$C$5:$C$8,0))</f>
        <v/>
      </c>
      <c r="G106" s="72">
        <f>INDEX($G$5:$G$8,MATCH(D106,$C$5:$C$8,0))</f>
        <v/>
      </c>
      <c r="H106" s="72" t="inlineStr">
        <is>
          <t>Unit 409</t>
        </is>
      </c>
      <c r="I106" s="72" t="inlineStr">
        <is>
          <t>1 BD / 1 BA</t>
        </is>
      </c>
      <c r="J106" s="80" t="n">
        <v>682</v>
      </c>
      <c r="K106" s="72" t="inlineStr">
        <is>
          <t>Jon A. Caldart</t>
        </is>
      </c>
      <c r="L106" s="81" t="n">
        <v>1025</v>
      </c>
      <c r="M106" s="81">
        <f>Y106</f>
        <v/>
      </c>
      <c r="O106" s="82" t="n">
        <v>44861</v>
      </c>
      <c r="P106" s="82" t="n">
        <v>46314</v>
      </c>
      <c r="R106" s="81" t="n">
        <v>0</v>
      </c>
      <c r="S106" s="81" t="n">
        <v>0</v>
      </c>
      <c r="T106" s="81" t="n">
        <v>0</v>
      </c>
      <c r="Y106" s="81" t="n">
        <v>995</v>
      </c>
    </row>
    <row r="107">
      <c r="A107" s="72">
        <f>$D$21</f>
        <v/>
      </c>
      <c r="B107" s="72">
        <f>B106+1</f>
        <v/>
      </c>
      <c r="C107" s="72">
        <f>IF(K107="Vacant","Vac",IF(K107="Model","Model",IF(K107="Admin","Admin",IF(K107="Down","Down",IF(K107="Super","Super","Occ")))))</f>
        <v/>
      </c>
      <c r="D107" s="72">
        <f>INDEX($C$5:$C$8,MATCH(I107,$D$5:$D$8,0))</f>
        <v/>
      </c>
      <c r="E107" s="72">
        <f>INDEX($E$5:$E$8,MATCH(D107,$C$5:$C$8,0))</f>
        <v/>
      </c>
      <c r="F107" s="72">
        <f>INDEX($F$5:$F$8,MATCH(D107,$C$5:$C$8,0))</f>
        <v/>
      </c>
      <c r="G107" s="72">
        <f>INDEX($G$5:$G$8,MATCH(D107,$C$5:$C$8,0))</f>
        <v/>
      </c>
      <c r="H107" s="72" t="inlineStr">
        <is>
          <t>Unit 410</t>
        </is>
      </c>
      <c r="I107" s="72" t="inlineStr">
        <is>
          <t>1 BD / 1 BA</t>
        </is>
      </c>
      <c r="J107" s="80" t="n">
        <v>682</v>
      </c>
      <c r="K107" s="72" t="inlineStr">
        <is>
          <t>Kimberly  A. Stockton</t>
        </is>
      </c>
      <c r="L107" s="81" t="n">
        <v>1025</v>
      </c>
      <c r="M107" s="81">
        <f>Y107</f>
        <v/>
      </c>
      <c r="O107" s="82" t="n">
        <v>45337</v>
      </c>
      <c r="P107" s="82" t="n">
        <v>46461</v>
      </c>
      <c r="R107" s="81" t="n">
        <v>0</v>
      </c>
      <c r="S107" s="81" t="n">
        <v>0</v>
      </c>
      <c r="T107" s="81" t="n">
        <v>0</v>
      </c>
      <c r="Y107" s="81" t="n">
        <v>1025</v>
      </c>
    </row>
    <row r="108">
      <c r="A108" s="72">
        <f>$D$21</f>
        <v/>
      </c>
      <c r="B108" s="72">
        <f>B107+1</f>
        <v/>
      </c>
      <c r="C108" s="72">
        <f>IF(K108="Vacant","Vac",IF(K108="Model","Model",IF(K108="Admin","Admin",IF(K108="Down","Down",IF(K108="Super","Super","Occ")))))</f>
        <v/>
      </c>
      <c r="D108" s="72">
        <f>INDEX($C$5:$C$8,MATCH(I108,$D$5:$D$8,0))</f>
        <v/>
      </c>
      <c r="E108" s="72">
        <f>INDEX($E$5:$E$8,MATCH(D108,$C$5:$C$8,0))</f>
        <v/>
      </c>
      <c r="F108" s="72">
        <f>INDEX($F$5:$F$8,MATCH(D108,$C$5:$C$8,0))</f>
        <v/>
      </c>
      <c r="G108" s="72">
        <f>INDEX($G$5:$G$8,MATCH(D108,$C$5:$C$8,0))</f>
        <v/>
      </c>
      <c r="H108" s="72" t="inlineStr">
        <is>
          <t>Unit 411</t>
        </is>
      </c>
      <c r="I108" s="72" t="inlineStr">
        <is>
          <t>2 BD / 2 BA</t>
        </is>
      </c>
      <c r="J108" s="80" t="n">
        <v>924</v>
      </c>
      <c r="K108" s="72" t="inlineStr">
        <is>
          <t>Charles   Hinderliter</t>
        </is>
      </c>
      <c r="L108" s="81" t="n">
        <v>1365</v>
      </c>
      <c r="M108" s="81">
        <f>Y108</f>
        <v/>
      </c>
      <c r="O108" s="82" t="n">
        <v>45108</v>
      </c>
      <c r="P108" s="82" t="n">
        <v>46559</v>
      </c>
      <c r="R108" s="81" t="n">
        <v>0</v>
      </c>
      <c r="S108" s="81" t="n">
        <v>0</v>
      </c>
      <c r="T108" s="81" t="n">
        <v>0</v>
      </c>
      <c r="Y108" s="81" t="n">
        <v>1439</v>
      </c>
    </row>
    <row r="109">
      <c r="A109" s="72">
        <f>$D$21</f>
        <v/>
      </c>
      <c r="B109" s="72">
        <f>B108+1</f>
        <v/>
      </c>
      <c r="C109" s="72">
        <f>IF(K109="Vacant","Vac",IF(K109="Model","Model",IF(K109="Admin","Admin",IF(K109="Down","Down",IF(K109="Super","Super","Occ")))))</f>
        <v/>
      </c>
      <c r="D109" s="72">
        <f>INDEX($C$5:$C$8,MATCH(I109,$D$5:$D$8,0))</f>
        <v/>
      </c>
      <c r="E109" s="72">
        <f>INDEX($E$5:$E$8,MATCH(D109,$C$5:$C$8,0))</f>
        <v/>
      </c>
      <c r="F109" s="72">
        <f>INDEX($F$5:$F$8,MATCH(D109,$C$5:$C$8,0))</f>
        <v/>
      </c>
      <c r="G109" s="72">
        <f>INDEX($G$5:$G$8,MATCH(D109,$C$5:$C$8,0))</f>
        <v/>
      </c>
      <c r="H109" s="72" t="inlineStr">
        <is>
          <t>Unit 412</t>
        </is>
      </c>
      <c r="I109" s="72" t="inlineStr">
        <is>
          <t>2 BD / 1.5 BA</t>
        </is>
      </c>
      <c r="J109" s="80" t="n">
        <v>1008</v>
      </c>
      <c r="K109" s="72" t="inlineStr">
        <is>
          <t>Peter E. Gilmore</t>
        </is>
      </c>
      <c r="L109" s="81" t="n">
        <v>1500</v>
      </c>
      <c r="M109" s="81">
        <f>Y109</f>
        <v/>
      </c>
      <c r="O109" s="82" t="n">
        <v>44958</v>
      </c>
      <c r="P109" s="82" t="n">
        <v>46461</v>
      </c>
      <c r="R109" s="81" t="n">
        <v>0</v>
      </c>
      <c r="S109" s="81" t="n">
        <v>0</v>
      </c>
      <c r="T109" s="81" t="n">
        <v>0</v>
      </c>
      <c r="Y109" s="81" t="n">
        <v>1375</v>
      </c>
    </row>
    <row r="110">
      <c r="A110" s="72">
        <f>$D$21</f>
        <v/>
      </c>
      <c r="B110" s="72">
        <f>B109+1</f>
        <v/>
      </c>
      <c r="C110" s="72">
        <f>IF(K110="Vacant","Vac",IF(K110="Model","Model",IF(K110="Admin","Admin",IF(K110="Down","Down",IF(K110="Super","Super","Occ")))))</f>
        <v/>
      </c>
      <c r="D110" s="72">
        <f>INDEX($C$5:$C$8,MATCH(I110,$D$5:$D$8,0))</f>
        <v/>
      </c>
      <c r="E110" s="72">
        <f>INDEX($E$5:$E$8,MATCH(D110,$C$5:$C$8,0))</f>
        <v/>
      </c>
      <c r="F110" s="72">
        <f>INDEX($F$5:$F$8,MATCH(D110,$C$5:$C$8,0))</f>
        <v/>
      </c>
      <c r="G110" s="72">
        <f>INDEX($G$5:$G$8,MATCH(D110,$C$5:$C$8,0))</f>
        <v/>
      </c>
      <c r="H110" s="72" t="inlineStr">
        <is>
          <t>Unit 414</t>
        </is>
      </c>
      <c r="I110" s="72" t="inlineStr">
        <is>
          <t>1 BD / 1 BA</t>
        </is>
      </c>
      <c r="J110" s="80" t="n">
        <v>682</v>
      </c>
      <c r="K110" s="72" t="inlineStr">
        <is>
          <t>Judith A. Hilliard</t>
        </is>
      </c>
      <c r="L110" s="81" t="n">
        <v>1025</v>
      </c>
      <c r="M110" s="81">
        <f>Y110</f>
        <v/>
      </c>
      <c r="O110" s="82" t="n">
        <v>45411</v>
      </c>
      <c r="P110" s="82" t="n">
        <v>46524</v>
      </c>
      <c r="R110" s="81" t="n">
        <v>0</v>
      </c>
      <c r="S110" s="81" t="n">
        <v>0</v>
      </c>
      <c r="T110" s="81" t="n">
        <v>0</v>
      </c>
      <c r="Y110" s="81" t="n">
        <v>1065</v>
      </c>
    </row>
    <row r="111">
      <c r="A111" s="72">
        <f>$D$21</f>
        <v/>
      </c>
      <c r="B111" s="72">
        <f>B110+1</f>
        <v/>
      </c>
      <c r="C111" s="72">
        <f>IF(K111="Vacant","Vac",IF(K111="Model","Model",IF(K111="Admin","Admin",IF(K111="Down","Down",IF(K111="Super","Super","Occ")))))</f>
        <v/>
      </c>
      <c r="D111" s="72">
        <f>INDEX($C$5:$C$8,MATCH(I111,$D$5:$D$8,0))</f>
        <v/>
      </c>
      <c r="E111" s="72">
        <f>INDEX($E$5:$E$8,MATCH(D111,$C$5:$C$8,0))</f>
        <v/>
      </c>
      <c r="F111" s="72">
        <f>INDEX($F$5:$F$8,MATCH(D111,$C$5:$C$8,0))</f>
        <v/>
      </c>
      <c r="G111" s="72">
        <f>INDEX($G$5:$G$8,MATCH(D111,$C$5:$C$8,0))</f>
        <v/>
      </c>
      <c r="H111" s="72" t="inlineStr">
        <is>
          <t>Unit 415</t>
        </is>
      </c>
      <c r="I111" s="72" t="inlineStr">
        <is>
          <t>2 BD / 1.5 BA</t>
        </is>
      </c>
      <c r="J111" s="80" t="n">
        <v>1008</v>
      </c>
      <c r="K111" s="72" t="inlineStr">
        <is>
          <t>Larry  Keeling</t>
        </is>
      </c>
      <c r="L111" s="81" t="n">
        <v>1500</v>
      </c>
      <c r="M111" s="81">
        <f>Y111</f>
        <v/>
      </c>
      <c r="O111" s="82" t="n">
        <v>44986</v>
      </c>
      <c r="P111" s="82" t="n">
        <v>46482</v>
      </c>
      <c r="R111" s="81" t="n">
        <v>0</v>
      </c>
      <c r="S111" s="81" t="n">
        <v>0</v>
      </c>
      <c r="T111" s="81" t="n">
        <v>0</v>
      </c>
      <c r="Y111" s="81" t="n">
        <v>1368</v>
      </c>
    </row>
    <row r="112">
      <c r="A112" s="72">
        <f>$D$21</f>
        <v/>
      </c>
      <c r="B112" s="72">
        <f>B111+1</f>
        <v/>
      </c>
      <c r="C112" s="72">
        <f>IF(K112="Vacant","Vac",IF(K112="Model","Model",IF(K112="Admin","Admin",IF(K112="Down","Down",IF(K112="Super","Super","Occ")))))</f>
        <v/>
      </c>
      <c r="D112" s="72">
        <f>INDEX($C$5:$C$8,MATCH(I112,$D$5:$D$8,0))</f>
        <v/>
      </c>
      <c r="E112" s="72">
        <f>INDEX($E$5:$E$8,MATCH(D112,$C$5:$C$8,0))</f>
        <v/>
      </c>
      <c r="F112" s="72">
        <f>INDEX($F$5:$F$8,MATCH(D112,$C$5:$C$8,0))</f>
        <v/>
      </c>
      <c r="G112" s="72">
        <f>INDEX($G$5:$G$8,MATCH(D112,$C$5:$C$8,0))</f>
        <v/>
      </c>
      <c r="H112" s="72" t="inlineStr">
        <is>
          <t>Unit 416</t>
        </is>
      </c>
      <c r="I112" s="72" t="inlineStr">
        <is>
          <t>2 BD / 2 BA</t>
        </is>
      </c>
      <c r="J112" s="80" t="n">
        <v>924</v>
      </c>
      <c r="K112" s="72" t="inlineStr">
        <is>
          <t>James  Orkwis</t>
        </is>
      </c>
      <c r="L112" s="81" t="n">
        <v>1365</v>
      </c>
      <c r="M112" s="81">
        <f>Y112</f>
        <v/>
      </c>
      <c r="O112" s="82" t="n">
        <v>44927</v>
      </c>
      <c r="P112" s="82" t="n">
        <v>46496</v>
      </c>
      <c r="R112" s="81" t="n">
        <v>0</v>
      </c>
      <c r="S112" s="81" t="n">
        <v>0</v>
      </c>
      <c r="T112" s="81" t="n">
        <v>0</v>
      </c>
      <c r="Y112" s="81" t="n">
        <v>1356</v>
      </c>
    </row>
    <row r="113">
      <c r="A113" s="72">
        <f>$D$21</f>
        <v/>
      </c>
      <c r="B113" s="72">
        <f>B112+1</f>
        <v/>
      </c>
      <c r="C113" s="72">
        <f>IF(K113="Vacant","Vac",IF(K113="Model","Model",IF(K113="Admin","Admin",IF(K113="Down","Down",IF(K113="Super","Super","Occ")))))</f>
        <v/>
      </c>
      <c r="D113" s="72">
        <f>INDEX($C$5:$C$8,MATCH(I113,$D$5:$D$8,0))</f>
        <v/>
      </c>
      <c r="E113" s="72">
        <f>INDEX($E$5:$E$8,MATCH(D113,$C$5:$C$8,0))</f>
        <v/>
      </c>
      <c r="F113" s="72">
        <f>INDEX($F$5:$F$8,MATCH(D113,$C$5:$C$8,0))</f>
        <v/>
      </c>
      <c r="G113" s="72">
        <f>INDEX($G$5:$G$8,MATCH(D113,$C$5:$C$8,0))</f>
        <v/>
      </c>
      <c r="H113" s="72" t="inlineStr">
        <is>
          <t>Unit 417</t>
        </is>
      </c>
      <c r="I113" s="72" t="inlineStr">
        <is>
          <t>1 BD / 1 BA</t>
        </is>
      </c>
      <c r="J113" s="80" t="n">
        <v>682</v>
      </c>
      <c r="K113" s="72" t="inlineStr">
        <is>
          <t>James Baker</t>
        </is>
      </c>
      <c r="L113" s="81" t="n">
        <v>1025</v>
      </c>
      <c r="M113" s="81">
        <f>Y113</f>
        <v/>
      </c>
      <c r="O113" s="82" t="n">
        <v>44835</v>
      </c>
      <c r="P113" s="82" t="n">
        <v>46650</v>
      </c>
      <c r="R113" s="81" t="n">
        <v>0</v>
      </c>
      <c r="S113" s="81" t="n">
        <v>0</v>
      </c>
      <c r="T113" s="81" t="n">
        <v>0</v>
      </c>
      <c r="Y113" s="81" t="n">
        <v>1059</v>
      </c>
    </row>
    <row r="114">
      <c r="A114" s="72">
        <f>$D$21</f>
        <v/>
      </c>
      <c r="B114" s="72">
        <f>B113+1</f>
        <v/>
      </c>
      <c r="C114" s="72">
        <f>IF(K114="Vacant","Vac",IF(K114="Model","Model",IF(K114="Admin","Admin",IF(K114="Down","Down",IF(K114="Super","Super","Occ")))))</f>
        <v/>
      </c>
      <c r="D114" s="72">
        <f>INDEX($C$5:$C$8,MATCH(I114,$D$5:$D$8,0))</f>
        <v/>
      </c>
      <c r="E114" s="72">
        <f>INDEX($E$5:$E$8,MATCH(D114,$C$5:$C$8,0))</f>
        <v/>
      </c>
      <c r="F114" s="72">
        <f>INDEX($F$5:$F$8,MATCH(D114,$C$5:$C$8,0))</f>
        <v/>
      </c>
      <c r="G114" s="72">
        <f>INDEX($G$5:$G$8,MATCH(D114,$C$5:$C$8,0))</f>
        <v/>
      </c>
      <c r="H114" s="72" t="inlineStr">
        <is>
          <t>Unit 501</t>
        </is>
      </c>
      <c r="I114" s="72" t="inlineStr">
        <is>
          <t>1 BD / 1 BA</t>
        </is>
      </c>
      <c r="J114" s="80" t="n">
        <v>682</v>
      </c>
      <c r="K114" s="72" t="inlineStr">
        <is>
          <t>Gonjaman Tamang</t>
        </is>
      </c>
      <c r="L114" s="81" t="n">
        <v>1025</v>
      </c>
      <c r="M114" s="81">
        <f>Y114</f>
        <v/>
      </c>
      <c r="O114" s="82" t="n">
        <v>45366</v>
      </c>
      <c r="P114" s="82" t="n">
        <v>46482</v>
      </c>
      <c r="R114" s="81" t="n">
        <v>0</v>
      </c>
      <c r="S114" s="81" t="n">
        <v>0</v>
      </c>
      <c r="T114" s="81" t="n">
        <v>0</v>
      </c>
      <c r="Y114" s="81" t="n">
        <v>1014</v>
      </c>
    </row>
    <row r="115">
      <c r="A115" s="72">
        <f>$D$21</f>
        <v/>
      </c>
      <c r="B115" s="72">
        <f>B114+1</f>
        <v/>
      </c>
      <c r="C115" s="72">
        <f>IF(K115="Vacant","Vac",IF(K115="Model","Model",IF(K115="Admin","Admin",IF(K115="Down","Down",IF(K115="Super","Super","Occ")))))</f>
        <v/>
      </c>
      <c r="D115" s="72">
        <f>INDEX($C$5:$C$8,MATCH(I115,$D$5:$D$8,0))</f>
        <v/>
      </c>
      <c r="E115" s="72">
        <f>INDEX($E$5:$E$8,MATCH(D115,$C$5:$C$8,0))</f>
        <v/>
      </c>
      <c r="F115" s="72">
        <f>INDEX($F$5:$F$8,MATCH(D115,$C$5:$C$8,0))</f>
        <v/>
      </c>
      <c r="G115" s="72">
        <f>INDEX($G$5:$G$8,MATCH(D115,$C$5:$C$8,0))</f>
        <v/>
      </c>
      <c r="H115" s="72" t="inlineStr">
        <is>
          <t>Unit 502</t>
        </is>
      </c>
      <c r="I115" s="72" t="inlineStr">
        <is>
          <t>2 BD / 1.5 BA</t>
        </is>
      </c>
      <c r="J115" s="80" t="n">
        <v>1008</v>
      </c>
      <c r="K115" s="72" t="inlineStr">
        <is>
          <t>Constance R. Kelsey</t>
        </is>
      </c>
      <c r="L115" s="81" t="n">
        <v>1500</v>
      </c>
      <c r="M115" s="81">
        <f>Y115</f>
        <v/>
      </c>
      <c r="O115" s="82" t="n">
        <v>45170</v>
      </c>
      <c r="P115" s="82" t="n">
        <v>46615</v>
      </c>
      <c r="R115" s="81" t="n">
        <v>0</v>
      </c>
      <c r="S115" s="81" t="n">
        <v>0</v>
      </c>
      <c r="T115" s="81" t="n">
        <v>0</v>
      </c>
      <c r="Y115" s="81" t="n">
        <v>1369</v>
      </c>
    </row>
    <row r="116">
      <c r="A116" s="72">
        <f>$D$21</f>
        <v/>
      </c>
      <c r="B116" s="72">
        <f>B115+1</f>
        <v/>
      </c>
      <c r="C116" s="72">
        <f>IF(K116="Vacant","Vac",IF(K116="Model","Model",IF(K116="Admin","Admin",IF(K116="Down","Down",IF(K116="Super","Super","Occ")))))</f>
        <v/>
      </c>
      <c r="D116" s="72">
        <f>INDEX($C$5:$C$8,MATCH(I116,$D$5:$D$8,0))</f>
        <v/>
      </c>
      <c r="E116" s="72">
        <f>INDEX($E$5:$E$8,MATCH(D116,$C$5:$C$8,0))</f>
        <v/>
      </c>
      <c r="F116" s="72">
        <f>INDEX($F$5:$F$8,MATCH(D116,$C$5:$C$8,0))</f>
        <v/>
      </c>
      <c r="G116" s="72">
        <f>INDEX($G$5:$G$8,MATCH(D116,$C$5:$C$8,0))</f>
        <v/>
      </c>
      <c r="H116" s="72" t="inlineStr">
        <is>
          <t>Unit 503</t>
        </is>
      </c>
      <c r="I116" s="72" t="inlineStr">
        <is>
          <t>2 BD / 1.5 BA</t>
        </is>
      </c>
      <c r="J116" s="80" t="n">
        <v>1008</v>
      </c>
      <c r="K116" s="72" t="inlineStr">
        <is>
          <t>Rosemarie  T. Schwilm</t>
        </is>
      </c>
      <c r="L116" s="81" t="n">
        <v>1315</v>
      </c>
      <c r="M116" s="81">
        <f>Y116</f>
        <v/>
      </c>
      <c r="O116" s="82" t="n">
        <v>45491</v>
      </c>
      <c r="P116" s="82" t="n">
        <v>46573</v>
      </c>
      <c r="R116" s="81" t="n">
        <v>0</v>
      </c>
      <c r="S116" s="81" t="n">
        <v>0</v>
      </c>
      <c r="T116" s="81" t="n">
        <v>0</v>
      </c>
      <c r="Y116" s="81" t="n">
        <v>1381</v>
      </c>
    </row>
    <row r="117">
      <c r="A117" s="72">
        <f>$D$21</f>
        <v/>
      </c>
      <c r="B117" s="72">
        <f>B116+1</f>
        <v/>
      </c>
      <c r="C117" s="72">
        <f>IF(K117="Vacant","Vac",IF(K117="Model","Model",IF(K117="Admin","Admin",IF(K117="Down","Down",IF(K117="Super","Super","Occ")))))</f>
        <v/>
      </c>
      <c r="D117" s="72">
        <f>INDEX($C$5:$C$8,MATCH(I117,$D$5:$D$8,0))</f>
        <v/>
      </c>
      <c r="E117" s="72">
        <f>INDEX($E$5:$E$8,MATCH(D117,$C$5:$C$8,0))</f>
        <v/>
      </c>
      <c r="F117" s="72">
        <f>INDEX($F$5:$F$8,MATCH(D117,$C$5:$C$8,0))</f>
        <v/>
      </c>
      <c r="G117" s="72">
        <f>INDEX($G$5:$G$8,MATCH(D117,$C$5:$C$8,0))</f>
        <v/>
      </c>
      <c r="H117" s="72" t="inlineStr">
        <is>
          <t>Unit 504</t>
        </is>
      </c>
      <c r="I117" s="72" t="inlineStr">
        <is>
          <t>1 BD / 1 BA</t>
        </is>
      </c>
      <c r="J117" s="80" t="n">
        <v>682</v>
      </c>
      <c r="K117" s="72" t="inlineStr">
        <is>
          <t>Camille    Neemes</t>
        </is>
      </c>
      <c r="L117" s="81" t="n">
        <v>1025</v>
      </c>
      <c r="M117" s="81">
        <f>Y117</f>
        <v/>
      </c>
      <c r="O117" s="82" t="n">
        <v>44835</v>
      </c>
      <c r="P117" s="82" t="n">
        <v>46286</v>
      </c>
      <c r="R117" s="81" t="n">
        <v>0</v>
      </c>
      <c r="S117" s="81" t="n">
        <v>0</v>
      </c>
      <c r="T117" s="81" t="n">
        <v>0</v>
      </c>
      <c r="Y117" s="81" t="n">
        <v>1122</v>
      </c>
    </row>
    <row r="118">
      <c r="A118" s="72">
        <f>$D$21</f>
        <v/>
      </c>
      <c r="B118" s="72">
        <f>B117+1</f>
        <v/>
      </c>
      <c r="C118" s="72">
        <f>IF(K118="Vacant","Vac",IF(K118="Model","Model",IF(K118="Admin","Admin",IF(K118="Down","Down",IF(K118="Super","Super","Occ")))))</f>
        <v/>
      </c>
      <c r="D118" s="72">
        <f>INDEX($C$5:$C$8,MATCH(I118,$D$5:$D$8,0))</f>
        <v/>
      </c>
      <c r="E118" s="72">
        <f>INDEX($E$5:$E$8,MATCH(D118,$C$5:$C$8,0))</f>
        <v/>
      </c>
      <c r="F118" s="72">
        <f>INDEX($F$5:$F$8,MATCH(D118,$C$5:$C$8,0))</f>
        <v/>
      </c>
      <c r="G118" s="72">
        <f>INDEX($G$5:$G$8,MATCH(D118,$C$5:$C$8,0))</f>
        <v/>
      </c>
      <c r="H118" s="72" t="inlineStr">
        <is>
          <t>Unit 505</t>
        </is>
      </c>
      <c r="I118" s="72" t="inlineStr">
        <is>
          <t>3 BD / 2 BA</t>
        </is>
      </c>
      <c r="J118" s="80" t="n">
        <v>1166</v>
      </c>
      <c r="K118" s="72" t="inlineStr">
        <is>
          <t>Tiffany F. Bigelow</t>
        </is>
      </c>
      <c r="L118" s="81" t="n">
        <v>1550</v>
      </c>
      <c r="M118" s="81">
        <f>Y118</f>
        <v/>
      </c>
      <c r="O118" s="82" t="n">
        <v>46030</v>
      </c>
      <c r="P118" s="82" t="n">
        <v>46426</v>
      </c>
      <c r="R118" s="81" t="n">
        <v>0</v>
      </c>
      <c r="S118" s="81" t="n">
        <v>0</v>
      </c>
      <c r="T118" s="81" t="n">
        <v>0</v>
      </c>
      <c r="Y118" s="81" t="n">
        <v>1550</v>
      </c>
    </row>
    <row r="119">
      <c r="A119" s="72">
        <f>$D$21</f>
        <v/>
      </c>
      <c r="B119" s="72">
        <f>B118+1</f>
        <v/>
      </c>
      <c r="C119" s="72">
        <f>IF(K119="Vacant","Vac",IF(K119="Model","Model",IF(K119="Admin","Admin",IF(K119="Down","Down",IF(K119="Super","Super","Occ")))))</f>
        <v/>
      </c>
      <c r="D119" s="72">
        <f>INDEX($C$5:$C$8,MATCH(I119,$D$5:$D$8,0))</f>
        <v/>
      </c>
      <c r="E119" s="72">
        <f>INDEX($E$5:$E$8,MATCH(D119,$C$5:$C$8,0))</f>
        <v/>
      </c>
      <c r="F119" s="72">
        <f>INDEX($F$5:$F$8,MATCH(D119,$C$5:$C$8,0))</f>
        <v/>
      </c>
      <c r="G119" s="72">
        <f>INDEX($G$5:$G$8,MATCH(D119,$C$5:$C$8,0))</f>
        <v/>
      </c>
      <c r="H119" s="72" t="inlineStr">
        <is>
          <t>Unit 506</t>
        </is>
      </c>
      <c r="I119" s="72" t="inlineStr">
        <is>
          <t>1 BD / 1 BA</t>
        </is>
      </c>
      <c r="J119" s="80" t="n">
        <v>682</v>
      </c>
      <c r="K119" s="72" t="inlineStr">
        <is>
          <t>David I. Moreno</t>
        </is>
      </c>
      <c r="L119" s="81" t="n">
        <v>1025</v>
      </c>
      <c r="M119" s="81">
        <f>Y119</f>
        <v/>
      </c>
      <c r="O119" s="82" t="n">
        <v>44682</v>
      </c>
      <c r="P119" s="82" t="n">
        <v>46636</v>
      </c>
      <c r="R119" s="81" t="n">
        <v>0</v>
      </c>
      <c r="S119" s="81" t="n">
        <v>0</v>
      </c>
      <c r="T119" s="81" t="n">
        <v>0</v>
      </c>
      <c r="Y119" s="81" t="n">
        <v>1091</v>
      </c>
    </row>
    <row r="120">
      <c r="A120" s="72">
        <f>$D$21</f>
        <v/>
      </c>
      <c r="B120" s="72">
        <f>B119+1</f>
        <v/>
      </c>
      <c r="C120" s="72">
        <f>IF(K120="Vacant","Vac",IF(K120="Model","Model",IF(K120="Admin","Admin",IF(K120="Down","Down",IF(K120="Super","Super","Occ")))))</f>
        <v/>
      </c>
      <c r="D120" s="72">
        <f>INDEX($C$5:$C$8,MATCH(I120,$D$5:$D$8,0))</f>
        <v/>
      </c>
      <c r="E120" s="72">
        <f>INDEX($E$5:$E$8,MATCH(D120,$C$5:$C$8,0))</f>
        <v/>
      </c>
      <c r="F120" s="72">
        <f>INDEX($F$5:$F$8,MATCH(D120,$C$5:$C$8,0))</f>
        <v/>
      </c>
      <c r="G120" s="72">
        <f>INDEX($G$5:$G$8,MATCH(D120,$C$5:$C$8,0))</f>
        <v/>
      </c>
      <c r="H120" s="72" t="inlineStr">
        <is>
          <t>Unit 507</t>
        </is>
      </c>
      <c r="I120" s="72" t="inlineStr">
        <is>
          <t>2 BD / 1.5 BA</t>
        </is>
      </c>
      <c r="J120" s="80" t="n">
        <v>1008</v>
      </c>
      <c r="K120" s="72" t="inlineStr">
        <is>
          <t>Mara A. Bovo</t>
        </is>
      </c>
      <c r="L120" s="81" t="n">
        <v>1315</v>
      </c>
      <c r="M120" s="81">
        <f>Y120</f>
        <v/>
      </c>
      <c r="O120" s="82" t="n">
        <v>45149</v>
      </c>
      <c r="P120" s="82" t="n">
        <v>46573</v>
      </c>
      <c r="R120" s="81" t="n">
        <v>0</v>
      </c>
      <c r="S120" s="81" t="n">
        <v>0</v>
      </c>
      <c r="T120" s="81" t="n">
        <v>0</v>
      </c>
      <c r="Y120" s="81" t="n">
        <v>1361</v>
      </c>
    </row>
    <row r="121">
      <c r="A121" s="72">
        <f>$D$21</f>
        <v/>
      </c>
      <c r="B121" s="72">
        <f>B120+1</f>
        <v/>
      </c>
      <c r="C121" s="72">
        <f>IF(K121="Vacant","Vac",IF(K121="Model","Model",IF(K121="Admin","Admin",IF(K121="Down","Down",IF(K121="Super","Super","Occ")))))</f>
        <v/>
      </c>
      <c r="D121" s="72">
        <f>INDEX($C$5:$C$8,MATCH(I121,$D$5:$D$8,0))</f>
        <v/>
      </c>
      <c r="E121" s="72">
        <f>INDEX($E$5:$E$8,MATCH(D121,$C$5:$C$8,0))</f>
        <v/>
      </c>
      <c r="F121" s="72">
        <f>INDEX($F$5:$F$8,MATCH(D121,$C$5:$C$8,0))</f>
        <v/>
      </c>
      <c r="G121" s="72">
        <f>INDEX($G$5:$G$8,MATCH(D121,$C$5:$C$8,0))</f>
        <v/>
      </c>
      <c r="H121" s="72" t="inlineStr">
        <is>
          <t>Unit 508</t>
        </is>
      </c>
      <c r="I121" s="72" t="inlineStr">
        <is>
          <t>2 BD / 1.5 BA</t>
        </is>
      </c>
      <c r="J121" s="80" t="n">
        <v>1008</v>
      </c>
      <c r="K121" s="72" t="inlineStr">
        <is>
          <t>Patrick  McIntyre</t>
        </is>
      </c>
      <c r="L121" s="81" t="n">
        <v>1315</v>
      </c>
      <c r="M121" s="81">
        <f>Y121</f>
        <v/>
      </c>
      <c r="O121" s="82" t="n">
        <v>44866</v>
      </c>
      <c r="P121" s="82" t="n">
        <v>46314</v>
      </c>
      <c r="R121" s="81" t="n">
        <v>0</v>
      </c>
      <c r="S121" s="81" t="n">
        <v>0</v>
      </c>
      <c r="T121" s="81" t="n">
        <v>0</v>
      </c>
      <c r="Y121" s="81" t="n">
        <v>1341</v>
      </c>
    </row>
    <row r="122">
      <c r="A122" s="72">
        <f>$D$21</f>
        <v/>
      </c>
      <c r="B122" s="72">
        <f>B121+1</f>
        <v/>
      </c>
      <c r="C122" s="72">
        <f>IF(K122="Vacant","Vac",IF(K122="Model","Model",IF(K122="Admin","Admin",IF(K122="Down","Down",IF(K122="Super","Super","Occ")))))</f>
        <v/>
      </c>
      <c r="D122" s="72">
        <f>INDEX($C$5:$C$8,MATCH(I122,$D$5:$D$8,0))</f>
        <v/>
      </c>
      <c r="E122" s="72">
        <f>INDEX($E$5:$E$8,MATCH(D122,$C$5:$C$8,0))</f>
        <v/>
      </c>
      <c r="F122" s="72">
        <f>INDEX($F$5:$F$8,MATCH(D122,$C$5:$C$8,0))</f>
        <v/>
      </c>
      <c r="G122" s="72">
        <f>INDEX($G$5:$G$8,MATCH(D122,$C$5:$C$8,0))</f>
        <v/>
      </c>
      <c r="H122" s="72" t="inlineStr">
        <is>
          <t>Unit 509</t>
        </is>
      </c>
      <c r="I122" s="72" t="inlineStr">
        <is>
          <t>1 BD / 1 BA</t>
        </is>
      </c>
      <c r="J122" s="80" t="n">
        <v>682</v>
      </c>
      <c r="K122" s="72" t="inlineStr">
        <is>
          <t>Barbara A. Donovan</t>
        </is>
      </c>
      <c r="L122" s="81" t="n">
        <v>1025</v>
      </c>
      <c r="M122" s="81">
        <f>Y122</f>
        <v/>
      </c>
      <c r="O122" s="82" t="n">
        <v>45869</v>
      </c>
      <c r="P122" s="82" t="n">
        <v>46587</v>
      </c>
      <c r="R122" s="81" t="n">
        <v>0</v>
      </c>
      <c r="S122" s="81" t="n">
        <v>0</v>
      </c>
      <c r="T122" s="81" t="n">
        <v>0</v>
      </c>
      <c r="Y122" s="81" t="n">
        <v>1071</v>
      </c>
    </row>
    <row r="123">
      <c r="A123" s="72">
        <f>$D$21</f>
        <v/>
      </c>
      <c r="B123" s="72">
        <f>B122+1</f>
        <v/>
      </c>
      <c r="C123" s="72">
        <f>IF(K123="Vacant","Vac",IF(K123="Model","Model",IF(K123="Admin","Admin",IF(K123="Down","Down",IF(K123="Super","Super","Occ")))))</f>
        <v/>
      </c>
      <c r="D123" s="72">
        <f>INDEX($C$5:$C$8,MATCH(I123,$D$5:$D$8,0))</f>
        <v/>
      </c>
      <c r="E123" s="72">
        <f>INDEX($E$5:$E$8,MATCH(D123,$C$5:$C$8,0))</f>
        <v/>
      </c>
      <c r="F123" s="72">
        <f>INDEX($F$5:$F$8,MATCH(D123,$C$5:$C$8,0))</f>
        <v/>
      </c>
      <c r="G123" s="72">
        <f>INDEX($G$5:$G$8,MATCH(D123,$C$5:$C$8,0))</f>
        <v/>
      </c>
      <c r="H123" s="72" t="inlineStr">
        <is>
          <t>Unit 510</t>
        </is>
      </c>
      <c r="I123" s="72" t="inlineStr">
        <is>
          <t>1 BD / 1 BA</t>
        </is>
      </c>
      <c r="J123" s="80" t="n">
        <v>682</v>
      </c>
      <c r="K123" s="72" t="inlineStr">
        <is>
          <t>Christopher M. Weis</t>
        </is>
      </c>
      <c r="L123" s="81" t="n">
        <v>1025</v>
      </c>
      <c r="M123" s="81">
        <f>Y123</f>
        <v/>
      </c>
      <c r="O123" s="82" t="n">
        <v>45076</v>
      </c>
      <c r="R123" s="81" t="n">
        <v>0</v>
      </c>
      <c r="S123" s="81" t="n">
        <v>0</v>
      </c>
      <c r="T123" s="81" t="n">
        <v>0</v>
      </c>
      <c r="Y123" s="81" t="n">
        <v>998</v>
      </c>
    </row>
    <row r="124">
      <c r="A124" s="72">
        <f>$D$21</f>
        <v/>
      </c>
      <c r="B124" s="72">
        <f>B123+1</f>
        <v/>
      </c>
      <c r="C124" s="72">
        <f>IF(K124="Vacant","Vac",IF(K124="Model","Model",IF(K124="Admin","Admin",IF(K124="Down","Down",IF(K124="Super","Super","Occ")))))</f>
        <v/>
      </c>
      <c r="D124" s="72">
        <f>INDEX($C$5:$C$8,MATCH(I124,$D$5:$D$8,0))</f>
        <v/>
      </c>
      <c r="E124" s="72">
        <f>INDEX($E$5:$E$8,MATCH(D124,$C$5:$C$8,0))</f>
        <v/>
      </c>
      <c r="F124" s="72">
        <f>INDEX($F$5:$F$8,MATCH(D124,$C$5:$C$8,0))</f>
        <v/>
      </c>
      <c r="G124" s="72">
        <f>INDEX($G$5:$G$8,MATCH(D124,$C$5:$C$8,0))</f>
        <v/>
      </c>
      <c r="H124" s="72" t="inlineStr">
        <is>
          <t>Unit 511</t>
        </is>
      </c>
      <c r="I124" s="72" t="inlineStr">
        <is>
          <t>2 BD / 2 BA</t>
        </is>
      </c>
      <c r="J124" s="80" t="n">
        <v>924</v>
      </c>
      <c r="K124" s="72" t="inlineStr">
        <is>
          <t>Audrey Teitel</t>
        </is>
      </c>
      <c r="L124" s="81" t="n">
        <v>1365</v>
      </c>
      <c r="M124" s="81">
        <f>Y124</f>
        <v/>
      </c>
      <c r="O124" s="82" t="n">
        <v>44805</v>
      </c>
      <c r="P124" s="82" t="n">
        <v>46251</v>
      </c>
      <c r="R124" s="81" t="n">
        <v>0</v>
      </c>
      <c r="S124" s="81" t="n">
        <v>0</v>
      </c>
      <c r="T124" s="81" t="n">
        <v>0</v>
      </c>
      <c r="Y124" s="81" t="n">
        <v>1379</v>
      </c>
    </row>
    <row r="125">
      <c r="A125" s="72">
        <f>$D$21</f>
        <v/>
      </c>
      <c r="B125" s="72">
        <f>B124+1</f>
        <v/>
      </c>
      <c r="C125" s="72">
        <f>IF(K125="Vacant","Vac",IF(K125="Model","Model",IF(K125="Admin","Admin",IF(K125="Down","Down",IF(K125="Super","Super","Occ")))))</f>
        <v/>
      </c>
      <c r="D125" s="72">
        <f>INDEX($C$5:$C$8,MATCH(I125,$D$5:$D$8,0))</f>
        <v/>
      </c>
      <c r="E125" s="72">
        <f>INDEX($E$5:$E$8,MATCH(D125,$C$5:$C$8,0))</f>
        <v/>
      </c>
      <c r="F125" s="72">
        <f>INDEX($F$5:$F$8,MATCH(D125,$C$5:$C$8,0))</f>
        <v/>
      </c>
      <c r="G125" s="72">
        <f>INDEX($G$5:$G$8,MATCH(D125,$C$5:$C$8,0))</f>
        <v/>
      </c>
      <c r="H125" s="72" t="inlineStr">
        <is>
          <t>Unit 512</t>
        </is>
      </c>
      <c r="I125" s="72" t="inlineStr">
        <is>
          <t>2 BD / 1.5 BA</t>
        </is>
      </c>
      <c r="J125" s="80" t="n">
        <v>1008</v>
      </c>
      <c r="K125" s="72" t="inlineStr">
        <is>
          <t>Bridget M. Burns</t>
        </is>
      </c>
      <c r="L125" s="81" t="n">
        <v>1500</v>
      </c>
      <c r="M125" s="81">
        <f>Y125</f>
        <v/>
      </c>
      <c r="O125" s="82" t="n">
        <v>46010</v>
      </c>
      <c r="P125" s="82" t="n">
        <v>46349</v>
      </c>
      <c r="R125" s="81" t="n">
        <v>0</v>
      </c>
      <c r="S125" s="81" t="n">
        <v>0</v>
      </c>
      <c r="T125" s="81" t="n">
        <v>0</v>
      </c>
      <c r="Y125" s="81" t="n">
        <v>1500</v>
      </c>
    </row>
    <row r="126">
      <c r="A126" s="72">
        <f>$D$21</f>
        <v/>
      </c>
      <c r="B126" s="72">
        <f>B125+1</f>
        <v/>
      </c>
      <c r="C126" s="72">
        <f>IF(K126="Vacant","Vac",IF(K126="Model","Model",IF(K126="Admin","Admin",IF(K126="Down","Down",IF(K126="Super","Super","Occ")))))</f>
        <v/>
      </c>
      <c r="D126" s="72">
        <f>INDEX($C$5:$C$8,MATCH(I126,$D$5:$D$8,0))</f>
        <v/>
      </c>
      <c r="E126" s="72">
        <f>INDEX($E$5:$E$8,MATCH(D126,$C$5:$C$8,0))</f>
        <v/>
      </c>
      <c r="F126" s="72">
        <f>INDEX($F$5:$F$8,MATCH(D126,$C$5:$C$8,0))</f>
        <v/>
      </c>
      <c r="G126" s="72">
        <f>INDEX($G$5:$G$8,MATCH(D126,$C$5:$C$8,0))</f>
        <v/>
      </c>
      <c r="H126" s="72" t="inlineStr">
        <is>
          <t>Unit 514</t>
        </is>
      </c>
      <c r="I126" s="72" t="inlineStr">
        <is>
          <t>1 BD / 1 BA</t>
        </is>
      </c>
      <c r="J126" s="80" t="n">
        <v>682</v>
      </c>
      <c r="K126" s="72" t="inlineStr">
        <is>
          <t>Samuel E. Wright IV</t>
        </is>
      </c>
      <c r="L126" s="81" t="n">
        <v>1025</v>
      </c>
      <c r="M126" s="81">
        <f>Y126</f>
        <v/>
      </c>
      <c r="O126" s="82" t="n">
        <v>45856</v>
      </c>
      <c r="R126" s="81" t="n">
        <v>0</v>
      </c>
      <c r="S126" s="81" t="n">
        <v>0</v>
      </c>
      <c r="T126" s="81" t="n">
        <v>0</v>
      </c>
      <c r="Y126" s="81" t="n">
        <v>1056</v>
      </c>
    </row>
    <row r="127">
      <c r="A127" s="72">
        <f>$D$21</f>
        <v/>
      </c>
      <c r="B127" s="72">
        <f>B126+1</f>
        <v/>
      </c>
      <c r="C127" s="72">
        <f>IF(K127="Vacant","Vac",IF(K127="Model","Model",IF(K127="Admin","Admin",IF(K127="Down","Down",IF(K127="Super","Super","Occ")))))</f>
        <v/>
      </c>
      <c r="D127" s="72">
        <f>INDEX($C$5:$C$8,MATCH(I127,$D$5:$D$8,0))</f>
        <v/>
      </c>
      <c r="E127" s="72">
        <f>INDEX($E$5:$E$8,MATCH(D127,$C$5:$C$8,0))</f>
        <v/>
      </c>
      <c r="F127" s="72">
        <f>INDEX($F$5:$F$8,MATCH(D127,$C$5:$C$8,0))</f>
        <v/>
      </c>
      <c r="G127" s="72">
        <f>INDEX($G$5:$G$8,MATCH(D127,$C$5:$C$8,0))</f>
        <v/>
      </c>
      <c r="H127" s="72" t="inlineStr">
        <is>
          <t>Unit 515</t>
        </is>
      </c>
      <c r="I127" s="72" t="inlineStr">
        <is>
          <t>2 BD / 1.5 BA</t>
        </is>
      </c>
      <c r="J127" s="80" t="n">
        <v>1008</v>
      </c>
      <c r="K127" s="72" t="inlineStr">
        <is>
          <t>Mary Ellen   DiPasquale</t>
        </is>
      </c>
      <c r="L127" s="81" t="n">
        <v>1500</v>
      </c>
      <c r="M127" s="81">
        <f>Y127</f>
        <v/>
      </c>
      <c r="O127" s="82" t="n">
        <v>45017</v>
      </c>
      <c r="P127" s="82" t="n">
        <v>46482</v>
      </c>
      <c r="R127" s="81" t="n">
        <v>0</v>
      </c>
      <c r="S127" s="81" t="n">
        <v>0</v>
      </c>
      <c r="T127" s="81" t="n">
        <v>0</v>
      </c>
      <c r="Y127" s="81" t="n">
        <v>1383</v>
      </c>
    </row>
    <row r="128">
      <c r="A128" s="83">
        <f>$D$21</f>
        <v/>
      </c>
      <c r="B128" s="83">
        <f>B127+1</f>
        <v/>
      </c>
      <c r="C128" s="83">
        <f>IF(K128="Vacant","Vac",IF(K128="Model","Model",IF(K128="Admin","Admin",IF(K128="Down","Down",IF(K128="Super","Super","Occ")))))</f>
        <v/>
      </c>
      <c r="D128" s="83">
        <f>INDEX($C$5:$C$8,MATCH(I128,$D$5:$D$8,0))</f>
        <v/>
      </c>
      <c r="E128" s="83">
        <f>INDEX($E$5:$E$8,MATCH(D128,$C$5:$C$8,0))</f>
        <v/>
      </c>
      <c r="F128" s="83">
        <f>INDEX($F$5:$F$8,MATCH(D128,$C$5:$C$8,0))</f>
        <v/>
      </c>
      <c r="G128" s="83">
        <f>INDEX($G$5:$G$8,MATCH(D128,$C$5:$C$8,0))</f>
        <v/>
      </c>
      <c r="H128" s="83" t="inlineStr">
        <is>
          <t>Unit 516</t>
        </is>
      </c>
      <c r="I128" s="83" t="inlineStr">
        <is>
          <t>2 BD / 2 BA</t>
        </is>
      </c>
      <c r="J128" s="84" t="n">
        <v>924</v>
      </c>
      <c r="K128" s="83" t="inlineStr">
        <is>
          <t>Vacant</t>
        </is>
      </c>
      <c r="L128" s="85" t="n">
        <v>1365</v>
      </c>
      <c r="M128" s="85">
        <f>Y128</f>
        <v/>
      </c>
      <c r="N128" s="86" t="n"/>
      <c r="O128" s="86" t="n"/>
      <c r="P128" s="86" t="n"/>
      <c r="Q128" s="86" t="n"/>
      <c r="R128" s="85" t="n">
        <v>0</v>
      </c>
      <c r="S128" s="85" t="n">
        <v>0</v>
      </c>
      <c r="T128" s="85" t="n">
        <v>0</v>
      </c>
      <c r="U128" s="86" t="n"/>
      <c r="V128" s="86" t="n"/>
      <c r="W128" s="86" t="n"/>
      <c r="X128" s="86" t="n"/>
      <c r="Y128" s="85" t="n">
        <v>0</v>
      </c>
    </row>
    <row r="129">
      <c r="A129" s="83">
        <f>$D$21</f>
        <v/>
      </c>
      <c r="B129" s="83">
        <f>B128+1</f>
        <v/>
      </c>
      <c r="C129" s="83">
        <f>IF(K129="Vacant","Vac",IF(K129="Model","Model",IF(K129="Admin","Admin",IF(K129="Down","Down",IF(K129="Super","Super","Occ")))))</f>
        <v/>
      </c>
      <c r="D129" s="83">
        <f>INDEX($C$5:$C$8,MATCH(I129,$D$5:$D$8,0))</f>
        <v/>
      </c>
      <c r="E129" s="83">
        <f>INDEX($E$5:$E$8,MATCH(D129,$C$5:$C$8,0))</f>
        <v/>
      </c>
      <c r="F129" s="83">
        <f>INDEX($F$5:$F$8,MATCH(D129,$C$5:$C$8,0))</f>
        <v/>
      </c>
      <c r="G129" s="83">
        <f>INDEX($G$5:$G$8,MATCH(D129,$C$5:$C$8,0))</f>
        <v/>
      </c>
      <c r="H129" s="83" t="inlineStr">
        <is>
          <t>Unit 517</t>
        </is>
      </c>
      <c r="I129" s="83" t="inlineStr">
        <is>
          <t>1 BD / 1 BA</t>
        </is>
      </c>
      <c r="J129" s="84" t="n">
        <v>682</v>
      </c>
      <c r="K129" s="83" t="inlineStr">
        <is>
          <t>Vacant</t>
        </is>
      </c>
      <c r="L129" s="85" t="n">
        <v>975</v>
      </c>
      <c r="M129" s="85">
        <f>Y129</f>
        <v/>
      </c>
      <c r="N129" s="86" t="n"/>
      <c r="O129" s="86" t="n"/>
      <c r="P129" s="86" t="n"/>
      <c r="Q129" s="86" t="n"/>
      <c r="R129" s="85" t="n">
        <v>0</v>
      </c>
      <c r="S129" s="85" t="n">
        <v>0</v>
      </c>
      <c r="T129" s="85" t="n">
        <v>0</v>
      </c>
      <c r="U129" s="86" t="n"/>
      <c r="V129" s="86" t="n"/>
      <c r="W129" s="86" t="n"/>
      <c r="X129" s="86" t="n"/>
      <c r="Y129" s="85" t="n">
        <v>0</v>
      </c>
    </row>
    <row r="130">
      <c r="A130" s="72">
        <f>$D$21</f>
        <v/>
      </c>
      <c r="B130" s="72">
        <f>B129+1</f>
        <v/>
      </c>
      <c r="C130" s="72">
        <f>IF(K130="Vacant","Vac",IF(K130="Model","Model",IF(K130="Admin","Admin",IF(K130="Down","Down",IF(K130="Super","Super","Occ")))))</f>
        <v/>
      </c>
      <c r="D130" s="72">
        <f>INDEX($C$5:$C$8,MATCH(I130,$D$5:$D$8,0))</f>
        <v/>
      </c>
      <c r="E130" s="72">
        <f>INDEX($E$5:$E$8,MATCH(D130,$C$5:$C$8,0))</f>
        <v/>
      </c>
      <c r="F130" s="72">
        <f>INDEX($F$5:$F$8,MATCH(D130,$C$5:$C$8,0))</f>
        <v/>
      </c>
      <c r="G130" s="72">
        <f>INDEX($G$5:$G$8,MATCH(D130,$C$5:$C$8,0))</f>
        <v/>
      </c>
      <c r="H130" s="72" t="inlineStr">
        <is>
          <t>Unit 601</t>
        </is>
      </c>
      <c r="I130" s="72" t="inlineStr">
        <is>
          <t>1 BD / 1 BA</t>
        </is>
      </c>
      <c r="J130" s="80" t="n">
        <v>682</v>
      </c>
      <c r="K130" s="72" t="inlineStr">
        <is>
          <t>Mollie Catherine Rose  Comyn</t>
        </is>
      </c>
      <c r="L130" s="81" t="n">
        <v>1025</v>
      </c>
      <c r="M130" s="81">
        <f>Y130</f>
        <v/>
      </c>
      <c r="O130" s="82" t="n">
        <v>45703</v>
      </c>
      <c r="P130" s="82" t="n">
        <v>46510</v>
      </c>
      <c r="R130" s="81" t="n">
        <v>0</v>
      </c>
      <c r="S130" s="81" t="n">
        <v>0</v>
      </c>
      <c r="T130" s="81" t="n">
        <v>0</v>
      </c>
      <c r="Y130" s="81" t="n">
        <v>1025</v>
      </c>
    </row>
    <row r="131">
      <c r="A131" s="72">
        <f>$D$21</f>
        <v/>
      </c>
      <c r="B131" s="72">
        <f>B130+1</f>
        <v/>
      </c>
      <c r="C131" s="72">
        <f>IF(K131="Vacant","Vac",IF(K131="Model","Model",IF(K131="Admin","Admin",IF(K131="Down","Down",IF(K131="Super","Super","Occ")))))</f>
        <v/>
      </c>
      <c r="D131" s="72">
        <f>INDEX($C$5:$C$8,MATCH(I131,$D$5:$D$8,0))</f>
        <v/>
      </c>
      <c r="E131" s="72">
        <f>INDEX($E$5:$E$8,MATCH(D131,$C$5:$C$8,0))</f>
        <v/>
      </c>
      <c r="F131" s="72">
        <f>INDEX($F$5:$F$8,MATCH(D131,$C$5:$C$8,0))</f>
        <v/>
      </c>
      <c r="G131" s="72">
        <f>INDEX($G$5:$G$8,MATCH(D131,$C$5:$C$8,0))</f>
        <v/>
      </c>
      <c r="H131" s="72" t="inlineStr">
        <is>
          <t>Unit 602</t>
        </is>
      </c>
      <c r="I131" s="72" t="inlineStr">
        <is>
          <t>2 BD / 1.5 BA</t>
        </is>
      </c>
      <c r="J131" s="80" t="n">
        <v>1008</v>
      </c>
      <c r="K131" s="72" t="inlineStr">
        <is>
          <t>Charles M. Powell</t>
        </is>
      </c>
      <c r="L131" s="81" t="n">
        <v>1500</v>
      </c>
      <c r="M131" s="81">
        <f>Y131</f>
        <v/>
      </c>
      <c r="O131" s="82" t="n">
        <v>44713</v>
      </c>
      <c r="P131" s="82" t="n">
        <v>46524</v>
      </c>
      <c r="R131" s="81" t="n">
        <v>0</v>
      </c>
      <c r="S131" s="81" t="n">
        <v>0</v>
      </c>
      <c r="T131" s="81" t="n">
        <v>0</v>
      </c>
      <c r="Y131" s="81" t="n">
        <v>1315</v>
      </c>
    </row>
    <row r="132">
      <c r="A132" s="72">
        <f>$D$21</f>
        <v/>
      </c>
      <c r="B132" s="72">
        <f>B131+1</f>
        <v/>
      </c>
      <c r="C132" s="72">
        <f>IF(K132="Vacant","Vac",IF(K132="Model","Model",IF(K132="Admin","Admin",IF(K132="Down","Down",IF(K132="Super","Super","Occ")))))</f>
        <v/>
      </c>
      <c r="D132" s="72">
        <f>INDEX($C$5:$C$8,MATCH(I132,$D$5:$D$8,0))</f>
        <v/>
      </c>
      <c r="E132" s="72">
        <f>INDEX($E$5:$E$8,MATCH(D132,$C$5:$C$8,0))</f>
        <v/>
      </c>
      <c r="F132" s="72">
        <f>INDEX($F$5:$F$8,MATCH(D132,$C$5:$C$8,0))</f>
        <v/>
      </c>
      <c r="G132" s="72">
        <f>INDEX($G$5:$G$8,MATCH(D132,$C$5:$C$8,0))</f>
        <v/>
      </c>
      <c r="H132" s="72" t="inlineStr">
        <is>
          <t>Unit 603</t>
        </is>
      </c>
      <c r="I132" s="72" t="inlineStr">
        <is>
          <t>2 BD / 1.5 BA</t>
        </is>
      </c>
      <c r="J132" s="80" t="n">
        <v>1008</v>
      </c>
      <c r="K132" s="72" t="inlineStr">
        <is>
          <t>Areej Darraj</t>
        </is>
      </c>
      <c r="L132" s="81" t="n">
        <v>1315</v>
      </c>
      <c r="M132" s="81">
        <f>Y132</f>
        <v/>
      </c>
      <c r="O132" s="82" t="n">
        <v>46196</v>
      </c>
      <c r="P132" s="82" t="n">
        <v>46568</v>
      </c>
      <c r="R132" s="81" t="n">
        <v>0</v>
      </c>
      <c r="S132" s="81" t="n">
        <v>0</v>
      </c>
      <c r="T132" s="81" t="n">
        <v>0</v>
      </c>
      <c r="Y132" s="81" t="n">
        <v>1315</v>
      </c>
    </row>
    <row r="133">
      <c r="A133" s="72">
        <f>$D$21</f>
        <v/>
      </c>
      <c r="B133" s="72">
        <f>B132+1</f>
        <v/>
      </c>
      <c r="C133" s="72">
        <f>IF(K133="Vacant","Vac",IF(K133="Model","Model",IF(K133="Admin","Admin",IF(K133="Down","Down",IF(K133="Super","Super","Occ")))))</f>
        <v/>
      </c>
      <c r="D133" s="72">
        <f>INDEX($C$5:$C$8,MATCH(I133,$D$5:$D$8,0))</f>
        <v/>
      </c>
      <c r="E133" s="72">
        <f>INDEX($E$5:$E$8,MATCH(D133,$C$5:$C$8,0))</f>
        <v/>
      </c>
      <c r="F133" s="72">
        <f>INDEX($F$5:$F$8,MATCH(D133,$C$5:$C$8,0))</f>
        <v/>
      </c>
      <c r="G133" s="72">
        <f>INDEX($G$5:$G$8,MATCH(D133,$C$5:$C$8,0))</f>
        <v/>
      </c>
      <c r="H133" s="72" t="inlineStr">
        <is>
          <t>Unit 604</t>
        </is>
      </c>
      <c r="I133" s="72" t="inlineStr">
        <is>
          <t>1 BD / 1 BA</t>
        </is>
      </c>
      <c r="J133" s="80" t="n">
        <v>682</v>
      </c>
      <c r="K133" s="72" t="inlineStr">
        <is>
          <t>Brianna  Nardozi</t>
        </is>
      </c>
      <c r="L133" s="81" t="n">
        <v>1025</v>
      </c>
      <c r="M133" s="81">
        <f>Y133</f>
        <v/>
      </c>
      <c r="O133" s="82" t="n">
        <v>44805</v>
      </c>
      <c r="P133" s="82" t="n">
        <v>46615</v>
      </c>
      <c r="R133" s="81" t="n">
        <v>0</v>
      </c>
      <c r="S133" s="81" t="n">
        <v>0</v>
      </c>
      <c r="T133" s="81" t="n">
        <v>0</v>
      </c>
      <c r="Y133" s="81" t="n">
        <v>1024</v>
      </c>
    </row>
    <row r="134">
      <c r="A134" s="72">
        <f>$D$21</f>
        <v/>
      </c>
      <c r="B134" s="72">
        <f>B133+1</f>
        <v/>
      </c>
      <c r="C134" s="72">
        <f>IF(K134="Vacant","Vac",IF(K134="Model","Model",IF(K134="Admin","Admin",IF(K134="Down","Down",IF(K134="Super","Super","Occ")))))</f>
        <v/>
      </c>
      <c r="D134" s="72">
        <f>INDEX($C$5:$C$8,MATCH(I134,$D$5:$D$8,0))</f>
        <v/>
      </c>
      <c r="E134" s="72">
        <f>INDEX($E$5:$E$8,MATCH(D134,$C$5:$C$8,0))</f>
        <v/>
      </c>
      <c r="F134" s="72">
        <f>INDEX($F$5:$F$8,MATCH(D134,$C$5:$C$8,0))</f>
        <v/>
      </c>
      <c r="G134" s="72">
        <f>INDEX($G$5:$G$8,MATCH(D134,$C$5:$C$8,0))</f>
        <v/>
      </c>
      <c r="H134" s="72" t="inlineStr">
        <is>
          <t>Unit 605</t>
        </is>
      </c>
      <c r="I134" s="72" t="inlineStr">
        <is>
          <t>3 BD / 2 BA</t>
        </is>
      </c>
      <c r="J134" s="80" t="n">
        <v>1166</v>
      </c>
      <c r="K134" s="72" t="inlineStr">
        <is>
          <t>Vincent  J. Thomas</t>
        </is>
      </c>
      <c r="L134" s="81" t="n">
        <v>1550</v>
      </c>
      <c r="M134" s="81">
        <f>Y134</f>
        <v/>
      </c>
      <c r="O134" s="82" t="n">
        <v>45838</v>
      </c>
      <c r="P134" s="82" t="n">
        <v>46559</v>
      </c>
      <c r="R134" s="81" t="n">
        <v>0</v>
      </c>
      <c r="S134" s="81" t="n">
        <v>0</v>
      </c>
      <c r="T134" s="81" t="n">
        <v>0</v>
      </c>
      <c r="Y134" s="81" t="n">
        <v>1612</v>
      </c>
    </row>
    <row r="135">
      <c r="A135" s="72">
        <f>$D$21</f>
        <v/>
      </c>
      <c r="B135" s="72">
        <f>B134+1</f>
        <v/>
      </c>
      <c r="C135" s="72">
        <f>IF(K135="Vacant","Vac",IF(K135="Model","Model",IF(K135="Admin","Admin",IF(K135="Down","Down",IF(K135="Super","Super","Occ")))))</f>
        <v/>
      </c>
      <c r="D135" s="72">
        <f>INDEX($C$5:$C$8,MATCH(I135,$D$5:$D$8,0))</f>
        <v/>
      </c>
      <c r="E135" s="72">
        <f>INDEX($E$5:$E$8,MATCH(D135,$C$5:$C$8,0))</f>
        <v/>
      </c>
      <c r="F135" s="72">
        <f>INDEX($F$5:$F$8,MATCH(D135,$C$5:$C$8,0))</f>
        <v/>
      </c>
      <c r="G135" s="72">
        <f>INDEX($G$5:$G$8,MATCH(D135,$C$5:$C$8,0))</f>
        <v/>
      </c>
      <c r="H135" s="72" t="inlineStr">
        <is>
          <t>Unit 606</t>
        </is>
      </c>
      <c r="I135" s="72" t="inlineStr">
        <is>
          <t>1 BD / 1 BA</t>
        </is>
      </c>
      <c r="J135" s="80" t="n">
        <v>682</v>
      </c>
      <c r="K135" s="72" t="inlineStr">
        <is>
          <t>Taimah K. Williams</t>
        </is>
      </c>
      <c r="L135" s="81" t="n">
        <v>1025</v>
      </c>
      <c r="M135" s="81">
        <f>Y135</f>
        <v/>
      </c>
      <c r="O135" s="82" t="n">
        <v>45394</v>
      </c>
      <c r="P135" s="82" t="n">
        <v>46510</v>
      </c>
      <c r="R135" s="81" t="n">
        <v>0</v>
      </c>
      <c r="S135" s="81" t="n">
        <v>0</v>
      </c>
      <c r="T135" s="81" t="n">
        <v>0</v>
      </c>
      <c r="Y135" s="81" t="n">
        <v>1065</v>
      </c>
    </row>
    <row r="136">
      <c r="A136" s="72">
        <f>$D$21</f>
        <v/>
      </c>
      <c r="B136" s="72">
        <f>B135+1</f>
        <v/>
      </c>
      <c r="C136" s="72">
        <f>IF(K136="Vacant","Vac",IF(K136="Model","Model",IF(K136="Admin","Admin",IF(K136="Down","Down",IF(K136="Super","Super","Occ")))))</f>
        <v/>
      </c>
      <c r="D136" s="72">
        <f>INDEX($C$5:$C$8,MATCH(I136,$D$5:$D$8,0))</f>
        <v/>
      </c>
      <c r="E136" s="72">
        <f>INDEX($E$5:$E$8,MATCH(D136,$C$5:$C$8,0))</f>
        <v/>
      </c>
      <c r="F136" s="72">
        <f>INDEX($F$5:$F$8,MATCH(D136,$C$5:$C$8,0))</f>
        <v/>
      </c>
      <c r="G136" s="72">
        <f>INDEX($G$5:$G$8,MATCH(D136,$C$5:$C$8,0))</f>
        <v/>
      </c>
      <c r="H136" s="72" t="inlineStr">
        <is>
          <t>Unit 607</t>
        </is>
      </c>
      <c r="I136" s="72" t="inlineStr">
        <is>
          <t>2 BD / 1.5 BA</t>
        </is>
      </c>
      <c r="J136" s="80" t="n">
        <v>1008</v>
      </c>
      <c r="K136" s="72" t="inlineStr">
        <is>
          <t>Diane   Markovich</t>
        </is>
      </c>
      <c r="L136" s="81" t="n">
        <v>1315</v>
      </c>
      <c r="M136" s="81">
        <f>Y136</f>
        <v/>
      </c>
      <c r="O136" s="82" t="n">
        <v>44927</v>
      </c>
      <c r="P136" s="82" t="n">
        <v>46496</v>
      </c>
      <c r="R136" s="81" t="n">
        <v>0</v>
      </c>
      <c r="S136" s="81" t="n">
        <v>0</v>
      </c>
      <c r="T136" s="81" t="n">
        <v>0</v>
      </c>
      <c r="Y136" s="81" t="n">
        <v>1356</v>
      </c>
    </row>
    <row r="137">
      <c r="A137" s="72">
        <f>$D$21</f>
        <v/>
      </c>
      <c r="B137" s="72">
        <f>B136+1</f>
        <v/>
      </c>
      <c r="C137" s="72">
        <f>IF(K137="Vacant","Vac",IF(K137="Model","Model",IF(K137="Admin","Admin",IF(K137="Down","Down",IF(K137="Super","Super","Occ")))))</f>
        <v/>
      </c>
      <c r="D137" s="72">
        <f>INDEX($C$5:$C$8,MATCH(I137,$D$5:$D$8,0))</f>
        <v/>
      </c>
      <c r="E137" s="72">
        <f>INDEX($E$5:$E$8,MATCH(D137,$C$5:$C$8,0))</f>
        <v/>
      </c>
      <c r="F137" s="72">
        <f>INDEX($F$5:$F$8,MATCH(D137,$C$5:$C$8,0))</f>
        <v/>
      </c>
      <c r="G137" s="72">
        <f>INDEX($G$5:$G$8,MATCH(D137,$C$5:$C$8,0))</f>
        <v/>
      </c>
      <c r="H137" s="72" t="inlineStr">
        <is>
          <t>Unit 608</t>
        </is>
      </c>
      <c r="I137" s="72" t="inlineStr">
        <is>
          <t>2 BD / 1.5 BA</t>
        </is>
      </c>
      <c r="J137" s="80" t="n">
        <v>1008</v>
      </c>
      <c r="K137" s="72" t="inlineStr">
        <is>
          <t>Bernadette    Puzzuole</t>
        </is>
      </c>
      <c r="L137" s="81" t="n">
        <v>1315</v>
      </c>
      <c r="M137" s="81">
        <f>Y137</f>
        <v/>
      </c>
      <c r="O137" s="82" t="n">
        <v>45077</v>
      </c>
      <c r="P137" s="82" t="n">
        <v>46524</v>
      </c>
      <c r="R137" s="81" t="n">
        <v>0</v>
      </c>
      <c r="S137" s="81" t="n">
        <v>0</v>
      </c>
      <c r="T137" s="81" t="n">
        <v>0</v>
      </c>
      <c r="Y137" s="81" t="n">
        <v>1468</v>
      </c>
    </row>
    <row r="138">
      <c r="A138" s="72">
        <f>$D$21</f>
        <v/>
      </c>
      <c r="B138" s="72">
        <f>B137+1</f>
        <v/>
      </c>
      <c r="C138" s="72">
        <f>IF(K138="Vacant","Vac",IF(K138="Model","Model",IF(K138="Admin","Admin",IF(K138="Down","Down",IF(K138="Super","Super","Occ")))))</f>
        <v/>
      </c>
      <c r="D138" s="72">
        <f>INDEX($C$5:$C$8,MATCH(I138,$D$5:$D$8,0))</f>
        <v/>
      </c>
      <c r="E138" s="72">
        <f>INDEX($E$5:$E$8,MATCH(D138,$C$5:$C$8,0))</f>
        <v/>
      </c>
      <c r="F138" s="72">
        <f>INDEX($F$5:$F$8,MATCH(D138,$C$5:$C$8,0))</f>
        <v/>
      </c>
      <c r="G138" s="72">
        <f>INDEX($G$5:$G$8,MATCH(D138,$C$5:$C$8,0))</f>
        <v/>
      </c>
      <c r="H138" s="72" t="inlineStr">
        <is>
          <t>Unit 609</t>
        </is>
      </c>
      <c r="I138" s="72" t="inlineStr">
        <is>
          <t>1 BD / 1 BA</t>
        </is>
      </c>
      <c r="J138" s="80" t="n">
        <v>682</v>
      </c>
      <c r="K138" s="72" t="inlineStr">
        <is>
          <t>Matthew J. Windsor</t>
        </is>
      </c>
      <c r="L138" s="81" t="n">
        <v>1025</v>
      </c>
      <c r="M138" s="81">
        <f>Y138</f>
        <v/>
      </c>
      <c r="O138" s="82" t="n">
        <v>45676</v>
      </c>
      <c r="P138" s="82" t="n">
        <v>46559</v>
      </c>
      <c r="R138" s="81" t="n">
        <v>0</v>
      </c>
      <c r="S138" s="81" t="n">
        <v>0</v>
      </c>
      <c r="T138" s="81" t="n">
        <v>0</v>
      </c>
      <c r="Y138" s="81" t="n">
        <v>1014</v>
      </c>
    </row>
    <row r="139">
      <c r="A139" s="72">
        <f>$D$21</f>
        <v/>
      </c>
      <c r="B139" s="72">
        <f>B138+1</f>
        <v/>
      </c>
      <c r="C139" s="72">
        <f>IF(K139="Vacant","Vac",IF(K139="Model","Model",IF(K139="Admin","Admin",IF(K139="Down","Down",IF(K139="Super","Super","Occ")))))</f>
        <v/>
      </c>
      <c r="D139" s="72">
        <f>INDEX($C$5:$C$8,MATCH(I139,$D$5:$D$8,0))</f>
        <v/>
      </c>
      <c r="E139" s="72">
        <f>INDEX($E$5:$E$8,MATCH(D139,$C$5:$C$8,0))</f>
        <v/>
      </c>
      <c r="F139" s="72">
        <f>INDEX($F$5:$F$8,MATCH(D139,$C$5:$C$8,0))</f>
        <v/>
      </c>
      <c r="G139" s="72">
        <f>INDEX($G$5:$G$8,MATCH(D139,$C$5:$C$8,0))</f>
        <v/>
      </c>
      <c r="H139" s="72" t="inlineStr">
        <is>
          <t>Unit 610</t>
        </is>
      </c>
      <c r="I139" s="72" t="inlineStr">
        <is>
          <t>1 BD / 1 BA</t>
        </is>
      </c>
      <c r="J139" s="80" t="n">
        <v>682</v>
      </c>
      <c r="K139" s="72" t="inlineStr">
        <is>
          <t>Peter Niebling</t>
        </is>
      </c>
      <c r="L139" s="81" t="n">
        <v>1025</v>
      </c>
      <c r="M139" s="81">
        <f>Y139</f>
        <v/>
      </c>
      <c r="O139" s="82" t="n">
        <v>44896</v>
      </c>
      <c r="P139" s="82" t="n">
        <v>45985</v>
      </c>
      <c r="R139" s="81" t="n">
        <v>0</v>
      </c>
      <c r="S139" s="81" t="n">
        <v>0</v>
      </c>
      <c r="T139" s="81" t="n">
        <v>0</v>
      </c>
      <c r="Y139" s="81" t="n">
        <v>975</v>
      </c>
    </row>
    <row r="140">
      <c r="A140" s="72">
        <f>$D$21</f>
        <v/>
      </c>
      <c r="B140" s="72">
        <f>B139+1</f>
        <v/>
      </c>
      <c r="C140" s="72">
        <f>IF(K140="Vacant","Vac",IF(K140="Model","Model",IF(K140="Admin","Admin",IF(K140="Down","Down",IF(K140="Super","Super","Occ")))))</f>
        <v/>
      </c>
      <c r="D140" s="72">
        <f>INDEX($C$5:$C$8,MATCH(I140,$D$5:$D$8,0))</f>
        <v/>
      </c>
      <c r="E140" s="72">
        <f>INDEX($E$5:$E$8,MATCH(D140,$C$5:$C$8,0))</f>
        <v/>
      </c>
      <c r="F140" s="72">
        <f>INDEX($F$5:$F$8,MATCH(D140,$C$5:$C$8,0))</f>
        <v/>
      </c>
      <c r="G140" s="72">
        <f>INDEX($G$5:$G$8,MATCH(D140,$C$5:$C$8,0))</f>
        <v/>
      </c>
      <c r="H140" s="72" t="inlineStr">
        <is>
          <t>Unit 611</t>
        </is>
      </c>
      <c r="I140" s="72" t="inlineStr">
        <is>
          <t>2 BD / 2 BA</t>
        </is>
      </c>
      <c r="J140" s="80" t="n">
        <v>924</v>
      </c>
      <c r="K140" s="72" t="inlineStr">
        <is>
          <t>Shirish  Paranjpe</t>
        </is>
      </c>
      <c r="L140" s="81" t="n">
        <v>1365</v>
      </c>
      <c r="M140" s="81">
        <f>Y140</f>
        <v/>
      </c>
      <c r="O140" s="82" t="n">
        <v>44986</v>
      </c>
      <c r="P140" s="82" t="n">
        <v>46446</v>
      </c>
      <c r="R140" s="81" t="n">
        <v>0</v>
      </c>
      <c r="S140" s="81" t="n">
        <v>0</v>
      </c>
      <c r="T140" s="81" t="n">
        <v>0</v>
      </c>
      <c r="Y140" s="81" t="n">
        <v>1381</v>
      </c>
    </row>
    <row r="141">
      <c r="A141" s="72">
        <f>$D$21</f>
        <v/>
      </c>
      <c r="B141" s="72">
        <f>B140+1</f>
        <v/>
      </c>
      <c r="C141" s="72">
        <f>IF(K141="Vacant","Vac",IF(K141="Model","Model",IF(K141="Admin","Admin",IF(K141="Down","Down",IF(K141="Super","Super","Occ")))))</f>
        <v/>
      </c>
      <c r="D141" s="72">
        <f>INDEX($C$5:$C$8,MATCH(I141,$D$5:$D$8,0))</f>
        <v/>
      </c>
      <c r="E141" s="72">
        <f>INDEX($E$5:$E$8,MATCH(D141,$C$5:$C$8,0))</f>
        <v/>
      </c>
      <c r="F141" s="72">
        <f>INDEX($F$5:$F$8,MATCH(D141,$C$5:$C$8,0))</f>
        <v/>
      </c>
      <c r="G141" s="72">
        <f>INDEX($G$5:$G$8,MATCH(D141,$C$5:$C$8,0))</f>
        <v/>
      </c>
      <c r="H141" s="72" t="inlineStr">
        <is>
          <t>Unit 612</t>
        </is>
      </c>
      <c r="I141" s="72" t="inlineStr">
        <is>
          <t>2 BD / 1.5 BA</t>
        </is>
      </c>
      <c r="J141" s="80" t="n">
        <v>1008</v>
      </c>
      <c r="K141" s="72" t="inlineStr">
        <is>
          <t>Blair  Gorczyca</t>
        </is>
      </c>
      <c r="L141" s="81" t="n">
        <v>1500</v>
      </c>
      <c r="M141" s="81">
        <f>Y141</f>
        <v/>
      </c>
      <c r="O141" s="82" t="n">
        <v>45078</v>
      </c>
      <c r="P141" s="82" t="n">
        <v>46160</v>
      </c>
      <c r="R141" s="81" t="n">
        <v>0</v>
      </c>
      <c r="S141" s="81" t="n">
        <v>0</v>
      </c>
      <c r="T141" s="81" t="n">
        <v>0</v>
      </c>
      <c r="Y141" s="81" t="n">
        <v>1406</v>
      </c>
    </row>
    <row r="142">
      <c r="A142" s="72">
        <f>$D$21</f>
        <v/>
      </c>
      <c r="B142" s="72">
        <f>B141+1</f>
        <v/>
      </c>
      <c r="C142" s="72">
        <f>IF(K142="Vacant","Vac",IF(K142="Model","Model",IF(K142="Admin","Admin",IF(K142="Down","Down",IF(K142="Super","Super","Occ")))))</f>
        <v/>
      </c>
      <c r="D142" s="72">
        <f>INDEX($C$5:$C$8,MATCH(I142,$D$5:$D$8,0))</f>
        <v/>
      </c>
      <c r="E142" s="72">
        <f>INDEX($E$5:$E$8,MATCH(D142,$C$5:$C$8,0))</f>
        <v/>
      </c>
      <c r="F142" s="72">
        <f>INDEX($F$5:$F$8,MATCH(D142,$C$5:$C$8,0))</f>
        <v/>
      </c>
      <c r="G142" s="72">
        <f>INDEX($G$5:$G$8,MATCH(D142,$C$5:$C$8,0))</f>
        <v/>
      </c>
      <c r="H142" s="72" t="inlineStr">
        <is>
          <t>Unit 614</t>
        </is>
      </c>
      <c r="I142" s="72" t="inlineStr">
        <is>
          <t>1 BD / 1 BA</t>
        </is>
      </c>
      <c r="J142" s="80" t="n">
        <v>682</v>
      </c>
      <c r="K142" s="72" t="inlineStr">
        <is>
          <t>Gregory J. Bass</t>
        </is>
      </c>
      <c r="L142" s="81" t="n">
        <v>1025</v>
      </c>
      <c r="M142" s="81">
        <f>Y142</f>
        <v/>
      </c>
      <c r="O142" s="82" t="n">
        <v>46127</v>
      </c>
      <c r="P142" s="82" t="n">
        <v>46517</v>
      </c>
      <c r="R142" s="81" t="n">
        <v>0</v>
      </c>
      <c r="S142" s="81" t="n">
        <v>0</v>
      </c>
      <c r="T142" s="81" t="n">
        <v>0</v>
      </c>
      <c r="Y142" s="81" t="n">
        <v>975</v>
      </c>
    </row>
    <row r="143">
      <c r="A143" s="72">
        <f>$D$21</f>
        <v/>
      </c>
      <c r="B143" s="72">
        <f>B142+1</f>
        <v/>
      </c>
      <c r="C143" s="72">
        <f>IF(K143="Vacant","Vac",IF(K143="Model","Model",IF(K143="Admin","Admin",IF(K143="Down","Down",IF(K143="Super","Super","Occ")))))</f>
        <v/>
      </c>
      <c r="D143" s="72">
        <f>INDEX($C$5:$C$8,MATCH(I143,$D$5:$D$8,0))</f>
        <v/>
      </c>
      <c r="E143" s="72">
        <f>INDEX($E$5:$E$8,MATCH(D143,$C$5:$C$8,0))</f>
        <v/>
      </c>
      <c r="F143" s="72">
        <f>INDEX($F$5:$F$8,MATCH(D143,$C$5:$C$8,0))</f>
        <v/>
      </c>
      <c r="G143" s="72">
        <f>INDEX($G$5:$G$8,MATCH(D143,$C$5:$C$8,0))</f>
        <v/>
      </c>
      <c r="H143" s="72" t="inlineStr">
        <is>
          <t>Unit 615</t>
        </is>
      </c>
      <c r="I143" s="72" t="inlineStr">
        <is>
          <t>2 BD / 1.5 BA</t>
        </is>
      </c>
      <c r="J143" s="80" t="n">
        <v>1008</v>
      </c>
      <c r="K143" s="72" t="inlineStr">
        <is>
          <t>Yaritza Lugo-Ramos</t>
        </is>
      </c>
      <c r="L143" s="81" t="n">
        <v>1500</v>
      </c>
      <c r="M143" s="81">
        <f>Y143</f>
        <v/>
      </c>
      <c r="O143" s="82" t="n">
        <v>45017</v>
      </c>
      <c r="P143" s="82" t="n">
        <v>46559</v>
      </c>
      <c r="R143" s="81" t="n">
        <v>0</v>
      </c>
      <c r="S143" s="81" t="n">
        <v>0</v>
      </c>
      <c r="T143" s="81" t="n">
        <v>0</v>
      </c>
      <c r="Y143" s="81" t="n">
        <v>1368</v>
      </c>
    </row>
    <row r="144">
      <c r="A144" s="83">
        <f>$D$21</f>
        <v/>
      </c>
      <c r="B144" s="83">
        <f>B143+1</f>
        <v/>
      </c>
      <c r="C144" s="83">
        <f>IF(K144="Vacant","Vac",IF(K144="Model","Model",IF(K144="Admin","Admin",IF(K144="Down","Down",IF(K144="Super","Super","Occ")))))</f>
        <v/>
      </c>
      <c r="D144" s="83">
        <f>INDEX($C$5:$C$8,MATCH(I144,$D$5:$D$8,0))</f>
        <v/>
      </c>
      <c r="E144" s="83">
        <f>INDEX($E$5:$E$8,MATCH(D144,$C$5:$C$8,0))</f>
        <v/>
      </c>
      <c r="F144" s="83">
        <f>INDEX($F$5:$F$8,MATCH(D144,$C$5:$C$8,0))</f>
        <v/>
      </c>
      <c r="G144" s="83">
        <f>INDEX($G$5:$G$8,MATCH(D144,$C$5:$C$8,0))</f>
        <v/>
      </c>
      <c r="H144" s="83" t="inlineStr">
        <is>
          <t>Unit 616</t>
        </is>
      </c>
      <c r="I144" s="83" t="inlineStr">
        <is>
          <t>2 BD / 2 BA</t>
        </is>
      </c>
      <c r="J144" s="84" t="n">
        <v>924</v>
      </c>
      <c r="K144" s="83" t="inlineStr">
        <is>
          <t>Vacant</t>
        </is>
      </c>
      <c r="L144" s="85" t="n">
        <v>1365</v>
      </c>
      <c r="M144" s="85">
        <f>Y144</f>
        <v/>
      </c>
      <c r="N144" s="86" t="n"/>
      <c r="O144" s="86" t="n"/>
      <c r="P144" s="86" t="n"/>
      <c r="Q144" s="86" t="n"/>
      <c r="R144" s="85" t="n">
        <v>0</v>
      </c>
      <c r="S144" s="85" t="n">
        <v>0</v>
      </c>
      <c r="T144" s="85" t="n">
        <v>0</v>
      </c>
      <c r="U144" s="86" t="n"/>
      <c r="V144" s="86" t="n"/>
      <c r="W144" s="86" t="n"/>
      <c r="X144" s="86" t="n"/>
      <c r="Y144" s="85" t="n">
        <v>0</v>
      </c>
    </row>
    <row r="145">
      <c r="A145" s="72">
        <f>$D$21</f>
        <v/>
      </c>
      <c r="B145" s="72">
        <f>B144+1</f>
        <v/>
      </c>
      <c r="C145" s="72">
        <f>IF(K145="Vacant","Vac",IF(K145="Model","Model",IF(K145="Admin","Admin",IF(K145="Down","Down",IF(K145="Super","Super","Occ")))))</f>
        <v/>
      </c>
      <c r="D145" s="72">
        <f>INDEX($C$5:$C$8,MATCH(I145,$D$5:$D$8,0))</f>
        <v/>
      </c>
      <c r="E145" s="72">
        <f>INDEX($E$5:$E$8,MATCH(D145,$C$5:$C$8,0))</f>
        <v/>
      </c>
      <c r="F145" s="72">
        <f>INDEX($F$5:$F$8,MATCH(D145,$C$5:$C$8,0))</f>
        <v/>
      </c>
      <c r="G145" s="72">
        <f>INDEX($G$5:$G$8,MATCH(D145,$C$5:$C$8,0))</f>
        <v/>
      </c>
      <c r="H145" s="72" t="inlineStr">
        <is>
          <t>Unit 617</t>
        </is>
      </c>
      <c r="I145" s="72" t="inlineStr">
        <is>
          <t>1 BD / 1 BA</t>
        </is>
      </c>
      <c r="J145" s="80" t="n">
        <v>682</v>
      </c>
      <c r="K145" s="72" t="inlineStr">
        <is>
          <t>Maria V. Basto</t>
        </is>
      </c>
      <c r="L145" s="81" t="n">
        <v>1025</v>
      </c>
      <c r="M145" s="81">
        <f>Y145</f>
        <v/>
      </c>
      <c r="O145" s="82" t="n">
        <v>46157</v>
      </c>
      <c r="P145" s="82" t="n">
        <v>46531</v>
      </c>
      <c r="R145" s="81" t="n">
        <v>0</v>
      </c>
      <c r="S145" s="81" t="n">
        <v>0</v>
      </c>
      <c r="T145" s="81" t="n">
        <v>0</v>
      </c>
      <c r="Y145" s="81" t="n">
        <v>975</v>
      </c>
    </row>
    <row r="146">
      <c r="A146" s="72">
        <f>$D$21</f>
        <v/>
      </c>
      <c r="B146" s="72">
        <f>B145+1</f>
        <v/>
      </c>
      <c r="C146" s="72">
        <f>IF(K146="Vacant","Vac",IF(K146="Model","Model",IF(K146="Admin","Admin",IF(K146="Down","Down",IF(K146="Super","Super","Occ")))))</f>
        <v/>
      </c>
      <c r="D146" s="72">
        <f>INDEX($C$5:$C$8,MATCH(I146,$D$5:$D$8,0))</f>
        <v/>
      </c>
      <c r="E146" s="72">
        <f>INDEX($E$5:$E$8,MATCH(D146,$C$5:$C$8,0))</f>
        <v/>
      </c>
      <c r="F146" s="72">
        <f>INDEX($F$5:$F$8,MATCH(D146,$C$5:$C$8,0))</f>
        <v/>
      </c>
      <c r="G146" s="72">
        <f>INDEX($G$5:$G$8,MATCH(D146,$C$5:$C$8,0))</f>
        <v/>
      </c>
      <c r="H146" s="72" t="inlineStr">
        <is>
          <t>Unit 701</t>
        </is>
      </c>
      <c r="I146" s="72" t="inlineStr">
        <is>
          <t>1 BD / 1 BA</t>
        </is>
      </c>
      <c r="J146" s="80" t="n">
        <v>682</v>
      </c>
      <c r="K146" s="72" t="inlineStr">
        <is>
          <t>Kyle D. Scarbrough</t>
        </is>
      </c>
      <c r="L146" s="81" t="n">
        <v>1025</v>
      </c>
      <c r="M146" s="81">
        <f>Y146</f>
        <v/>
      </c>
      <c r="O146" s="82" t="n">
        <v>44786</v>
      </c>
      <c r="P146" s="82" t="n">
        <v>46615</v>
      </c>
      <c r="R146" s="81" t="n">
        <v>0</v>
      </c>
      <c r="S146" s="81" t="n">
        <v>0</v>
      </c>
      <c r="T146" s="81" t="n">
        <v>0</v>
      </c>
      <c r="Y146" s="81" t="n">
        <v>1015</v>
      </c>
    </row>
    <row r="147">
      <c r="A147" s="72">
        <f>$D$21</f>
        <v/>
      </c>
      <c r="B147" s="72">
        <f>B146+1</f>
        <v/>
      </c>
      <c r="C147" s="72">
        <f>IF(K147="Vacant","Vac",IF(K147="Model","Model",IF(K147="Admin","Admin",IF(K147="Down","Down",IF(K147="Super","Super","Occ")))))</f>
        <v/>
      </c>
      <c r="D147" s="72">
        <f>INDEX($C$5:$C$8,MATCH(I147,$D$5:$D$8,0))</f>
        <v/>
      </c>
      <c r="E147" s="72">
        <f>INDEX($E$5:$E$8,MATCH(D147,$C$5:$C$8,0))</f>
        <v/>
      </c>
      <c r="F147" s="72">
        <f>INDEX($F$5:$F$8,MATCH(D147,$C$5:$C$8,0))</f>
        <v/>
      </c>
      <c r="G147" s="72">
        <f>INDEX($G$5:$G$8,MATCH(D147,$C$5:$C$8,0))</f>
        <v/>
      </c>
      <c r="H147" s="72" t="inlineStr">
        <is>
          <t>Unit 702</t>
        </is>
      </c>
      <c r="I147" s="72" t="inlineStr">
        <is>
          <t>2 BD / 1.5 BA</t>
        </is>
      </c>
      <c r="J147" s="80" t="n">
        <v>1008</v>
      </c>
      <c r="K147" s="72" t="inlineStr">
        <is>
          <t>William  Sandoval</t>
        </is>
      </c>
      <c r="L147" s="81" t="n">
        <v>1500</v>
      </c>
      <c r="M147" s="81">
        <f>Y147</f>
        <v/>
      </c>
      <c r="O147" s="82" t="n">
        <v>45423</v>
      </c>
      <c r="P147" s="82" t="n">
        <v>46587</v>
      </c>
      <c r="R147" s="81" t="n">
        <v>0</v>
      </c>
      <c r="S147" s="81" t="n">
        <v>0</v>
      </c>
      <c r="T147" s="81" t="n">
        <v>0</v>
      </c>
      <c r="Y147" s="81" t="n">
        <v>1354</v>
      </c>
    </row>
    <row r="148">
      <c r="A148" s="72">
        <f>$D$21</f>
        <v/>
      </c>
      <c r="B148" s="72">
        <f>B147+1</f>
        <v/>
      </c>
      <c r="C148" s="72">
        <f>IF(K148="Vacant","Vac",IF(K148="Model","Model",IF(K148="Admin","Admin",IF(K148="Down","Down",IF(K148="Super","Super","Occ")))))</f>
        <v/>
      </c>
      <c r="D148" s="72">
        <f>INDEX($C$5:$C$8,MATCH(I148,$D$5:$D$8,0))</f>
        <v/>
      </c>
      <c r="E148" s="72">
        <f>INDEX($E$5:$E$8,MATCH(D148,$C$5:$C$8,0))</f>
        <v/>
      </c>
      <c r="F148" s="72">
        <f>INDEX($F$5:$F$8,MATCH(D148,$C$5:$C$8,0))</f>
        <v/>
      </c>
      <c r="G148" s="72">
        <f>INDEX($G$5:$G$8,MATCH(D148,$C$5:$C$8,0))</f>
        <v/>
      </c>
      <c r="H148" s="72" t="inlineStr">
        <is>
          <t>Unit 703</t>
        </is>
      </c>
      <c r="I148" s="72" t="inlineStr">
        <is>
          <t>2 BD / 1.5 BA</t>
        </is>
      </c>
      <c r="J148" s="80" t="n">
        <v>1008</v>
      </c>
      <c r="K148" s="72" t="inlineStr">
        <is>
          <t>Bhavesh Nangia</t>
        </is>
      </c>
      <c r="L148" s="81" t="n">
        <v>1315</v>
      </c>
      <c r="M148" s="81">
        <f>Y148</f>
        <v/>
      </c>
      <c r="O148" s="82" t="n">
        <v>45583</v>
      </c>
      <c r="P148" s="82" t="n">
        <v>46300</v>
      </c>
      <c r="R148" s="81" t="n">
        <v>0</v>
      </c>
      <c r="S148" s="81" t="n">
        <v>0</v>
      </c>
      <c r="T148" s="81" t="n">
        <v>0</v>
      </c>
      <c r="Y148" s="81" t="n">
        <v>1341</v>
      </c>
    </row>
    <row r="149">
      <c r="A149" s="72">
        <f>$D$21</f>
        <v/>
      </c>
      <c r="B149" s="72">
        <f>B148+1</f>
        <v/>
      </c>
      <c r="C149" s="72">
        <f>IF(K149="Vacant","Vac",IF(K149="Model","Model",IF(K149="Admin","Admin",IF(K149="Down","Down",IF(K149="Super","Super","Occ")))))</f>
        <v/>
      </c>
      <c r="D149" s="72">
        <f>INDEX($C$5:$C$8,MATCH(I149,$D$5:$D$8,0))</f>
        <v/>
      </c>
      <c r="E149" s="72">
        <f>INDEX($E$5:$E$8,MATCH(D149,$C$5:$C$8,0))</f>
        <v/>
      </c>
      <c r="F149" s="72">
        <f>INDEX($F$5:$F$8,MATCH(D149,$C$5:$C$8,0))</f>
        <v/>
      </c>
      <c r="G149" s="72">
        <f>INDEX($G$5:$G$8,MATCH(D149,$C$5:$C$8,0))</f>
        <v/>
      </c>
      <c r="H149" s="72" t="inlineStr">
        <is>
          <t>Unit 704</t>
        </is>
      </c>
      <c r="I149" s="72" t="inlineStr">
        <is>
          <t>1 BD / 1 BA</t>
        </is>
      </c>
      <c r="J149" s="80" t="n">
        <v>682</v>
      </c>
      <c r="K149" s="72" t="inlineStr">
        <is>
          <t>Emily J. Rohe</t>
        </is>
      </c>
      <c r="L149" s="81" t="n">
        <v>1025</v>
      </c>
      <c r="M149" s="81">
        <f>Y149</f>
        <v/>
      </c>
      <c r="O149" s="82" t="n">
        <v>45555</v>
      </c>
      <c r="P149" s="82" t="n">
        <v>46650</v>
      </c>
      <c r="R149" s="81" t="n">
        <v>0</v>
      </c>
      <c r="S149" s="81" t="n">
        <v>0</v>
      </c>
      <c r="T149" s="81" t="n">
        <v>0</v>
      </c>
      <c r="Y149" s="81" t="n">
        <v>995</v>
      </c>
    </row>
    <row r="150">
      <c r="A150" s="72">
        <f>$D$21</f>
        <v/>
      </c>
      <c r="B150" s="72">
        <f>B149+1</f>
        <v/>
      </c>
      <c r="C150" s="72">
        <f>IF(K150="Vacant","Vac",IF(K150="Model","Model",IF(K150="Admin","Admin",IF(K150="Down","Down",IF(K150="Super","Super","Occ")))))</f>
        <v/>
      </c>
      <c r="D150" s="72">
        <f>INDEX($C$5:$C$8,MATCH(I150,$D$5:$D$8,0))</f>
        <v/>
      </c>
      <c r="E150" s="72">
        <f>INDEX($E$5:$E$8,MATCH(D150,$C$5:$C$8,0))</f>
        <v/>
      </c>
      <c r="F150" s="72">
        <f>INDEX($F$5:$F$8,MATCH(D150,$C$5:$C$8,0))</f>
        <v/>
      </c>
      <c r="G150" s="72">
        <f>INDEX($G$5:$G$8,MATCH(D150,$C$5:$C$8,0))</f>
        <v/>
      </c>
      <c r="H150" s="72" t="inlineStr">
        <is>
          <t>Unit 705</t>
        </is>
      </c>
      <c r="I150" s="72" t="inlineStr">
        <is>
          <t>3 BD / 2 BA</t>
        </is>
      </c>
      <c r="J150" s="80" t="n">
        <v>1166</v>
      </c>
      <c r="K150" s="72" t="inlineStr">
        <is>
          <t>Ellen M. Kiernan-Guinnip</t>
        </is>
      </c>
      <c r="L150" s="81" t="n">
        <v>1550</v>
      </c>
      <c r="M150" s="81">
        <f>Y150</f>
        <v/>
      </c>
      <c r="O150" s="82" t="n">
        <v>46081</v>
      </c>
      <c r="P150" s="82" t="n">
        <v>46440</v>
      </c>
      <c r="R150" s="81" t="n">
        <v>0</v>
      </c>
      <c r="S150" s="81" t="n">
        <v>0</v>
      </c>
      <c r="T150" s="81" t="n">
        <v>0</v>
      </c>
      <c r="Y150" s="81" t="n">
        <v>1550</v>
      </c>
    </row>
    <row r="151">
      <c r="A151" s="72">
        <f>$D$21</f>
        <v/>
      </c>
      <c r="B151" s="72">
        <f>B150+1</f>
        <v/>
      </c>
      <c r="C151" s="72">
        <f>IF(K151="Vacant","Vac",IF(K151="Model","Model",IF(K151="Admin","Admin",IF(K151="Down","Down",IF(K151="Super","Super","Occ")))))</f>
        <v/>
      </c>
      <c r="D151" s="72">
        <f>INDEX($C$5:$C$8,MATCH(I151,$D$5:$D$8,0))</f>
        <v/>
      </c>
      <c r="E151" s="72">
        <f>INDEX($E$5:$E$8,MATCH(D151,$C$5:$C$8,0))</f>
        <v/>
      </c>
      <c r="F151" s="72">
        <f>INDEX($F$5:$F$8,MATCH(D151,$C$5:$C$8,0))</f>
        <v/>
      </c>
      <c r="G151" s="72">
        <f>INDEX($G$5:$G$8,MATCH(D151,$C$5:$C$8,0))</f>
        <v/>
      </c>
      <c r="H151" s="72" t="inlineStr">
        <is>
          <t>Unit 706</t>
        </is>
      </c>
      <c r="I151" s="72" t="inlineStr">
        <is>
          <t>1 BD / 1 BA</t>
        </is>
      </c>
      <c r="J151" s="80" t="n">
        <v>682</v>
      </c>
      <c r="K151" s="72" t="inlineStr">
        <is>
          <t>Anna E. Rhoton</t>
        </is>
      </c>
      <c r="L151" s="81" t="n">
        <v>1025</v>
      </c>
      <c r="M151" s="81">
        <f>Y151</f>
        <v/>
      </c>
      <c r="O151" s="82" t="n">
        <v>45580</v>
      </c>
      <c r="P151" s="82" t="n">
        <v>46314</v>
      </c>
      <c r="R151" s="81" t="n">
        <v>0</v>
      </c>
      <c r="S151" s="81" t="n">
        <v>0</v>
      </c>
      <c r="T151" s="81" t="n">
        <v>0</v>
      </c>
      <c r="Y151" s="81" t="n">
        <v>995</v>
      </c>
    </row>
    <row r="152">
      <c r="A152" s="72">
        <f>$D$21</f>
        <v/>
      </c>
      <c r="B152" s="72">
        <f>B151+1</f>
        <v/>
      </c>
      <c r="C152" s="72">
        <f>IF(K152="Vacant","Vac",IF(K152="Model","Model",IF(K152="Admin","Admin",IF(K152="Down","Down",IF(K152="Super","Super","Occ")))))</f>
        <v/>
      </c>
      <c r="D152" s="72">
        <f>INDEX($C$5:$C$8,MATCH(I152,$D$5:$D$8,0))</f>
        <v/>
      </c>
      <c r="E152" s="72">
        <f>INDEX($E$5:$E$8,MATCH(D152,$C$5:$C$8,0))</f>
        <v/>
      </c>
      <c r="F152" s="72">
        <f>INDEX($F$5:$F$8,MATCH(D152,$C$5:$C$8,0))</f>
        <v/>
      </c>
      <c r="G152" s="72">
        <f>INDEX($G$5:$G$8,MATCH(D152,$C$5:$C$8,0))</f>
        <v/>
      </c>
      <c r="H152" s="72" t="inlineStr">
        <is>
          <t>Unit 707</t>
        </is>
      </c>
      <c r="I152" s="72" t="inlineStr">
        <is>
          <t>2 BD / 1.5 BA</t>
        </is>
      </c>
      <c r="J152" s="80" t="n">
        <v>1008</v>
      </c>
      <c r="K152" s="72" t="inlineStr">
        <is>
          <t>Roberta Kostyak</t>
        </is>
      </c>
      <c r="L152" s="81" t="n">
        <v>1315</v>
      </c>
      <c r="M152" s="81">
        <f>Y152</f>
        <v/>
      </c>
      <c r="O152" s="82" t="n">
        <v>44866</v>
      </c>
      <c r="P152" s="82" t="n">
        <v>46314</v>
      </c>
      <c r="R152" s="81" t="n">
        <v>0</v>
      </c>
      <c r="S152" s="81" t="n">
        <v>0</v>
      </c>
      <c r="T152" s="81" t="n">
        <v>0</v>
      </c>
      <c r="Y152" s="81" t="n">
        <v>1315</v>
      </c>
    </row>
    <row r="153">
      <c r="A153" s="72">
        <f>$D$21</f>
        <v/>
      </c>
      <c r="B153" s="72">
        <f>B152+1</f>
        <v/>
      </c>
      <c r="C153" s="72">
        <f>IF(K153="Vacant","Vac",IF(K153="Model","Model",IF(K153="Admin","Admin",IF(K153="Down","Down",IF(K153="Super","Super","Occ")))))</f>
        <v/>
      </c>
      <c r="D153" s="72">
        <f>INDEX($C$5:$C$8,MATCH(I153,$D$5:$D$8,0))</f>
        <v/>
      </c>
      <c r="E153" s="72">
        <f>INDEX($E$5:$E$8,MATCH(D153,$C$5:$C$8,0))</f>
        <v/>
      </c>
      <c r="F153" s="72">
        <f>INDEX($F$5:$F$8,MATCH(D153,$C$5:$C$8,0))</f>
        <v/>
      </c>
      <c r="G153" s="72">
        <f>INDEX($G$5:$G$8,MATCH(D153,$C$5:$C$8,0))</f>
        <v/>
      </c>
      <c r="H153" s="72" t="inlineStr">
        <is>
          <t>Unit 708</t>
        </is>
      </c>
      <c r="I153" s="72" t="inlineStr">
        <is>
          <t>2 BD / 1.5 BA</t>
        </is>
      </c>
      <c r="J153" s="80" t="n">
        <v>1008</v>
      </c>
      <c r="K153" s="72" t="inlineStr">
        <is>
          <t>Dorothy   Bannow</t>
        </is>
      </c>
      <c r="L153" s="81" t="n">
        <v>1315</v>
      </c>
      <c r="M153" s="81">
        <f>Y153</f>
        <v/>
      </c>
      <c r="O153" s="82" t="n">
        <v>45017</v>
      </c>
      <c r="P153" s="82" t="n">
        <v>46482</v>
      </c>
      <c r="R153" s="81" t="n">
        <v>0</v>
      </c>
      <c r="S153" s="81" t="n">
        <v>0</v>
      </c>
      <c r="T153" s="81" t="n">
        <v>0</v>
      </c>
      <c r="Y153" s="81" t="n">
        <v>1371</v>
      </c>
    </row>
    <row r="154">
      <c r="A154" s="72">
        <f>$D$21</f>
        <v/>
      </c>
      <c r="B154" s="72">
        <f>B153+1</f>
        <v/>
      </c>
      <c r="C154" s="72">
        <f>IF(K154="Vacant","Vac",IF(K154="Model","Model",IF(K154="Admin","Admin",IF(K154="Down","Down",IF(K154="Super","Super","Occ")))))</f>
        <v/>
      </c>
      <c r="D154" s="72">
        <f>INDEX($C$5:$C$8,MATCH(I154,$D$5:$D$8,0))</f>
        <v/>
      </c>
      <c r="E154" s="72">
        <f>INDEX($E$5:$E$8,MATCH(D154,$C$5:$C$8,0))</f>
        <v/>
      </c>
      <c r="F154" s="72">
        <f>INDEX($F$5:$F$8,MATCH(D154,$C$5:$C$8,0))</f>
        <v/>
      </c>
      <c r="G154" s="72">
        <f>INDEX($G$5:$G$8,MATCH(D154,$C$5:$C$8,0))</f>
        <v/>
      </c>
      <c r="H154" s="72" t="inlineStr">
        <is>
          <t>Unit 709</t>
        </is>
      </c>
      <c r="I154" s="72" t="inlineStr">
        <is>
          <t>1 BD / 1 BA</t>
        </is>
      </c>
      <c r="J154" s="80" t="n">
        <v>682</v>
      </c>
      <c r="K154" s="72" t="inlineStr">
        <is>
          <t>Jean Wolfe</t>
        </is>
      </c>
      <c r="L154" s="81" t="n">
        <v>1025</v>
      </c>
      <c r="M154" s="81">
        <f>Y154</f>
        <v/>
      </c>
      <c r="O154" s="82" t="n">
        <v>45108</v>
      </c>
      <c r="P154" s="82" t="n">
        <v>46545</v>
      </c>
      <c r="R154" s="81" t="n">
        <v>0</v>
      </c>
      <c r="S154" s="81" t="n">
        <v>0</v>
      </c>
      <c r="T154" s="81" t="n">
        <v>0</v>
      </c>
      <c r="Y154" s="81" t="n">
        <v>1100</v>
      </c>
    </row>
    <row r="155">
      <c r="A155" s="72">
        <f>$D$21</f>
        <v/>
      </c>
      <c r="B155" s="72">
        <f>B154+1</f>
        <v/>
      </c>
      <c r="C155" s="72">
        <f>IF(K155="Vacant","Vac",IF(K155="Model","Model",IF(K155="Admin","Admin",IF(K155="Down","Down",IF(K155="Super","Super","Occ")))))</f>
        <v/>
      </c>
      <c r="D155" s="72">
        <f>INDEX($C$5:$C$8,MATCH(I155,$D$5:$D$8,0))</f>
        <v/>
      </c>
      <c r="E155" s="72">
        <f>INDEX($E$5:$E$8,MATCH(D155,$C$5:$C$8,0))</f>
        <v/>
      </c>
      <c r="F155" s="72">
        <f>INDEX($F$5:$F$8,MATCH(D155,$C$5:$C$8,0))</f>
        <v/>
      </c>
      <c r="G155" s="72">
        <f>INDEX($G$5:$G$8,MATCH(D155,$C$5:$C$8,0))</f>
        <v/>
      </c>
      <c r="H155" s="72" t="inlineStr">
        <is>
          <t>Unit 710</t>
        </is>
      </c>
      <c r="I155" s="72" t="inlineStr">
        <is>
          <t>1 BD / 1 BA</t>
        </is>
      </c>
      <c r="J155" s="80" t="n">
        <v>682</v>
      </c>
      <c r="K155" s="72" t="inlineStr">
        <is>
          <t>Eileen Hawthorne</t>
        </is>
      </c>
      <c r="L155" s="81" t="n">
        <v>1025</v>
      </c>
      <c r="M155" s="81">
        <f>Y155</f>
        <v/>
      </c>
      <c r="O155" s="82" t="n">
        <v>44866</v>
      </c>
      <c r="P155" s="82" t="n">
        <v>46314</v>
      </c>
      <c r="R155" s="81" t="n">
        <v>0</v>
      </c>
      <c r="S155" s="81" t="n">
        <v>0</v>
      </c>
      <c r="T155" s="81" t="n">
        <v>0</v>
      </c>
      <c r="Y155" s="81" t="n">
        <v>995</v>
      </c>
    </row>
    <row r="156">
      <c r="A156" s="72">
        <f>$D$21</f>
        <v/>
      </c>
      <c r="B156" s="72">
        <f>B155+1</f>
        <v/>
      </c>
      <c r="C156" s="72">
        <f>IF(K156="Vacant","Vac",IF(K156="Model","Model",IF(K156="Admin","Admin",IF(K156="Down","Down",IF(K156="Super","Super","Occ")))))</f>
        <v/>
      </c>
      <c r="D156" s="72">
        <f>INDEX($C$5:$C$8,MATCH(I156,$D$5:$D$8,0))</f>
        <v/>
      </c>
      <c r="E156" s="72">
        <f>INDEX($E$5:$E$8,MATCH(D156,$C$5:$C$8,0))</f>
        <v/>
      </c>
      <c r="F156" s="72">
        <f>INDEX($F$5:$F$8,MATCH(D156,$C$5:$C$8,0))</f>
        <v/>
      </c>
      <c r="G156" s="72">
        <f>INDEX($G$5:$G$8,MATCH(D156,$C$5:$C$8,0))</f>
        <v/>
      </c>
      <c r="H156" s="72" t="inlineStr">
        <is>
          <t>Unit 711</t>
        </is>
      </c>
      <c r="I156" s="72" t="inlineStr">
        <is>
          <t>2 BD / 2 BA</t>
        </is>
      </c>
      <c r="J156" s="80" t="n">
        <v>924</v>
      </c>
      <c r="K156" s="72" t="inlineStr">
        <is>
          <t>Isaac Reynolds</t>
        </is>
      </c>
      <c r="L156" s="81" t="n">
        <v>1365</v>
      </c>
      <c r="M156" s="81">
        <f>Y156</f>
        <v/>
      </c>
      <c r="O156" s="82" t="n">
        <v>44896</v>
      </c>
      <c r="P156" s="82" t="n">
        <v>46587</v>
      </c>
      <c r="R156" s="81" t="n">
        <v>0</v>
      </c>
      <c r="S156" s="81" t="n">
        <v>0</v>
      </c>
      <c r="T156" s="81" t="n">
        <v>0</v>
      </c>
      <c r="Y156" s="81" t="n">
        <v>1381</v>
      </c>
    </row>
    <row r="157">
      <c r="A157" s="72">
        <f>$D$21</f>
        <v/>
      </c>
      <c r="B157" s="72">
        <f>B156+1</f>
        <v/>
      </c>
      <c r="C157" s="72">
        <f>IF(K157="Vacant","Vac",IF(K157="Model","Model",IF(K157="Admin","Admin",IF(K157="Down","Down",IF(K157="Super","Super","Occ")))))</f>
        <v/>
      </c>
      <c r="D157" s="72">
        <f>INDEX($C$5:$C$8,MATCH(I157,$D$5:$D$8,0))</f>
        <v/>
      </c>
      <c r="E157" s="72">
        <f>INDEX($E$5:$E$8,MATCH(D157,$C$5:$C$8,0))</f>
        <v/>
      </c>
      <c r="F157" s="72">
        <f>INDEX($F$5:$F$8,MATCH(D157,$C$5:$C$8,0))</f>
        <v/>
      </c>
      <c r="G157" s="72">
        <f>INDEX($G$5:$G$8,MATCH(D157,$C$5:$C$8,0))</f>
        <v/>
      </c>
      <c r="H157" s="72" t="inlineStr">
        <is>
          <t>Unit 712</t>
        </is>
      </c>
      <c r="I157" s="72" t="inlineStr">
        <is>
          <t>2 BD / 1.5 BA</t>
        </is>
      </c>
      <c r="J157" s="80" t="n">
        <v>1008</v>
      </c>
      <c r="K157" s="72" t="inlineStr">
        <is>
          <t>Frederick  Barton</t>
        </is>
      </c>
      <c r="L157" s="81" t="n">
        <v>1500</v>
      </c>
      <c r="M157" s="81">
        <f>Y157</f>
        <v/>
      </c>
      <c r="O157" s="82" t="n">
        <v>45017</v>
      </c>
      <c r="P157" s="82" t="n">
        <v>46482</v>
      </c>
      <c r="R157" s="81" t="n">
        <v>0</v>
      </c>
      <c r="S157" s="81" t="n">
        <v>0</v>
      </c>
      <c r="T157" s="81" t="n">
        <v>0</v>
      </c>
      <c r="Y157" s="81" t="n">
        <v>1368</v>
      </c>
    </row>
    <row r="158">
      <c r="A158" s="72">
        <f>$D$21</f>
        <v/>
      </c>
      <c r="B158" s="72">
        <f>B157+1</f>
        <v/>
      </c>
      <c r="C158" s="72">
        <f>IF(K158="Vacant","Vac",IF(K158="Model","Model",IF(K158="Admin","Admin",IF(K158="Down","Down",IF(K158="Super","Super","Occ")))))</f>
        <v/>
      </c>
      <c r="D158" s="72">
        <f>INDEX($C$5:$C$8,MATCH(I158,$D$5:$D$8,0))</f>
        <v/>
      </c>
      <c r="E158" s="72">
        <f>INDEX($E$5:$E$8,MATCH(D158,$C$5:$C$8,0))</f>
        <v/>
      </c>
      <c r="F158" s="72">
        <f>INDEX($F$5:$F$8,MATCH(D158,$C$5:$C$8,0))</f>
        <v/>
      </c>
      <c r="G158" s="72">
        <f>INDEX($G$5:$G$8,MATCH(D158,$C$5:$C$8,0))</f>
        <v/>
      </c>
      <c r="H158" s="72" t="inlineStr">
        <is>
          <t>Unit 714</t>
        </is>
      </c>
      <c r="I158" s="72" t="inlineStr">
        <is>
          <t>1 BD / 1 BA</t>
        </is>
      </c>
      <c r="J158" s="80" t="n">
        <v>682</v>
      </c>
      <c r="K158" s="72" t="inlineStr">
        <is>
          <t>Geri O'Connor</t>
        </is>
      </c>
      <c r="L158" s="81" t="n">
        <v>1025</v>
      </c>
      <c r="M158" s="81">
        <f>Y158</f>
        <v/>
      </c>
      <c r="O158" s="82" t="n">
        <v>45536</v>
      </c>
      <c r="P158" s="82" t="n">
        <v>46251</v>
      </c>
      <c r="R158" s="81" t="n">
        <v>0</v>
      </c>
      <c r="S158" s="81" t="n">
        <v>0</v>
      </c>
      <c r="T158" s="81" t="n">
        <v>0</v>
      </c>
      <c r="Y158" s="81" t="n">
        <v>1097</v>
      </c>
    </row>
    <row r="159">
      <c r="A159" s="72">
        <f>$D$21</f>
        <v/>
      </c>
      <c r="B159" s="72">
        <f>B158+1</f>
        <v/>
      </c>
      <c r="C159" s="72">
        <f>IF(K159="Vacant","Vac",IF(K159="Model","Model",IF(K159="Admin","Admin",IF(K159="Down","Down",IF(K159="Super","Super","Occ")))))</f>
        <v/>
      </c>
      <c r="D159" s="72">
        <f>INDEX($C$5:$C$8,MATCH(I159,$D$5:$D$8,0))</f>
        <v/>
      </c>
      <c r="E159" s="72">
        <f>INDEX($E$5:$E$8,MATCH(D159,$C$5:$C$8,0))</f>
        <v/>
      </c>
      <c r="F159" s="72">
        <f>INDEX($F$5:$F$8,MATCH(D159,$C$5:$C$8,0))</f>
        <v/>
      </c>
      <c r="G159" s="72">
        <f>INDEX($G$5:$G$8,MATCH(D159,$C$5:$C$8,0))</f>
        <v/>
      </c>
      <c r="H159" s="72" t="inlineStr">
        <is>
          <t>Unit 715</t>
        </is>
      </c>
      <c r="I159" s="72" t="inlineStr">
        <is>
          <t>2 BD / 1.5 BA</t>
        </is>
      </c>
      <c r="J159" s="80" t="n">
        <v>1008</v>
      </c>
      <c r="K159" s="72" t="inlineStr">
        <is>
          <t>Maria    Vitsas</t>
        </is>
      </c>
      <c r="L159" s="81" t="n">
        <v>1500</v>
      </c>
      <c r="M159" s="81">
        <f>Y159</f>
        <v/>
      </c>
      <c r="O159" s="82" t="n">
        <v>44986</v>
      </c>
      <c r="P159" s="82" t="n">
        <v>46482</v>
      </c>
      <c r="R159" s="81" t="n">
        <v>0</v>
      </c>
      <c r="S159" s="81" t="n">
        <v>0</v>
      </c>
      <c r="T159" s="81" t="n">
        <v>0</v>
      </c>
      <c r="Y159" s="81" t="n">
        <v>1414</v>
      </c>
    </row>
    <row r="160">
      <c r="A160" s="72">
        <f>$D$21</f>
        <v/>
      </c>
      <c r="B160" s="72">
        <f>B159+1</f>
        <v/>
      </c>
      <c r="C160" s="72">
        <f>IF(K160="Vacant","Vac",IF(K160="Model","Model",IF(K160="Admin","Admin",IF(K160="Down","Down",IF(K160="Super","Super","Occ")))))</f>
        <v/>
      </c>
      <c r="D160" s="72">
        <f>INDEX($C$5:$C$8,MATCH(I160,$D$5:$D$8,0))</f>
        <v/>
      </c>
      <c r="E160" s="72">
        <f>INDEX($E$5:$E$8,MATCH(D160,$C$5:$C$8,0))</f>
        <v/>
      </c>
      <c r="F160" s="72">
        <f>INDEX($F$5:$F$8,MATCH(D160,$C$5:$C$8,0))</f>
        <v/>
      </c>
      <c r="G160" s="72">
        <f>INDEX($G$5:$G$8,MATCH(D160,$C$5:$C$8,0))</f>
        <v/>
      </c>
      <c r="H160" s="72" t="inlineStr">
        <is>
          <t>Unit 716</t>
        </is>
      </c>
      <c r="I160" s="72" t="inlineStr">
        <is>
          <t>2 BD / 1.5 BA</t>
        </is>
      </c>
      <c r="J160" s="80" t="n">
        <v>1008</v>
      </c>
      <c r="K160" s="72" t="inlineStr">
        <is>
          <t>Xiongyue Ning</t>
        </is>
      </c>
      <c r="L160" s="81" t="n">
        <v>1500</v>
      </c>
      <c r="M160" s="81">
        <f>Y160</f>
        <v/>
      </c>
      <c r="O160" s="82" t="n">
        <v>45413</v>
      </c>
      <c r="P160" s="82" t="n">
        <v>46559</v>
      </c>
      <c r="R160" s="81" t="n">
        <v>0</v>
      </c>
      <c r="S160" s="81" t="n">
        <v>0</v>
      </c>
      <c r="T160" s="81" t="n">
        <v>0</v>
      </c>
      <c r="Y160" s="81" t="n">
        <v>1401</v>
      </c>
    </row>
    <row r="161">
      <c r="A161" s="72">
        <f>$D$21</f>
        <v/>
      </c>
      <c r="B161" s="72">
        <f>B160+1</f>
        <v/>
      </c>
      <c r="C161" s="72">
        <f>IF(K161="Vacant","Vac",IF(K161="Model","Model",IF(K161="Admin","Admin",IF(K161="Down","Down",IF(K161="Super","Super","Occ")))))</f>
        <v/>
      </c>
      <c r="D161" s="72">
        <f>INDEX($C$5:$C$8,MATCH(I161,$D$5:$D$8,0))</f>
        <v/>
      </c>
      <c r="E161" s="72">
        <f>INDEX($E$5:$E$8,MATCH(D161,$C$5:$C$8,0))</f>
        <v/>
      </c>
      <c r="F161" s="72">
        <f>INDEX($F$5:$F$8,MATCH(D161,$C$5:$C$8,0))</f>
        <v/>
      </c>
      <c r="G161" s="72">
        <f>INDEX($G$5:$G$8,MATCH(D161,$C$5:$C$8,0))</f>
        <v/>
      </c>
      <c r="H161" s="72" t="inlineStr">
        <is>
          <t>Unit 717</t>
        </is>
      </c>
      <c r="I161" s="72" t="inlineStr">
        <is>
          <t>1 BD / 1 BA</t>
        </is>
      </c>
      <c r="J161" s="80" t="n">
        <v>682</v>
      </c>
      <c r="K161" s="72" t="inlineStr">
        <is>
          <t>Koblan Amangeldiyev</t>
        </is>
      </c>
      <c r="L161" s="81" t="n">
        <v>1025</v>
      </c>
      <c r="M161" s="81">
        <f>Y161</f>
        <v/>
      </c>
      <c r="O161" s="82" t="n">
        <v>46014</v>
      </c>
      <c r="P161" s="82" t="n">
        <v>46629</v>
      </c>
      <c r="R161" s="81" t="n">
        <v>0</v>
      </c>
      <c r="S161" s="81" t="n">
        <v>0</v>
      </c>
      <c r="T161" s="81" t="n">
        <v>0</v>
      </c>
      <c r="Y161" s="81" t="n">
        <v>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2026-07-31T13:48:25Z</dcterms:created>
  <dcterms:modified xsi:type="dcterms:W3CDTF">2026-07-31T13:48:25Z</dcterms:modified>
</cp:coreProperties>
</file>