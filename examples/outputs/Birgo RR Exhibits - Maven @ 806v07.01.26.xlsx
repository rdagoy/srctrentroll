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Mix &amp; RR Summary" sheetId="1" state="visible" r:id="rId1"/>
    <sheet xmlns:r="http://schemas.openxmlformats.org/officeDocument/2006/relationships" name="Recent Leases" sheetId="2" state="visible" r:id="rId2"/>
    <sheet xmlns:r="http://schemas.openxmlformats.org/officeDocument/2006/relationships" name="Unit Mix based on # of Beds" sheetId="3" state="visible" r:id="rId3"/>
    <sheet xmlns:r="http://schemas.openxmlformats.org/officeDocument/2006/relationships" name="Pres. Rent Roll" sheetId="4" state="visible" r:id="rId4"/>
    <sheet xmlns:r="http://schemas.openxmlformats.org/officeDocument/2006/relationships"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1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Maven @ 806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Maven @ 806</t>
        </is>
      </c>
      <c r="E6" s="7" t="inlineStr">
        <is>
          <t>1 BD / 1 BA</t>
        </is>
      </c>
      <c r="F6" s="8" t="n">
        <v>25</v>
      </c>
      <c r="G6" s="9" t="n">
        <v>26</v>
      </c>
      <c r="H6" s="10" t="n">
        <v>16746</v>
      </c>
      <c r="I6" s="10" t="n">
        <v>644.0769230769231</v>
      </c>
      <c r="J6" s="11" t="n">
        <v>30185</v>
      </c>
      <c r="K6" s="11" t="n">
        <v>1160.961538461539</v>
      </c>
      <c r="L6" s="12" t="n">
        <v>1.80252000477726</v>
      </c>
      <c r="M6" s="11" t="n">
        <v>29100.3</v>
      </c>
      <c r="N6" s="11" t="n">
        <v>1164.012</v>
      </c>
      <c r="O6" s="12" t="n">
        <v>1.815818045675777</v>
      </c>
      <c r="P6" s="11" t="n">
        <v>1325</v>
      </c>
      <c r="Q6" s="11" t="n">
        <v>4068</v>
      </c>
      <c r="S6" s="10" t="n">
        <v>16026</v>
      </c>
    </row>
    <row r="7">
      <c r="D7" s="7" t="inlineStr">
        <is>
          <t>Maven @ 806</t>
        </is>
      </c>
      <c r="E7" s="7" t="inlineStr">
        <is>
          <t>2 BD / 1 BA</t>
        </is>
      </c>
      <c r="F7" s="8" t="n">
        <v>16</v>
      </c>
      <c r="G7" s="9" t="n">
        <v>20</v>
      </c>
      <c r="H7" s="10" t="n">
        <v>16436</v>
      </c>
      <c r="I7" s="10" t="n">
        <v>821.8</v>
      </c>
      <c r="J7" s="11" t="n">
        <v>27229</v>
      </c>
      <c r="K7" s="11" t="n">
        <v>1361.45</v>
      </c>
      <c r="L7" s="12" t="n">
        <v>1.656668289121441</v>
      </c>
      <c r="M7" s="11" t="n">
        <v>20761</v>
      </c>
      <c r="N7" s="11" t="n">
        <v>1297.5625</v>
      </c>
      <c r="O7" s="12" t="n">
        <v>1.536599807564207</v>
      </c>
      <c r="P7" s="11" t="n">
        <v>1394</v>
      </c>
      <c r="Q7" s="11" t="n">
        <v>2159</v>
      </c>
      <c r="S7" s="10" t="n">
        <v>13511</v>
      </c>
    </row>
    <row r="8">
      <c r="D8" s="7" t="inlineStr">
        <is>
          <t>Maven @ 806</t>
        </is>
      </c>
      <c r="E8" s="7" t="inlineStr">
        <is>
          <t>2 BD / 2 BA</t>
        </is>
      </c>
      <c r="F8" s="8" t="n">
        <v>1</v>
      </c>
      <c r="G8" s="9" t="n">
        <v>5</v>
      </c>
      <c r="H8" s="10" t="n">
        <v>5194</v>
      </c>
      <c r="I8" s="10" t="n">
        <v>1038.8</v>
      </c>
      <c r="J8" s="11" t="n">
        <v>8795</v>
      </c>
      <c r="K8" s="11" t="n">
        <v>1759</v>
      </c>
      <c r="L8" s="12" t="n">
        <v>1.693299961494032</v>
      </c>
      <c r="M8" s="11" t="n">
        <v>1799</v>
      </c>
      <c r="N8" s="11" t="n">
        <v>1799</v>
      </c>
      <c r="O8" s="12" t="n">
        <v>2.131516587677725</v>
      </c>
      <c r="P8" s="11" t="n">
        <v>1799</v>
      </c>
      <c r="Q8" s="11" t="n">
        <v>134</v>
      </c>
      <c r="S8" s="10" t="n">
        <v>844</v>
      </c>
    </row>
    <row r="9">
      <c r="C9" s="13" t="inlineStr">
        <is>
          <t>Total/Wtd Average</t>
        </is>
      </c>
      <c r="D9" s="13" t="n"/>
      <c r="E9" s="13" t="n"/>
      <c r="F9" s="14" t="n">
        <v>42</v>
      </c>
      <c r="G9" s="15" t="n">
        <v>51</v>
      </c>
      <c r="H9" s="16" t="n">
        <v>38376</v>
      </c>
      <c r="I9" s="16" t="n">
        <v>752.4705882352941</v>
      </c>
      <c r="J9" s="17" t="n">
        <v>66209</v>
      </c>
      <c r="K9" s="17" t="n">
        <v>1298.21568627451</v>
      </c>
      <c r="L9" s="18" t="n">
        <v>1.725271002710027</v>
      </c>
      <c r="M9" s="17" t="n">
        <v>51660.3</v>
      </c>
      <c r="N9" s="17" t="n">
        <v>1230.007142857143</v>
      </c>
      <c r="O9" s="18" t="n">
        <v>1.700414732892268</v>
      </c>
      <c r="P9" s="17" t="n">
        <v>1398.529411764706</v>
      </c>
      <c r="Q9" s="17" t="n">
        <v>6361</v>
      </c>
      <c r="S9" s="16" t="n">
        <v>30381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51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42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0.8235294117647058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38376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30381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0.7916666666666666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794508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619923.6000000001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76332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51</v>
      </c>
    </row>
    <row r="43">
      <c r="U43" s="26" t="inlineStr">
        <is>
          <t>Occ Units</t>
        </is>
      </c>
      <c r="W43" s="27" t="n">
        <v>42</v>
      </c>
    </row>
    <row r="44">
      <c r="U44" s="26" t="inlineStr">
        <is>
          <t>Unit %Occ</t>
        </is>
      </c>
      <c r="W44" s="28" t="n">
        <v>0.8235294117647058</v>
      </c>
    </row>
    <row r="45">
      <c r="U45" s="26" t="inlineStr">
        <is>
          <t>Net Sq Ft</t>
        </is>
      </c>
      <c r="W45" s="27" t="n">
        <v>38376</v>
      </c>
    </row>
    <row r="46">
      <c r="U46" s="26" t="inlineStr">
        <is>
          <t>SF Occ</t>
        </is>
      </c>
      <c r="W46" s="27" t="n">
        <v>30381</v>
      </c>
    </row>
    <row r="47">
      <c r="U47" s="26" t="inlineStr">
        <is>
          <t>% SF Occ</t>
        </is>
      </c>
      <c r="W47" s="28" t="n">
        <v>0.7916666666666666</v>
      </c>
    </row>
    <row r="48">
      <c r="U48" s="26" t="inlineStr">
        <is>
          <t>Mkt Rent</t>
        </is>
      </c>
      <c r="W48" s="27" t="n">
        <v>66209</v>
      </c>
    </row>
    <row r="49">
      <c r="U49" s="26" t="inlineStr">
        <is>
          <t>Cont Rent</t>
        </is>
      </c>
      <c r="W49" s="27" t="n">
        <v>51660.3</v>
      </c>
    </row>
    <row r="50">
      <c r="U50" s="26" t="inlineStr">
        <is>
          <t>Conc</t>
        </is>
      </c>
      <c r="W50" s="27" t="n">
        <v>-374.7</v>
      </c>
    </row>
    <row r="51">
      <c r="U51" s="26" t="inlineStr">
        <is>
          <t>Other Inc</t>
        </is>
      </c>
      <c r="W51" s="27" t="n">
        <v>6361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Maven @ 806</t>
        </is>
      </c>
      <c r="Y3" s="30" t="n">
        <v>46157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Maven @ 806</t>
        </is>
      </c>
      <c r="E7" s="36" t="inlineStr">
        <is>
          <t>1 BD / 1 BA</t>
        </is>
      </c>
      <c r="F7" s="37" t="n">
        <v>25</v>
      </c>
      <c r="G7" s="9" t="n">
        <v>26</v>
      </c>
      <c r="H7" s="10" t="n">
        <v>16746</v>
      </c>
      <c r="I7" s="10" t="n">
        <v>644.0769230769231</v>
      </c>
      <c r="J7" s="11" t="n">
        <v>1160.961538461539</v>
      </c>
      <c r="K7" s="38" t="n">
        <v>1167.8</v>
      </c>
      <c r="L7" s="11" t="n">
        <v>1164.012</v>
      </c>
      <c r="M7" s="39" t="n">
        <v>0.9967562938859393</v>
      </c>
      <c r="N7" s="38" t="n">
        <v>1133.53</v>
      </c>
      <c r="O7" s="40" t="n">
        <v>10</v>
      </c>
      <c r="P7" s="11" t="n">
        <v>1121.144444444444</v>
      </c>
      <c r="Q7" s="40" t="n">
        <v>9</v>
      </c>
      <c r="R7" s="11" t="n">
        <v>1140.328571428571</v>
      </c>
      <c r="S7" s="40" t="n">
        <v>7</v>
      </c>
      <c r="T7" s="11" t="n">
        <v>1142.883333333333</v>
      </c>
      <c r="U7" s="40" t="n">
        <v>6</v>
      </c>
      <c r="V7" s="11" t="n">
        <v>1234.5</v>
      </c>
      <c r="W7" s="40" t="n">
        <v>2</v>
      </c>
    </row>
    <row r="8">
      <c r="D8" s="36" t="inlineStr">
        <is>
          <t>Maven @ 806</t>
        </is>
      </c>
      <c r="E8" s="36" t="inlineStr">
        <is>
          <t>2 BD / 1 BA</t>
        </is>
      </c>
      <c r="F8" s="37" t="n">
        <v>16</v>
      </c>
      <c r="G8" s="9" t="n">
        <v>20</v>
      </c>
      <c r="H8" s="10" t="n">
        <v>16436</v>
      </c>
      <c r="I8" s="10" t="n">
        <v>821.8</v>
      </c>
      <c r="J8" s="11" t="n">
        <v>1361.45</v>
      </c>
      <c r="K8" s="38" t="n">
        <v>1363.0625</v>
      </c>
      <c r="L8" s="11" t="n">
        <v>1297.5625</v>
      </c>
      <c r="M8" s="39" t="n">
        <v>0.9519464441285708</v>
      </c>
      <c r="N8" s="38" t="n">
        <v>1302.666666666667</v>
      </c>
      <c r="O8" s="40" t="n">
        <v>6</v>
      </c>
      <c r="P8" s="11" t="n">
        <v>1286.4</v>
      </c>
      <c r="Q8" s="40" t="n">
        <v>5</v>
      </c>
      <c r="R8" s="11" t="n">
        <v>1294.25</v>
      </c>
      <c r="S8" s="40" t="n">
        <v>4</v>
      </c>
      <c r="T8" s="11" t="n">
        <v>1374.5</v>
      </c>
      <c r="U8" s="40" t="n">
        <v>2</v>
      </c>
      <c r="V8" s="11" t="n">
        <v>1355</v>
      </c>
      <c r="W8" s="40" t="n">
        <v>1</v>
      </c>
    </row>
    <row r="9">
      <c r="D9" s="36" t="inlineStr">
        <is>
          <t>Maven @ 806</t>
        </is>
      </c>
      <c r="E9" s="36" t="inlineStr">
        <is>
          <t>2 BD / 2 BA</t>
        </is>
      </c>
      <c r="F9" s="37" t="n">
        <v>1</v>
      </c>
      <c r="G9" s="9" t="n">
        <v>5</v>
      </c>
      <c r="H9" s="10" t="n">
        <v>5194</v>
      </c>
      <c r="I9" s="10" t="n">
        <v>1038.8</v>
      </c>
      <c r="J9" s="11" t="n">
        <v>1759</v>
      </c>
      <c r="K9" s="38" t="n">
        <v>1599</v>
      </c>
      <c r="L9" s="11" t="n">
        <v>1799</v>
      </c>
      <c r="M9" s="39" t="n">
        <v>1.125078173858662</v>
      </c>
      <c r="N9" s="38" t="n">
        <v>1799</v>
      </c>
      <c r="O9" s="40" t="n">
        <v>1</v>
      </c>
      <c r="P9" s="11" t="inlineStr">
        <is>
          <t>n/a</t>
        </is>
      </c>
      <c r="Q9" s="40" t="n">
        <v>0</v>
      </c>
      <c r="R9" s="11" t="inlineStr">
        <is>
          <t>n/a</t>
        </is>
      </c>
      <c r="S9" s="40" t="n">
        <v>0</v>
      </c>
      <c r="T9" s="11" t="inlineStr">
        <is>
          <t>n/a</t>
        </is>
      </c>
      <c r="U9" s="40" t="n">
        <v>0</v>
      </c>
      <c r="V9" s="11" t="inlineStr">
        <is>
          <t>n/a</t>
        </is>
      </c>
      <c r="W9" s="40" t="n">
        <v>0</v>
      </c>
    </row>
    <row r="10">
      <c r="C10" s="13" t="inlineStr">
        <is>
          <t>Total/Wtd Average</t>
        </is>
      </c>
      <c r="D10" s="41" t="n"/>
      <c r="E10" s="41" t="n"/>
      <c r="F10" s="15" t="n">
        <v>42</v>
      </c>
      <c r="G10" s="15" t="n">
        <v>51</v>
      </c>
      <c r="H10" s="16" t="n">
        <v>38376</v>
      </c>
      <c r="I10" s="16" t="n">
        <v>752.4705882352941</v>
      </c>
      <c r="J10" s="17" t="n">
        <v>1298.21568627451</v>
      </c>
      <c r="K10" s="42" t="n">
        <v>1252.452380952381</v>
      </c>
      <c r="L10" s="17" t="n">
        <v>1230.007142857143</v>
      </c>
      <c r="M10" s="43" t="n">
        <v>0.9820789688801019</v>
      </c>
      <c r="N10" s="42" t="inlineStr">
        <is>
          <t>n/a</t>
        </is>
      </c>
      <c r="O10" s="44" t="n">
        <v>17</v>
      </c>
      <c r="P10" s="17" t="inlineStr">
        <is>
          <t>n/a</t>
        </is>
      </c>
      <c r="Q10" s="44" t="n">
        <v>14</v>
      </c>
      <c r="R10" s="17" t="inlineStr">
        <is>
          <t>n/a</t>
        </is>
      </c>
      <c r="S10" s="44" t="n">
        <v>11</v>
      </c>
      <c r="T10" s="17" t="inlineStr">
        <is>
          <t>n/a</t>
        </is>
      </c>
      <c r="U10" s="44" t="n">
        <v>8</v>
      </c>
      <c r="V10" s="17" t="inlineStr">
        <is>
          <t>n/a</t>
        </is>
      </c>
      <c r="W10" s="45" t="n">
        <v>3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51</v>
      </c>
    </row>
    <row r="60">
      <c r="Z60" s="26" t="inlineStr">
        <is>
          <t>Occ Units</t>
        </is>
      </c>
      <c r="AB60" s="27" t="n">
        <v>42</v>
      </c>
    </row>
    <row r="61">
      <c r="Z61" s="26" t="inlineStr">
        <is>
          <t>Unit %Occ</t>
        </is>
      </c>
      <c r="AB61" s="28" t="n">
        <v>0.8235294117647058</v>
      </c>
    </row>
    <row r="62">
      <c r="Z62" s="26" t="inlineStr">
        <is>
          <t>Net Sq Ft</t>
        </is>
      </c>
      <c r="AB62" s="27" t="n">
        <v>38376</v>
      </c>
    </row>
    <row r="63">
      <c r="Z63" s="26" t="inlineStr">
        <is>
          <t>SF Occ</t>
        </is>
      </c>
      <c r="AB63" s="27" t="n">
        <v>30381</v>
      </c>
    </row>
    <row r="64">
      <c r="Z64" s="26" t="inlineStr">
        <is>
          <t>% SF Occ</t>
        </is>
      </c>
      <c r="AB64" s="28" t="n">
        <v>0.7916666666666666</v>
      </c>
    </row>
    <row r="65">
      <c r="Z65" s="26" t="inlineStr">
        <is>
          <t>Mkt Rent</t>
        </is>
      </c>
      <c r="AB65" s="27" t="n">
        <v>66209</v>
      </c>
    </row>
    <row r="66">
      <c r="Z66" s="26" t="inlineStr">
        <is>
          <t>Cont Rent</t>
        </is>
      </c>
      <c r="AB66" s="27" t="n">
        <v>51660.3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19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Maven @ 806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Maven @ 806</t>
        </is>
      </c>
      <c r="E6" s="46" t="n">
        <v>1</v>
      </c>
      <c r="F6" s="8" t="n">
        <v>25</v>
      </c>
      <c r="G6" s="9" t="n">
        <v>26</v>
      </c>
      <c r="H6" s="10" t="n">
        <v>16746</v>
      </c>
      <c r="I6" s="10" t="n">
        <v>644.0769230769231</v>
      </c>
      <c r="J6" s="11" t="n">
        <v>30185</v>
      </c>
      <c r="K6" s="11" t="n">
        <v>1160.961538461539</v>
      </c>
      <c r="L6" s="12" t="n">
        <v>1.80252000477726</v>
      </c>
      <c r="M6" s="11" t="n">
        <v>29100.3</v>
      </c>
      <c r="N6" s="11" t="n">
        <v>1164.012</v>
      </c>
      <c r="O6" s="12" t="n">
        <v>1.815818045675777</v>
      </c>
      <c r="P6" s="11" t="n">
        <v>1325</v>
      </c>
      <c r="Q6" s="11" t="n">
        <v>4068</v>
      </c>
      <c r="S6" s="10" t="n">
        <v>16026</v>
      </c>
    </row>
    <row r="7">
      <c r="D7" s="7" t="inlineStr">
        <is>
          <t>Maven @ 806</t>
        </is>
      </c>
      <c r="E7" s="46" t="n">
        <v>2</v>
      </c>
      <c r="F7" s="8" t="n">
        <v>17</v>
      </c>
      <c r="G7" s="9" t="n">
        <v>25</v>
      </c>
      <c r="H7" s="10" t="n">
        <v>21630</v>
      </c>
      <c r="I7" s="10" t="n">
        <v>865.2</v>
      </c>
      <c r="J7" s="11" t="n">
        <v>36024</v>
      </c>
      <c r="K7" s="11" t="n">
        <v>1440.96</v>
      </c>
      <c r="L7" s="12" t="n">
        <v>1.665464632454924</v>
      </c>
      <c r="M7" s="11" t="n">
        <v>22560</v>
      </c>
      <c r="N7" s="11" t="n">
        <v>1327.058823529412</v>
      </c>
      <c r="O7" s="12" t="n">
        <v>1.571577847439916</v>
      </c>
      <c r="P7" s="11" t="n">
        <v>1799</v>
      </c>
      <c r="Q7" s="11" t="n">
        <v>2293</v>
      </c>
      <c r="S7" s="10" t="n">
        <v>14355</v>
      </c>
    </row>
    <row r="8">
      <c r="C8" s="13" t="inlineStr">
        <is>
          <t>Total/Wtd Average</t>
        </is>
      </c>
      <c r="D8" s="13" t="n"/>
      <c r="E8" s="13" t="n"/>
      <c r="F8" s="14" t="n">
        <v>42</v>
      </c>
      <c r="G8" s="15" t="n">
        <v>51</v>
      </c>
      <c r="H8" s="16" t="n">
        <v>38376</v>
      </c>
      <c r="I8" s="16" t="n">
        <v>752.4705882352941</v>
      </c>
      <c r="J8" s="17" t="n">
        <v>66209</v>
      </c>
      <c r="K8" s="17" t="n">
        <v>1298.21568627451</v>
      </c>
      <c r="L8" s="18" t="n">
        <v>1.725271002710027</v>
      </c>
      <c r="M8" s="17" t="n">
        <v>51660.3</v>
      </c>
      <c r="N8" s="17" t="n">
        <v>1230.007142857143</v>
      </c>
      <c r="O8" s="18" t="n">
        <v>1.700414732892268</v>
      </c>
      <c r="P8" s="17" t="inlineStr">
        <is>
          <t>N/A</t>
        </is>
      </c>
      <c r="Q8" s="17" t="n">
        <v>6361</v>
      </c>
      <c r="S8" s="16" t="n">
        <v>30381</v>
      </c>
    </row>
    <row r="10">
      <c r="C10" s="19" t="inlineStr">
        <is>
          <t>Total Units</t>
        </is>
      </c>
      <c r="D10" s="20" t="n"/>
      <c r="E10" s="20" t="n"/>
      <c r="F10" s="20" t="n"/>
      <c r="G10" s="21" t="n">
        <v>51</v>
      </c>
    </row>
    <row r="11">
      <c r="C11" s="19" t="inlineStr">
        <is>
          <t>Occupied Units</t>
        </is>
      </c>
      <c r="D11" s="20" t="n"/>
      <c r="E11" s="20" t="n"/>
      <c r="F11" s="20" t="n"/>
      <c r="G11" s="21" t="n">
        <v>42</v>
      </c>
    </row>
    <row r="12">
      <c r="C12" s="19" t="inlineStr">
        <is>
          <t>Unit Occupancy</t>
        </is>
      </c>
      <c r="D12" s="20" t="n"/>
      <c r="E12" s="20" t="n"/>
      <c r="F12" s="20" t="n"/>
      <c r="G12" s="22" t="n">
        <v>0.8235294117647058</v>
      </c>
    </row>
    <row r="13">
      <c r="C13" s="19" t="inlineStr">
        <is>
          <t>Total Square Feet</t>
        </is>
      </c>
      <c r="D13" s="20" t="n"/>
      <c r="E13" s="20" t="n"/>
      <c r="F13" s="20" t="n"/>
      <c r="G13" s="23" t="n">
        <v>38376</v>
      </c>
    </row>
    <row r="14">
      <c r="C14" s="19" t="inlineStr">
        <is>
          <t>Occupied Square Feet</t>
        </is>
      </c>
      <c r="D14" s="20" t="n"/>
      <c r="E14" s="20" t="n"/>
      <c r="F14" s="20" t="n"/>
      <c r="G14" s="23" t="n">
        <v>30381</v>
      </c>
    </row>
    <row r="15">
      <c r="C15" s="19" t="inlineStr">
        <is>
          <t>Square Feet Occupancy</t>
        </is>
      </c>
      <c r="D15" s="20" t="n"/>
      <c r="E15" s="20" t="n"/>
      <c r="F15" s="20" t="n"/>
      <c r="G15" s="22" t="n">
        <v>0.7916666666666666</v>
      </c>
    </row>
    <row r="17">
      <c r="C17" s="19" t="inlineStr">
        <is>
          <t>Market Rent Annualized</t>
        </is>
      </c>
      <c r="D17" s="20" t="n"/>
      <c r="E17" s="20" t="n"/>
      <c r="F17" s="20" t="n"/>
      <c r="G17" s="24" t="n">
        <v>794508</v>
      </c>
    </row>
    <row r="18">
      <c r="C18" s="19" t="inlineStr">
        <is>
          <t>In-Place Rent Annualized</t>
        </is>
      </c>
      <c r="D18" s="20" t="n"/>
      <c r="E18" s="20" t="n"/>
      <c r="F18" s="20" t="n"/>
      <c r="G18" s="24" t="n">
        <v>619923.6000000001</v>
      </c>
    </row>
    <row r="19">
      <c r="C19" s="19" t="inlineStr">
        <is>
          <t>Other Income Annualized</t>
        </is>
      </c>
      <c r="D19" s="20" t="n"/>
      <c r="E19" s="20" t="n"/>
      <c r="F19" s="20" t="n"/>
      <c r="G19" s="24" t="n">
        <v>76332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5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Maven @ 806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Maven @ 806</t>
        </is>
      </c>
      <c r="E8" s="54" t="inlineStr">
        <is>
          <t>800-1A</t>
        </is>
      </c>
      <c r="F8" s="54" t="inlineStr">
        <is>
          <t>1x1B_C</t>
        </is>
      </c>
      <c r="G8" s="54" t="inlineStr">
        <is>
          <t>1 BD / 1 BA</t>
        </is>
      </c>
      <c r="K8" s="36" t="inlineStr">
        <is>
          <t>HiSmith, Darwin</t>
        </is>
      </c>
      <c r="L8" s="55" t="n">
        <v>817</v>
      </c>
      <c r="M8" s="56" t="n">
        <v>1</v>
      </c>
      <c r="N8" s="56" t="n">
        <v>1</v>
      </c>
      <c r="Q8" s="57" t="inlineStr">
        <is>
          <t>Occ</t>
        </is>
      </c>
      <c r="U8" s="58" t="n">
        <v>1234</v>
      </c>
      <c r="V8" s="58" t="n">
        <v>1285</v>
      </c>
      <c r="W8" s="58" t="n">
        <v>0</v>
      </c>
      <c r="X8" s="58" t="n">
        <v>0</v>
      </c>
      <c r="Y8" s="58" t="n">
        <v>169</v>
      </c>
      <c r="Z8" s="59" t="n">
        <v>45380</v>
      </c>
      <c r="AA8" s="59" t="n">
        <v>46110</v>
      </c>
      <c r="AB8" s="59" t="n">
        <v>46474</v>
      </c>
    </row>
    <row r="9">
      <c r="D9" s="36" t="inlineStr">
        <is>
          <t>Maven @ 806</t>
        </is>
      </c>
      <c r="E9" s="54" t="inlineStr">
        <is>
          <t>800-1AU</t>
        </is>
      </c>
      <c r="F9" s="54" t="inlineStr">
        <is>
          <t>1x1B_C</t>
        </is>
      </c>
      <c r="G9" s="54" t="inlineStr">
        <is>
          <t>1 BD / 1 BA</t>
        </is>
      </c>
      <c r="K9" s="36" t="inlineStr">
        <is>
          <t>Rental, Meraki Rentals</t>
        </is>
      </c>
      <c r="L9" s="55" t="n">
        <v>745</v>
      </c>
      <c r="M9" s="56" t="n">
        <v>1</v>
      </c>
      <c r="N9" s="56" t="n">
        <v>1</v>
      </c>
      <c r="Q9" s="57" t="inlineStr">
        <is>
          <t>Occ</t>
        </is>
      </c>
      <c r="U9" s="58" t="n">
        <v>1159</v>
      </c>
      <c r="V9" s="58" t="n">
        <v>1229</v>
      </c>
      <c r="W9" s="58" t="n">
        <v>0</v>
      </c>
      <c r="X9" s="58" t="n">
        <v>0</v>
      </c>
      <c r="Y9" s="58" t="n">
        <v>96</v>
      </c>
      <c r="Z9" s="59" t="n">
        <v>45000</v>
      </c>
      <c r="AA9" s="59" t="n">
        <v>45792</v>
      </c>
      <c r="AB9" s="59" t="n">
        <v>46248</v>
      </c>
    </row>
    <row r="10">
      <c r="D10" s="36" t="inlineStr">
        <is>
          <t>Maven @ 806</t>
        </is>
      </c>
      <c r="E10" s="54" t="inlineStr">
        <is>
          <t>800-1B</t>
        </is>
      </c>
      <c r="F10" s="54" t="inlineStr">
        <is>
          <t>1x1B_C</t>
        </is>
      </c>
      <c r="G10" s="54" t="inlineStr">
        <is>
          <t>1 BD / 1 BA</t>
        </is>
      </c>
      <c r="K10" s="36" t="inlineStr">
        <is>
          <t>Bhutia, Tshering</t>
        </is>
      </c>
      <c r="L10" s="55" t="n">
        <v>745</v>
      </c>
      <c r="M10" s="56" t="n">
        <v>1</v>
      </c>
      <c r="N10" s="56" t="n">
        <v>1</v>
      </c>
      <c r="Q10" s="57" t="inlineStr">
        <is>
          <t>Occ</t>
        </is>
      </c>
      <c r="U10" s="58" t="n">
        <v>1249</v>
      </c>
      <c r="V10" s="58" t="n">
        <v>1249</v>
      </c>
      <c r="W10" s="58" t="n">
        <v>0</v>
      </c>
      <c r="X10" s="58" t="n">
        <v>0</v>
      </c>
      <c r="Y10" s="58" t="n">
        <v>134</v>
      </c>
      <c r="Z10" s="59" t="n">
        <v>46143</v>
      </c>
      <c r="AA10" s="59" t="n">
        <v>46143</v>
      </c>
      <c r="AB10" s="59" t="n">
        <v>46507</v>
      </c>
    </row>
    <row r="11">
      <c r="D11" s="36" t="inlineStr">
        <is>
          <t>Maven @ 806</t>
        </is>
      </c>
      <c r="E11" s="54" t="inlineStr">
        <is>
          <t>800-1BU</t>
        </is>
      </c>
      <c r="F11" s="54" t="inlineStr">
        <is>
          <t>1x1B_C</t>
        </is>
      </c>
      <c r="G11" s="54" t="inlineStr">
        <is>
          <t>1 BD / 1 BA</t>
        </is>
      </c>
      <c r="K11" s="36" t="inlineStr">
        <is>
          <t>Brooks, Heidi</t>
        </is>
      </c>
      <c r="L11" s="55" t="n">
        <v>641</v>
      </c>
      <c r="M11" s="56" t="n">
        <v>1</v>
      </c>
      <c r="N11" s="56" t="n">
        <v>1</v>
      </c>
      <c r="Q11" s="57" t="inlineStr">
        <is>
          <t>Occ</t>
        </is>
      </c>
      <c r="U11" s="58" t="n">
        <v>1159</v>
      </c>
      <c r="V11" s="58" t="n">
        <v>1239</v>
      </c>
      <c r="W11" s="58" t="n">
        <v>0</v>
      </c>
      <c r="X11" s="58" t="n">
        <v>0</v>
      </c>
      <c r="Y11" s="58" t="n">
        <v>134</v>
      </c>
      <c r="Z11" s="59" t="n">
        <v>46115</v>
      </c>
      <c r="AA11" s="59" t="n">
        <v>46115</v>
      </c>
      <c r="AB11" s="59" t="n">
        <v>46328</v>
      </c>
    </row>
    <row r="12">
      <c r="D12" s="36" t="inlineStr">
        <is>
          <t>Maven @ 806</t>
        </is>
      </c>
      <c r="E12" s="54" t="inlineStr">
        <is>
          <t>800-1C</t>
        </is>
      </c>
      <c r="F12" s="54" t="inlineStr">
        <is>
          <t>1x1B_C</t>
        </is>
      </c>
      <c r="G12" s="54" t="inlineStr">
        <is>
          <t>1 BD / 1 BA</t>
        </is>
      </c>
      <c r="K12" s="36" t="inlineStr">
        <is>
          <t>Olmstead, Emma</t>
        </is>
      </c>
      <c r="L12" s="55" t="n">
        <v>622</v>
      </c>
      <c r="M12" s="56" t="n">
        <v>1</v>
      </c>
      <c r="N12" s="56" t="n">
        <v>1</v>
      </c>
      <c r="Q12" s="57" t="inlineStr">
        <is>
          <t>Occ</t>
        </is>
      </c>
      <c r="U12" s="58" t="n">
        <v>1234</v>
      </c>
      <c r="V12" s="58" t="n">
        <v>1220</v>
      </c>
      <c r="W12" s="58" t="n">
        <v>0</v>
      </c>
      <c r="X12" s="58" t="n">
        <v>0</v>
      </c>
      <c r="Y12" s="58" t="n">
        <v>134</v>
      </c>
      <c r="Z12" s="59" t="n">
        <v>45047</v>
      </c>
      <c r="AA12" s="59" t="n">
        <v>46143</v>
      </c>
      <c r="AB12" s="59" t="n">
        <v>46507</v>
      </c>
    </row>
    <row r="13">
      <c r="D13" s="36" t="inlineStr">
        <is>
          <t>Maven @ 806</t>
        </is>
      </c>
      <c r="E13" s="54" t="inlineStr">
        <is>
          <t>800-1D</t>
        </is>
      </c>
      <c r="F13" s="54" t="inlineStr">
        <is>
          <t>1x1B_C</t>
        </is>
      </c>
      <c r="G13" s="54" t="inlineStr">
        <is>
          <t>1 BD / 1 BA</t>
        </is>
      </c>
      <c r="K13" s="36" t="inlineStr">
        <is>
          <t>Calvert, Savannah</t>
        </is>
      </c>
      <c r="L13" s="55" t="n">
        <v>622</v>
      </c>
      <c r="M13" s="56" t="n">
        <v>1</v>
      </c>
      <c r="N13" s="56" t="n">
        <v>1</v>
      </c>
      <c r="Q13" s="57" t="inlineStr">
        <is>
          <t>Occ</t>
        </is>
      </c>
      <c r="U13" s="58" t="n">
        <v>1234</v>
      </c>
      <c r="V13" s="58" t="n">
        <v>1234</v>
      </c>
      <c r="W13" s="58" t="n">
        <v>0</v>
      </c>
      <c r="X13" s="58" t="n">
        <v>0</v>
      </c>
      <c r="Y13" s="58" t="n">
        <v>134</v>
      </c>
      <c r="Z13" s="59" t="n">
        <v>45863</v>
      </c>
      <c r="AA13" s="59" t="n">
        <v>45863</v>
      </c>
      <c r="AB13" s="59" t="n">
        <v>46319</v>
      </c>
    </row>
    <row r="14">
      <c r="D14" s="36" t="inlineStr">
        <is>
          <t>Maven @ 806</t>
        </is>
      </c>
      <c r="E14" s="54" t="inlineStr">
        <is>
          <t>800-2A</t>
        </is>
      </c>
      <c r="F14" s="54" t="inlineStr">
        <is>
          <t>2x2B_C</t>
        </is>
      </c>
      <c r="G14" s="54" t="inlineStr">
        <is>
          <t>2 BD / 2 BA</t>
        </is>
      </c>
      <c r="K14" s="36" t="inlineStr">
        <is>
          <t>-- Vacant --</t>
        </is>
      </c>
      <c r="L14" s="55" t="n">
        <v>1253</v>
      </c>
      <c r="M14" s="56" t="n">
        <v>2</v>
      </c>
      <c r="N14" s="56" t="n">
        <v>2</v>
      </c>
      <c r="Q14" s="57" t="inlineStr">
        <is>
          <t>Vac</t>
        </is>
      </c>
      <c r="U14" s="58" t="n">
        <v>1799</v>
      </c>
      <c r="V14" s="58" t="n">
        <v>0</v>
      </c>
      <c r="W14" s="58" t="n">
        <v>0</v>
      </c>
      <c r="X14" s="58" t="n">
        <v>0</v>
      </c>
      <c r="Y14" s="58" t="n">
        <v>0</v>
      </c>
    </row>
    <row r="15">
      <c r="D15" s="36" t="inlineStr">
        <is>
          <t>Maven @ 806</t>
        </is>
      </c>
      <c r="E15" s="54" t="inlineStr">
        <is>
          <t>800-2B</t>
        </is>
      </c>
      <c r="F15" s="54" t="inlineStr">
        <is>
          <t>1x1B_C</t>
        </is>
      </c>
      <c r="G15" s="54" t="inlineStr">
        <is>
          <t>1 BD / 1 BA</t>
        </is>
      </c>
      <c r="K15" s="36" t="inlineStr">
        <is>
          <t>Rental, Meraki Rentals</t>
        </is>
      </c>
      <c r="L15" s="55" t="n">
        <v>622</v>
      </c>
      <c r="M15" s="56" t="n">
        <v>1</v>
      </c>
      <c r="N15" s="56" t="n">
        <v>1</v>
      </c>
      <c r="Q15" s="57" t="inlineStr">
        <is>
          <t>Occ</t>
        </is>
      </c>
      <c r="U15" s="58" t="n">
        <v>1234</v>
      </c>
      <c r="V15" s="58" t="n">
        <v>1230</v>
      </c>
      <c r="W15" s="58" t="n">
        <v>0</v>
      </c>
      <c r="X15" s="58" t="n">
        <v>0</v>
      </c>
      <c r="Y15" s="58" t="n">
        <v>96</v>
      </c>
      <c r="Z15" s="59" t="n">
        <v>45331</v>
      </c>
      <c r="AA15" s="59" t="n">
        <v>45786</v>
      </c>
      <c r="AB15" s="59" t="n">
        <v>46242</v>
      </c>
    </row>
    <row r="16">
      <c r="D16" s="36" t="inlineStr">
        <is>
          <t>Maven @ 806</t>
        </is>
      </c>
      <c r="E16" s="54" t="inlineStr">
        <is>
          <t>800-2C</t>
        </is>
      </c>
      <c r="F16" s="54" t="inlineStr">
        <is>
          <t>1x1B_C</t>
        </is>
      </c>
      <c r="G16" s="54" t="inlineStr">
        <is>
          <t>1 BD / 1 BA</t>
        </is>
      </c>
      <c r="K16" s="36" t="inlineStr">
        <is>
          <t>Dobbs, Warren</t>
        </is>
      </c>
      <c r="L16" s="55" t="n">
        <v>745</v>
      </c>
      <c r="M16" s="56" t="n">
        <v>1</v>
      </c>
      <c r="N16" s="56" t="n">
        <v>1</v>
      </c>
      <c r="Q16" s="57" t="inlineStr">
        <is>
          <t>Occ</t>
        </is>
      </c>
      <c r="U16" s="58" t="n">
        <v>1249</v>
      </c>
      <c r="V16" s="58" t="n">
        <v>1249</v>
      </c>
      <c r="W16" s="58" t="n">
        <v>-374.7</v>
      </c>
      <c r="X16" s="58" t="n">
        <v>0</v>
      </c>
      <c r="Y16" s="58" t="n">
        <v>134</v>
      </c>
      <c r="Z16" s="59" t="n">
        <v>46108</v>
      </c>
      <c r="AA16" s="59" t="n">
        <v>46108</v>
      </c>
      <c r="AB16" s="59" t="n">
        <v>46472</v>
      </c>
    </row>
    <row r="17">
      <c r="D17" s="36" t="inlineStr">
        <is>
          <t>Maven @ 806</t>
        </is>
      </c>
      <c r="E17" s="54" t="inlineStr">
        <is>
          <t>800-2D</t>
        </is>
      </c>
      <c r="F17" s="54" t="inlineStr">
        <is>
          <t>1x1B_C</t>
        </is>
      </c>
      <c r="G17" s="54" t="inlineStr">
        <is>
          <t>1 BD / 1 BA</t>
        </is>
      </c>
      <c r="K17" s="36" t="inlineStr">
        <is>
          <t>Filbeck, Daniel</t>
        </is>
      </c>
      <c r="L17" s="55" t="n">
        <v>479</v>
      </c>
      <c r="M17" s="56" t="n">
        <v>1</v>
      </c>
      <c r="N17" s="56" t="n">
        <v>1</v>
      </c>
      <c r="Q17" s="57" t="inlineStr">
        <is>
          <t>Occ</t>
        </is>
      </c>
      <c r="U17" s="58" t="n">
        <v>1234</v>
      </c>
      <c r="V17" s="58" t="n">
        <v>1325</v>
      </c>
      <c r="W17" s="58" t="n">
        <v>0</v>
      </c>
      <c r="X17" s="58" t="n">
        <v>0</v>
      </c>
      <c r="Y17" s="58" t="n">
        <v>166</v>
      </c>
      <c r="Z17" s="59" t="n">
        <v>45057</v>
      </c>
      <c r="AA17" s="59" t="n">
        <v>45788</v>
      </c>
      <c r="AB17" s="59" t="n">
        <v>46244</v>
      </c>
    </row>
    <row r="18">
      <c r="D18" s="36" t="inlineStr">
        <is>
          <t>Maven @ 806</t>
        </is>
      </c>
      <c r="E18" s="54" t="inlineStr">
        <is>
          <t>800-3A</t>
        </is>
      </c>
      <c r="F18" s="54" t="inlineStr">
        <is>
          <t>2x2B_C</t>
        </is>
      </c>
      <c r="G18" s="54" t="inlineStr">
        <is>
          <t>2 BD / 2 BA</t>
        </is>
      </c>
      <c r="K18" s="36" t="inlineStr">
        <is>
          <t>-- Vacant --</t>
        </is>
      </c>
      <c r="L18" s="55" t="n">
        <v>1153</v>
      </c>
      <c r="M18" s="56" t="n">
        <v>2</v>
      </c>
      <c r="N18" s="56" t="n">
        <v>2</v>
      </c>
      <c r="Q18" s="57" t="inlineStr">
        <is>
          <t>Vac</t>
        </is>
      </c>
      <c r="U18" s="58" t="n">
        <v>1799</v>
      </c>
      <c r="V18" s="58" t="n">
        <v>0</v>
      </c>
      <c r="W18" s="58" t="n">
        <v>0</v>
      </c>
      <c r="X18" s="58" t="n">
        <v>0</v>
      </c>
      <c r="Y18" s="58" t="n">
        <v>0</v>
      </c>
    </row>
    <row r="19">
      <c r="D19" s="36" t="inlineStr">
        <is>
          <t>Maven @ 806</t>
        </is>
      </c>
      <c r="E19" s="54" t="inlineStr">
        <is>
          <t>800-3B</t>
        </is>
      </c>
      <c r="F19" s="54" t="inlineStr">
        <is>
          <t>2x2B_C</t>
        </is>
      </c>
      <c r="G19" s="54" t="inlineStr">
        <is>
          <t>2 BD / 2 BA</t>
        </is>
      </c>
      <c r="K19" s="36" t="inlineStr">
        <is>
          <t>Castillo, Jamie</t>
        </is>
      </c>
      <c r="L19" s="55" t="n">
        <v>844</v>
      </c>
      <c r="M19" s="56" t="n">
        <v>2</v>
      </c>
      <c r="N19" s="56" t="n">
        <v>2</v>
      </c>
      <c r="Q19" s="57" t="inlineStr">
        <is>
          <t>Occ</t>
        </is>
      </c>
      <c r="U19" s="58" t="n">
        <v>1599</v>
      </c>
      <c r="V19" s="58" t="n">
        <v>1799</v>
      </c>
      <c r="W19" s="58" t="n">
        <v>0</v>
      </c>
      <c r="X19" s="58" t="n">
        <v>0</v>
      </c>
      <c r="Y19" s="58" t="n">
        <v>134</v>
      </c>
      <c r="Z19" s="59" t="n">
        <v>46032</v>
      </c>
      <c r="AA19" s="59" t="n">
        <v>46032</v>
      </c>
      <c r="AB19" s="59" t="n">
        <v>46396</v>
      </c>
    </row>
    <row r="20">
      <c r="D20" s="36" t="inlineStr">
        <is>
          <t>Maven @ 806</t>
        </is>
      </c>
      <c r="E20" s="54" t="inlineStr">
        <is>
          <t>800-3C</t>
        </is>
      </c>
      <c r="F20" s="54" t="inlineStr">
        <is>
          <t>2x2B_C</t>
        </is>
      </c>
      <c r="G20" s="54" t="inlineStr">
        <is>
          <t>2 BD / 2 BA</t>
        </is>
      </c>
      <c r="K20" s="36" t="inlineStr">
        <is>
          <t>-- Vacant --</t>
        </is>
      </c>
      <c r="L20" s="55" t="n">
        <v>972</v>
      </c>
      <c r="M20" s="56" t="n">
        <v>2</v>
      </c>
      <c r="N20" s="56" t="n">
        <v>2</v>
      </c>
      <c r="Q20" s="57" t="inlineStr">
        <is>
          <t>Vac</t>
        </is>
      </c>
      <c r="U20" s="58" t="n">
        <v>1799</v>
      </c>
      <c r="V20" s="58" t="n">
        <v>0</v>
      </c>
      <c r="W20" s="58" t="n">
        <v>0</v>
      </c>
      <c r="X20" s="58" t="n">
        <v>0</v>
      </c>
      <c r="Y20" s="58" t="n">
        <v>0</v>
      </c>
    </row>
    <row r="21">
      <c r="D21" s="36" t="inlineStr">
        <is>
          <t>Maven @ 806</t>
        </is>
      </c>
      <c r="E21" s="54" t="inlineStr">
        <is>
          <t>800-3D</t>
        </is>
      </c>
      <c r="F21" s="54" t="inlineStr">
        <is>
          <t>2x2B_C</t>
        </is>
      </c>
      <c r="G21" s="54" t="inlineStr">
        <is>
          <t>2 BD / 2 BA</t>
        </is>
      </c>
      <c r="K21" s="36" t="inlineStr">
        <is>
          <t>-- Vacant --</t>
        </is>
      </c>
      <c r="L21" s="55" t="n">
        <v>972</v>
      </c>
      <c r="M21" s="56" t="n">
        <v>2</v>
      </c>
      <c r="N21" s="56" t="n">
        <v>2</v>
      </c>
      <c r="Q21" s="57" t="inlineStr">
        <is>
          <t>Vac</t>
        </is>
      </c>
      <c r="U21" s="58" t="n">
        <v>1799</v>
      </c>
      <c r="V21" s="58" t="n">
        <v>0</v>
      </c>
      <c r="W21" s="58" t="n">
        <v>0</v>
      </c>
      <c r="X21" s="58" t="n">
        <v>0</v>
      </c>
      <c r="Y21" s="58" t="n">
        <v>0</v>
      </c>
    </row>
    <row r="22">
      <c r="D22" s="36" t="inlineStr">
        <is>
          <t>Maven @ 806</t>
        </is>
      </c>
      <c r="E22" s="54" t="inlineStr">
        <is>
          <t>CL - 806-1</t>
        </is>
      </c>
      <c r="F22" s="54" t="inlineStr">
        <is>
          <t>2x1A_C</t>
        </is>
      </c>
      <c r="G22" s="54" t="inlineStr">
        <is>
          <t>2 BD / 1 BA</t>
        </is>
      </c>
      <c r="K22" s="36" t="inlineStr">
        <is>
          <t>Collins, Nancy</t>
        </is>
      </c>
      <c r="L22" s="55" t="n">
        <v>810</v>
      </c>
      <c r="M22" s="56" t="n">
        <v>2</v>
      </c>
      <c r="N22" s="56" t="n">
        <v>1</v>
      </c>
      <c r="Q22" s="57" t="inlineStr">
        <is>
          <t>Occ</t>
        </is>
      </c>
      <c r="U22" s="58" t="n">
        <v>1379</v>
      </c>
      <c r="V22" s="58" t="n">
        <v>1249</v>
      </c>
      <c r="W22" s="58" t="n">
        <v>0</v>
      </c>
      <c r="X22" s="58" t="n">
        <v>0</v>
      </c>
      <c r="Y22" s="58" t="n">
        <v>99</v>
      </c>
      <c r="Z22" s="59" t="n">
        <v>44075</v>
      </c>
      <c r="AA22" s="59" t="n">
        <v>45901</v>
      </c>
      <c r="AB22" s="59" t="n">
        <v>46265</v>
      </c>
    </row>
    <row r="23">
      <c r="D23" s="36" t="inlineStr">
        <is>
          <t>Maven @ 806</t>
        </is>
      </c>
      <c r="E23" s="54" t="inlineStr">
        <is>
          <t>CL - 806-2</t>
        </is>
      </c>
      <c r="F23" s="54" t="inlineStr">
        <is>
          <t>2x1A_C</t>
        </is>
      </c>
      <c r="G23" s="54" t="inlineStr">
        <is>
          <t>2 BD / 1 BA</t>
        </is>
      </c>
      <c r="K23" s="36" t="inlineStr">
        <is>
          <t>Humphrey, Alyson</t>
        </is>
      </c>
      <c r="L23" s="55" t="n">
        <v>935</v>
      </c>
      <c r="M23" s="56" t="n">
        <v>2</v>
      </c>
      <c r="N23" s="56" t="n">
        <v>1</v>
      </c>
      <c r="Q23" s="57" t="inlineStr">
        <is>
          <t>Occ</t>
        </is>
      </c>
      <c r="U23" s="58" t="n">
        <v>1379</v>
      </c>
      <c r="V23" s="58" t="n">
        <v>1249</v>
      </c>
      <c r="W23" s="58" t="n">
        <v>0</v>
      </c>
      <c r="X23" s="58" t="n">
        <v>0</v>
      </c>
      <c r="Y23" s="58" t="n">
        <v>134</v>
      </c>
      <c r="Z23" s="59" t="n">
        <v>45551</v>
      </c>
      <c r="AA23" s="59" t="n">
        <v>45916</v>
      </c>
      <c r="AB23" s="59" t="n">
        <v>46280</v>
      </c>
    </row>
    <row r="24">
      <c r="D24" s="36" t="inlineStr">
        <is>
          <t>Maven @ 806</t>
        </is>
      </c>
      <c r="E24" s="54" t="inlineStr">
        <is>
          <t>CL - 806-3</t>
        </is>
      </c>
      <c r="F24" s="54" t="inlineStr">
        <is>
          <t>2x1A_C</t>
        </is>
      </c>
      <c r="G24" s="54" t="inlineStr">
        <is>
          <t>2 BD / 1 BA</t>
        </is>
      </c>
      <c r="K24" s="36" t="inlineStr">
        <is>
          <t>Waugh, Christopher</t>
        </is>
      </c>
      <c r="L24" s="55" t="n">
        <v>820</v>
      </c>
      <c r="M24" s="56" t="n">
        <v>2</v>
      </c>
      <c r="N24" s="56" t="n">
        <v>1</v>
      </c>
      <c r="Q24" s="57" t="inlineStr">
        <is>
          <t>Occ</t>
        </is>
      </c>
      <c r="U24" s="58" t="n">
        <v>1404</v>
      </c>
      <c r="V24" s="58" t="n">
        <v>1245</v>
      </c>
      <c r="W24" s="58" t="n">
        <v>0</v>
      </c>
      <c r="X24" s="58" t="n">
        <v>0</v>
      </c>
      <c r="Y24" s="58" t="n">
        <v>99</v>
      </c>
      <c r="Z24" s="59" t="n">
        <v>45121</v>
      </c>
      <c r="AA24" s="59" t="n">
        <v>45879</v>
      </c>
      <c r="AB24" s="59" t="n">
        <v>46243</v>
      </c>
    </row>
    <row r="25">
      <c r="D25" s="36" t="inlineStr">
        <is>
          <t>Maven @ 806</t>
        </is>
      </c>
      <c r="E25" s="54" t="inlineStr">
        <is>
          <t>CL - 806-4</t>
        </is>
      </c>
      <c r="F25" s="54" t="inlineStr">
        <is>
          <t>2x1A_C</t>
        </is>
      </c>
      <c r="G25" s="54" t="inlineStr">
        <is>
          <t>2 BD / 1 BA</t>
        </is>
      </c>
      <c r="K25" s="36" t="inlineStr">
        <is>
          <t>McClarty, Nicole</t>
        </is>
      </c>
      <c r="L25" s="55" t="n">
        <v>935</v>
      </c>
      <c r="M25" s="56" t="n">
        <v>2</v>
      </c>
      <c r="N25" s="56" t="n">
        <v>1</v>
      </c>
      <c r="Q25" s="57" t="inlineStr">
        <is>
          <t>Occ</t>
        </is>
      </c>
      <c r="U25" s="58" t="n">
        <v>1404</v>
      </c>
      <c r="V25" s="58" t="n">
        <v>1215</v>
      </c>
      <c r="W25" s="58" t="n">
        <v>0</v>
      </c>
      <c r="X25" s="58" t="n">
        <v>0</v>
      </c>
      <c r="Y25" s="58" t="n">
        <v>131</v>
      </c>
      <c r="Z25" s="59" t="n">
        <v>44241</v>
      </c>
      <c r="AA25" s="59" t="n">
        <v>45805</v>
      </c>
      <c r="AB25" s="59" t="n">
        <v>46261</v>
      </c>
    </row>
    <row r="26">
      <c r="D26" s="36" t="inlineStr">
        <is>
          <t>Maven @ 806</t>
        </is>
      </c>
      <c r="E26" s="54" t="inlineStr">
        <is>
          <t>CL - 806-5</t>
        </is>
      </c>
      <c r="F26" s="54" t="inlineStr">
        <is>
          <t>2x1A_C</t>
        </is>
      </c>
      <c r="G26" s="54" t="inlineStr">
        <is>
          <t>2 BD / 1 BA</t>
        </is>
      </c>
      <c r="K26" s="36" t="inlineStr">
        <is>
          <t>Belcher, Keira</t>
        </is>
      </c>
      <c r="L26" s="55" t="n">
        <v>1066</v>
      </c>
      <c r="M26" s="56" t="n">
        <v>2</v>
      </c>
      <c r="N26" s="56" t="n">
        <v>1</v>
      </c>
      <c r="Q26" s="57" t="inlineStr">
        <is>
          <t>Occ</t>
        </is>
      </c>
      <c r="U26" s="58" t="n">
        <v>1349</v>
      </c>
      <c r="V26" s="58" t="n">
        <v>1345</v>
      </c>
      <c r="W26" s="58" t="n">
        <v>0</v>
      </c>
      <c r="X26" s="58" t="n">
        <v>0</v>
      </c>
      <c r="Y26" s="58" t="n">
        <v>131</v>
      </c>
      <c r="Z26" s="59" t="n">
        <v>45495</v>
      </c>
      <c r="AA26" s="59" t="n">
        <v>45860</v>
      </c>
      <c r="AB26" s="59" t="n">
        <v>46224</v>
      </c>
    </row>
    <row r="27">
      <c r="D27" s="36" t="inlineStr">
        <is>
          <t>Maven @ 806</t>
        </is>
      </c>
      <c r="E27" s="54" t="inlineStr">
        <is>
          <t>CL - 806-6</t>
        </is>
      </c>
      <c r="F27" s="54" t="inlineStr">
        <is>
          <t>2x1A_C</t>
        </is>
      </c>
      <c r="G27" s="54" t="inlineStr">
        <is>
          <t>2 BD / 1 BA</t>
        </is>
      </c>
      <c r="K27" s="36" t="inlineStr">
        <is>
          <t>Harrison, Davis</t>
        </is>
      </c>
      <c r="L27" s="55" t="n">
        <v>840</v>
      </c>
      <c r="M27" s="56" t="n">
        <v>2</v>
      </c>
      <c r="N27" s="56" t="n">
        <v>1</v>
      </c>
      <c r="Q27" s="57" t="inlineStr">
        <is>
          <t>Occ</t>
        </is>
      </c>
      <c r="U27" s="58" t="n">
        <v>1374</v>
      </c>
      <c r="V27" s="58" t="n">
        <v>1244</v>
      </c>
      <c r="W27" s="58" t="n">
        <v>0</v>
      </c>
      <c r="X27" s="58" t="n">
        <v>0</v>
      </c>
      <c r="Y27" s="58" t="n">
        <v>134</v>
      </c>
      <c r="Z27" s="59" t="n">
        <v>45709</v>
      </c>
      <c r="AA27" s="59" t="n">
        <v>46074</v>
      </c>
      <c r="AB27" s="59" t="n">
        <v>46438</v>
      </c>
    </row>
    <row r="28">
      <c r="D28" s="36" t="inlineStr">
        <is>
          <t>Maven @ 806</t>
        </is>
      </c>
      <c r="E28" s="54" t="inlineStr">
        <is>
          <t>CL - 806-7</t>
        </is>
      </c>
      <c r="F28" s="54" t="inlineStr">
        <is>
          <t>2x1A_C</t>
        </is>
      </c>
      <c r="G28" s="54" t="inlineStr">
        <is>
          <t>2 BD / 1 BA</t>
        </is>
      </c>
      <c r="K28" s="36" t="inlineStr">
        <is>
          <t>Steele, Christopher</t>
        </is>
      </c>
      <c r="L28" s="55" t="n">
        <v>965</v>
      </c>
      <c r="M28" s="56" t="n">
        <v>2</v>
      </c>
      <c r="N28" s="56" t="n">
        <v>1</v>
      </c>
      <c r="Q28" s="57" t="inlineStr">
        <is>
          <t>Occ</t>
        </is>
      </c>
      <c r="U28" s="58" t="n">
        <v>1374</v>
      </c>
      <c r="V28" s="58" t="n">
        <v>1320</v>
      </c>
      <c r="W28" s="58" t="n">
        <v>0</v>
      </c>
      <c r="X28" s="58" t="n">
        <v>0</v>
      </c>
      <c r="Y28" s="58" t="n">
        <v>166</v>
      </c>
      <c r="Z28" s="59" t="n">
        <v>44281</v>
      </c>
      <c r="AA28" s="59" t="n">
        <v>45926</v>
      </c>
      <c r="AB28" s="59" t="n">
        <v>46290</v>
      </c>
    </row>
    <row r="29">
      <c r="D29" s="36" t="inlineStr">
        <is>
          <t>Maven @ 806</t>
        </is>
      </c>
      <c r="E29" s="54" t="inlineStr">
        <is>
          <t>CL - 806-8</t>
        </is>
      </c>
      <c r="F29" s="54" t="inlineStr">
        <is>
          <t>1x1A_C</t>
        </is>
      </c>
      <c r="G29" s="54" t="inlineStr">
        <is>
          <t>1 BD / 1 BA</t>
        </is>
      </c>
      <c r="K29" s="36" t="inlineStr">
        <is>
          <t>Rodriguez, Larissa</t>
        </is>
      </c>
      <c r="L29" s="55" t="n">
        <v>475</v>
      </c>
      <c r="M29" s="56" t="n">
        <v>1</v>
      </c>
      <c r="N29" s="56" t="n">
        <v>1</v>
      </c>
      <c r="Q29" s="57" t="inlineStr">
        <is>
          <t>Occ</t>
        </is>
      </c>
      <c r="U29" s="58" t="n">
        <v>1049</v>
      </c>
      <c r="V29" s="58" t="n">
        <v>1049</v>
      </c>
      <c r="W29" s="58" t="n">
        <v>0</v>
      </c>
      <c r="X29" s="58" t="n">
        <v>0</v>
      </c>
      <c r="Y29" s="58" t="n">
        <v>134</v>
      </c>
      <c r="Z29" s="59" t="n">
        <v>46042</v>
      </c>
      <c r="AA29" s="59" t="n">
        <v>46042</v>
      </c>
      <c r="AB29" s="59" t="n">
        <v>46496</v>
      </c>
    </row>
    <row r="30">
      <c r="D30" s="36" t="inlineStr">
        <is>
          <t>Maven @ 806</t>
        </is>
      </c>
      <c r="E30" s="54" t="inlineStr">
        <is>
          <t>CL - 806-9</t>
        </is>
      </c>
      <c r="F30" s="54" t="inlineStr">
        <is>
          <t>2x1A_C</t>
        </is>
      </c>
      <c r="G30" s="54" t="inlineStr">
        <is>
          <t>2 BD / 1 BA</t>
        </is>
      </c>
      <c r="K30" s="36" t="inlineStr">
        <is>
          <t>-- Vacant --</t>
        </is>
      </c>
      <c r="L30" s="55" t="n">
        <v>723</v>
      </c>
      <c r="M30" s="56" t="n">
        <v>2</v>
      </c>
      <c r="N30" s="56" t="n">
        <v>1</v>
      </c>
      <c r="Q30" s="57" t="inlineStr">
        <is>
          <t>Vac</t>
        </is>
      </c>
      <c r="U30" s="58" t="n">
        <v>1355</v>
      </c>
      <c r="V30" s="58" t="n">
        <v>0</v>
      </c>
      <c r="W30" s="58" t="n">
        <v>0</v>
      </c>
      <c r="X30" s="58" t="n">
        <v>0</v>
      </c>
      <c r="Y30" s="58" t="n">
        <v>0</v>
      </c>
    </row>
    <row r="31">
      <c r="D31" s="36" t="inlineStr">
        <is>
          <t>Maven @ 806</t>
        </is>
      </c>
      <c r="E31" s="54" t="inlineStr">
        <is>
          <t>CL - 806-10</t>
        </is>
      </c>
      <c r="F31" s="54" t="inlineStr">
        <is>
          <t>2x1A_C</t>
        </is>
      </c>
      <c r="G31" s="54" t="inlineStr">
        <is>
          <t>2 BD / 1 BA</t>
        </is>
      </c>
      <c r="K31" s="36" t="inlineStr">
        <is>
          <t>-- Vacant --</t>
        </is>
      </c>
      <c r="L31" s="55" t="n">
        <v>744</v>
      </c>
      <c r="M31" s="56" t="n">
        <v>2</v>
      </c>
      <c r="N31" s="56" t="n">
        <v>1</v>
      </c>
      <c r="Q31" s="57" t="inlineStr">
        <is>
          <t>Vac</t>
        </is>
      </c>
      <c r="U31" s="58" t="n">
        <v>1355</v>
      </c>
      <c r="V31" s="58" t="n">
        <v>0</v>
      </c>
      <c r="W31" s="58" t="n">
        <v>0</v>
      </c>
      <c r="X31" s="58" t="n">
        <v>0</v>
      </c>
      <c r="Y31" s="58" t="n">
        <v>0</v>
      </c>
    </row>
    <row r="32">
      <c r="D32" s="36" t="inlineStr">
        <is>
          <t>Maven @ 806</t>
        </is>
      </c>
      <c r="E32" s="54" t="inlineStr">
        <is>
          <t>CL - 806-11</t>
        </is>
      </c>
      <c r="F32" s="54" t="inlineStr">
        <is>
          <t>1x1A_C</t>
        </is>
      </c>
      <c r="G32" s="54" t="inlineStr">
        <is>
          <t>1 BD / 1 BA</t>
        </is>
      </c>
      <c r="K32" s="36" t="inlineStr">
        <is>
          <t>-- Vacant --</t>
        </is>
      </c>
      <c r="L32" s="55" t="n">
        <v>720</v>
      </c>
      <c r="M32" s="56" t="n">
        <v>1</v>
      </c>
      <c r="N32" s="56" t="n">
        <v>1</v>
      </c>
      <c r="Q32" s="57" t="inlineStr">
        <is>
          <t>Vac</t>
        </is>
      </c>
      <c r="U32" s="58" t="n">
        <v>990</v>
      </c>
      <c r="V32" s="58" t="n">
        <v>0</v>
      </c>
      <c r="W32" s="58" t="n">
        <v>0</v>
      </c>
      <c r="X32" s="58" t="n">
        <v>0</v>
      </c>
      <c r="Y32" s="58" t="n">
        <v>0</v>
      </c>
    </row>
    <row r="33">
      <c r="D33" s="36" t="inlineStr">
        <is>
          <t>Maven @ 806</t>
        </is>
      </c>
      <c r="E33" s="54" t="inlineStr">
        <is>
          <t>CL - 806-12</t>
        </is>
      </c>
      <c r="F33" s="54" t="inlineStr">
        <is>
          <t>1x1A_C</t>
        </is>
      </c>
      <c r="G33" s="54" t="inlineStr">
        <is>
          <t>1 BD / 1 BA</t>
        </is>
      </c>
      <c r="K33" s="36" t="inlineStr">
        <is>
          <t>Montgomery-Lewis, Jaylynne</t>
        </is>
      </c>
      <c r="L33" s="55" t="n">
        <v>656</v>
      </c>
      <c r="M33" s="56" t="n">
        <v>1</v>
      </c>
      <c r="N33" s="56" t="n">
        <v>1</v>
      </c>
      <c r="Q33" s="57" t="inlineStr">
        <is>
          <t>Occ</t>
        </is>
      </c>
      <c r="U33" s="58" t="n">
        <v>1139</v>
      </c>
      <c r="V33" s="58" t="n">
        <v>1139</v>
      </c>
      <c r="W33" s="58" t="n">
        <v>0</v>
      </c>
      <c r="X33" s="58" t="n">
        <v>0</v>
      </c>
      <c r="Y33" s="58" t="n">
        <v>131</v>
      </c>
      <c r="Z33" s="59" t="n">
        <v>45863</v>
      </c>
      <c r="AA33" s="59" t="n">
        <v>45863</v>
      </c>
      <c r="AB33" s="59" t="n">
        <v>46227</v>
      </c>
    </row>
    <row r="34">
      <c r="D34" s="36" t="inlineStr">
        <is>
          <t>Maven @ 806</t>
        </is>
      </c>
      <c r="E34" s="54" t="inlineStr">
        <is>
          <t>CL - 806-14</t>
        </is>
      </c>
      <c r="F34" s="54" t="inlineStr">
        <is>
          <t>1x1A_C</t>
        </is>
      </c>
      <c r="G34" s="54" t="inlineStr">
        <is>
          <t>1 BD / 1 BA</t>
        </is>
      </c>
      <c r="K34" s="36" t="inlineStr">
        <is>
          <t>Von Hassell, Damontay</t>
        </is>
      </c>
      <c r="L34" s="55" t="n">
        <v>476</v>
      </c>
      <c r="M34" s="56" t="n">
        <v>1</v>
      </c>
      <c r="N34" s="56" t="n">
        <v>1</v>
      </c>
      <c r="Q34" s="57" t="inlineStr">
        <is>
          <t>Occ</t>
        </is>
      </c>
      <c r="U34" s="58" t="n">
        <v>1049</v>
      </c>
      <c r="V34" s="58" t="n">
        <v>1099</v>
      </c>
      <c r="W34" s="58" t="n">
        <v>0</v>
      </c>
      <c r="X34" s="58" t="n">
        <v>0</v>
      </c>
      <c r="Y34" s="58" t="n">
        <v>131</v>
      </c>
      <c r="Z34" s="59" t="n">
        <v>45831</v>
      </c>
      <c r="AA34" s="59" t="n">
        <v>45831</v>
      </c>
      <c r="AB34" s="59" t="n">
        <v>46195</v>
      </c>
    </row>
    <row r="35">
      <c r="D35" s="36" t="inlineStr">
        <is>
          <t>Maven @ 806</t>
        </is>
      </c>
      <c r="E35" s="54" t="inlineStr">
        <is>
          <t>CL - 806-15</t>
        </is>
      </c>
      <c r="F35" s="54" t="inlineStr">
        <is>
          <t>1x1A_C</t>
        </is>
      </c>
      <c r="G35" s="54" t="inlineStr">
        <is>
          <t>1 BD / 1 BA</t>
        </is>
      </c>
      <c r="K35" s="36" t="inlineStr">
        <is>
          <t>Sorrells, Kashon</t>
        </is>
      </c>
      <c r="L35" s="55" t="n">
        <v>723</v>
      </c>
      <c r="M35" s="56" t="n">
        <v>1</v>
      </c>
      <c r="N35" s="56" t="n">
        <v>1</v>
      </c>
      <c r="Q35" s="57" t="inlineStr">
        <is>
          <t>Occ</t>
        </is>
      </c>
      <c r="U35" s="58" t="n">
        <v>1164</v>
      </c>
      <c r="V35" s="58" t="n">
        <v>990</v>
      </c>
      <c r="W35" s="58" t="n">
        <v>0</v>
      </c>
      <c r="X35" s="58" t="n">
        <v>0</v>
      </c>
      <c r="Y35" s="58" t="n">
        <v>434</v>
      </c>
      <c r="Z35" s="59" t="n">
        <v>44250</v>
      </c>
      <c r="AA35" s="59" t="n">
        <v>46113</v>
      </c>
    </row>
    <row r="36">
      <c r="D36" s="36" t="inlineStr">
        <is>
          <t>Maven @ 806</t>
        </is>
      </c>
      <c r="E36" s="54" t="inlineStr">
        <is>
          <t>CL - 806-16</t>
        </is>
      </c>
      <c r="F36" s="54" t="inlineStr">
        <is>
          <t>1x1A_C</t>
        </is>
      </c>
      <c r="G36" s="54" t="inlineStr">
        <is>
          <t>1 BD / 1 BA</t>
        </is>
      </c>
      <c r="K36" s="36" t="inlineStr">
        <is>
          <t>Pitvorec, Jeremy</t>
        </is>
      </c>
      <c r="L36" s="55" t="n">
        <v>516</v>
      </c>
      <c r="M36" s="56" t="n">
        <v>1</v>
      </c>
      <c r="N36" s="56" t="n">
        <v>1</v>
      </c>
      <c r="Q36" s="57" t="inlineStr">
        <is>
          <t>Occ</t>
        </is>
      </c>
      <c r="U36" s="58" t="n">
        <v>1149</v>
      </c>
      <c r="V36" s="58" t="n">
        <v>1125</v>
      </c>
      <c r="W36" s="58" t="n">
        <v>0</v>
      </c>
      <c r="X36" s="58" t="n">
        <v>0</v>
      </c>
      <c r="Y36" s="58" t="n">
        <v>134</v>
      </c>
      <c r="Z36" s="59" t="n">
        <v>44621</v>
      </c>
      <c r="AA36" s="59" t="n">
        <v>46082</v>
      </c>
      <c r="AB36" s="59" t="n">
        <v>46538</v>
      </c>
    </row>
    <row r="37">
      <c r="D37" s="36" t="inlineStr">
        <is>
          <t>Maven @ 806</t>
        </is>
      </c>
      <c r="E37" s="54" t="inlineStr">
        <is>
          <t>CL - 806-17</t>
        </is>
      </c>
      <c r="F37" s="54" t="inlineStr">
        <is>
          <t>1x1A_C</t>
        </is>
      </c>
      <c r="G37" s="54" t="inlineStr">
        <is>
          <t>1 BD / 1 BA</t>
        </is>
      </c>
      <c r="K37" s="36" t="inlineStr">
        <is>
          <t>Quiroz, Espie</t>
        </is>
      </c>
      <c r="L37" s="55" t="n">
        <v>765</v>
      </c>
      <c r="M37" s="56" t="n">
        <v>1</v>
      </c>
      <c r="N37" s="56" t="n">
        <v>1</v>
      </c>
      <c r="Q37" s="57" t="inlineStr">
        <is>
          <t>Occ</t>
        </is>
      </c>
      <c r="U37" s="58" t="n">
        <v>1179</v>
      </c>
      <c r="V37" s="58" t="n">
        <v>1179</v>
      </c>
      <c r="W37" s="58" t="n">
        <v>0</v>
      </c>
      <c r="X37" s="58" t="n">
        <v>0</v>
      </c>
      <c r="Y37" s="58" t="n">
        <v>134</v>
      </c>
      <c r="Z37" s="59" t="n">
        <v>45971</v>
      </c>
      <c r="AA37" s="59" t="n">
        <v>45971</v>
      </c>
      <c r="AB37" s="59" t="n">
        <v>46335</v>
      </c>
    </row>
    <row r="38">
      <c r="D38" s="36" t="inlineStr">
        <is>
          <t>Maven @ 806</t>
        </is>
      </c>
      <c r="E38" s="54" t="inlineStr">
        <is>
          <t>CL - 806-18</t>
        </is>
      </c>
      <c r="F38" s="54" t="inlineStr">
        <is>
          <t>1x1A_C</t>
        </is>
      </c>
      <c r="G38" s="54" t="inlineStr">
        <is>
          <t>1 BD / 1 BA</t>
        </is>
      </c>
      <c r="K38" s="36" t="inlineStr">
        <is>
          <t>Ostrander, Bradley</t>
        </is>
      </c>
      <c r="L38" s="55" t="n">
        <v>765</v>
      </c>
      <c r="M38" s="56" t="n">
        <v>1</v>
      </c>
      <c r="N38" s="56" t="n">
        <v>1</v>
      </c>
      <c r="Q38" s="57" t="inlineStr">
        <is>
          <t>Occ</t>
        </is>
      </c>
      <c r="U38" s="58" t="n">
        <v>1124</v>
      </c>
      <c r="V38" s="58" t="n">
        <v>1124</v>
      </c>
      <c r="W38" s="58" t="n">
        <v>0</v>
      </c>
      <c r="X38" s="58" t="n">
        <v>0</v>
      </c>
      <c r="Y38" s="58" t="n">
        <v>134</v>
      </c>
      <c r="Z38" s="59" t="n">
        <v>45946</v>
      </c>
      <c r="AA38" s="59" t="n">
        <v>45946</v>
      </c>
      <c r="AB38" s="59" t="n">
        <v>46310</v>
      </c>
    </row>
    <row r="39">
      <c r="D39" s="36" t="inlineStr">
        <is>
          <t>Maven @ 806</t>
        </is>
      </c>
      <c r="E39" s="54" t="inlineStr">
        <is>
          <t>CL - 806-19</t>
        </is>
      </c>
      <c r="F39" s="54" t="inlineStr">
        <is>
          <t>2x1A_C</t>
        </is>
      </c>
      <c r="G39" s="54" t="inlineStr">
        <is>
          <t>2 BD / 1 BA</t>
        </is>
      </c>
      <c r="K39" s="36" t="inlineStr">
        <is>
          <t>Webb, Kennetha</t>
        </is>
      </c>
      <c r="L39" s="55" t="n">
        <v>781</v>
      </c>
      <c r="M39" s="56" t="n">
        <v>2</v>
      </c>
      <c r="N39" s="56" t="n">
        <v>1</v>
      </c>
      <c r="Q39" s="57" t="inlineStr">
        <is>
          <t>Occ</t>
        </is>
      </c>
      <c r="U39" s="58" t="n">
        <v>1324</v>
      </c>
      <c r="V39" s="58" t="n">
        <v>1324</v>
      </c>
      <c r="W39" s="58" t="n">
        <v>0</v>
      </c>
      <c r="X39" s="58" t="n">
        <v>0</v>
      </c>
      <c r="Y39" s="58" t="n">
        <v>164</v>
      </c>
      <c r="Z39" s="59" t="n">
        <v>45926</v>
      </c>
      <c r="AA39" s="59" t="n">
        <v>45926</v>
      </c>
      <c r="AB39" s="59" t="n">
        <v>46381</v>
      </c>
    </row>
    <row r="40">
      <c r="D40" s="36" t="inlineStr">
        <is>
          <t>Maven @ 806</t>
        </is>
      </c>
      <c r="E40" s="54" t="inlineStr">
        <is>
          <t>CL - 806-20</t>
        </is>
      </c>
      <c r="F40" s="54" t="inlineStr">
        <is>
          <t>1x1A_C</t>
        </is>
      </c>
      <c r="G40" s="54" t="inlineStr">
        <is>
          <t>1 BD / 1 BA</t>
        </is>
      </c>
      <c r="K40" s="36" t="inlineStr">
        <is>
          <t>Keaton, Aniya</t>
        </is>
      </c>
      <c r="L40" s="55" t="n">
        <v>515</v>
      </c>
      <c r="M40" s="56" t="n">
        <v>1</v>
      </c>
      <c r="N40" s="56" t="n">
        <v>1</v>
      </c>
      <c r="Q40" s="57" t="inlineStr">
        <is>
          <t>Occ</t>
        </is>
      </c>
      <c r="U40" s="58" t="n">
        <v>1114</v>
      </c>
      <c r="V40" s="58" t="n">
        <v>1114</v>
      </c>
      <c r="W40" s="58" t="n">
        <v>0</v>
      </c>
      <c r="X40" s="58" t="n">
        <v>0</v>
      </c>
      <c r="Y40" s="58" t="n">
        <v>131</v>
      </c>
      <c r="Z40" s="59" t="n">
        <v>45836</v>
      </c>
      <c r="AA40" s="59" t="n">
        <v>45836</v>
      </c>
      <c r="AB40" s="59" t="n">
        <v>46200</v>
      </c>
    </row>
    <row r="41">
      <c r="D41" s="36" t="inlineStr">
        <is>
          <t>Maven @ 806</t>
        </is>
      </c>
      <c r="E41" s="54" t="inlineStr">
        <is>
          <t>CL - 806-21</t>
        </is>
      </c>
      <c r="F41" s="54" t="inlineStr">
        <is>
          <t>1x1A_C</t>
        </is>
      </c>
      <c r="G41" s="54" t="inlineStr">
        <is>
          <t>1 BD / 1 BA</t>
        </is>
      </c>
      <c r="K41" s="36" t="inlineStr">
        <is>
          <t>Sanchez Hernandez, Jose Adolfo</t>
        </is>
      </c>
      <c r="L41" s="55" t="n">
        <v>515</v>
      </c>
      <c r="M41" s="56" t="n">
        <v>1</v>
      </c>
      <c r="N41" s="56" t="n">
        <v>1</v>
      </c>
      <c r="Q41" s="57" t="inlineStr">
        <is>
          <t>Occ</t>
        </is>
      </c>
      <c r="U41" s="58" t="n">
        <v>1169</v>
      </c>
      <c r="V41" s="58" t="n">
        <v>1245</v>
      </c>
      <c r="W41" s="58" t="n">
        <v>0</v>
      </c>
      <c r="X41" s="58" t="n">
        <v>0</v>
      </c>
      <c r="Y41" s="58" t="n">
        <v>99</v>
      </c>
      <c r="Z41" s="59" t="n">
        <v>45623</v>
      </c>
      <c r="AA41" s="59" t="n">
        <v>45988</v>
      </c>
      <c r="AB41" s="59" t="n">
        <v>46352</v>
      </c>
    </row>
    <row r="42">
      <c r="D42" s="36" t="inlineStr">
        <is>
          <t>Maven @ 806</t>
        </is>
      </c>
      <c r="E42" s="54" t="inlineStr">
        <is>
          <t>CL - 806-22</t>
        </is>
      </c>
      <c r="F42" s="54" t="inlineStr">
        <is>
          <t>1x1A_C</t>
        </is>
      </c>
      <c r="G42" s="54" t="inlineStr">
        <is>
          <t>1 BD / 1 BA</t>
        </is>
      </c>
      <c r="K42" s="36" t="inlineStr">
        <is>
          <t>Sablas, Mary</t>
        </is>
      </c>
      <c r="L42" s="55" t="n">
        <v>748</v>
      </c>
      <c r="M42" s="56" t="n">
        <v>1</v>
      </c>
      <c r="N42" s="56" t="n">
        <v>1</v>
      </c>
      <c r="Q42" s="57" t="inlineStr">
        <is>
          <t>Occ</t>
        </is>
      </c>
      <c r="U42" s="58" t="n">
        <v>1109</v>
      </c>
      <c r="V42" s="58" t="n">
        <v>1059</v>
      </c>
      <c r="W42" s="58" t="n">
        <v>0</v>
      </c>
      <c r="X42" s="58" t="n">
        <v>0</v>
      </c>
      <c r="Y42" s="58" t="n">
        <v>134</v>
      </c>
      <c r="Z42" s="59" t="n">
        <v>45308</v>
      </c>
      <c r="AA42" s="59" t="n">
        <v>46039</v>
      </c>
      <c r="AB42" s="59" t="n">
        <v>46493</v>
      </c>
    </row>
    <row r="43">
      <c r="D43" s="36" t="inlineStr">
        <is>
          <t>Maven @ 806</t>
        </is>
      </c>
      <c r="E43" s="54" t="inlineStr">
        <is>
          <t>CL - 806-23</t>
        </is>
      </c>
      <c r="F43" s="54" t="inlineStr">
        <is>
          <t>2x1A_C</t>
        </is>
      </c>
      <c r="G43" s="54" t="inlineStr">
        <is>
          <t>2 BD / 1 BA</t>
        </is>
      </c>
      <c r="K43" s="36" t="inlineStr">
        <is>
          <t>Sell, Miranda</t>
        </is>
      </c>
      <c r="L43" s="55" t="n">
        <v>888</v>
      </c>
      <c r="M43" s="56" t="n">
        <v>2</v>
      </c>
      <c r="N43" s="56" t="n">
        <v>1</v>
      </c>
      <c r="Q43" s="57" t="inlineStr">
        <is>
          <t>Occ</t>
        </is>
      </c>
      <c r="U43" s="58" t="n">
        <v>1384</v>
      </c>
      <c r="V43" s="58" t="n">
        <v>1384</v>
      </c>
      <c r="W43" s="58" t="n">
        <v>0</v>
      </c>
      <c r="X43" s="58" t="n">
        <v>0</v>
      </c>
      <c r="Y43" s="58" t="n">
        <v>134</v>
      </c>
      <c r="Z43" s="59" t="n">
        <v>45990</v>
      </c>
      <c r="AA43" s="59" t="n">
        <v>45990</v>
      </c>
      <c r="AB43" s="59" t="n">
        <v>46354</v>
      </c>
    </row>
    <row r="44">
      <c r="D44" s="36" t="inlineStr">
        <is>
          <t>Maven @ 806</t>
        </is>
      </c>
      <c r="E44" s="54" t="inlineStr">
        <is>
          <t>CL - 806-24</t>
        </is>
      </c>
      <c r="F44" s="54" t="inlineStr">
        <is>
          <t>2x1A_C</t>
        </is>
      </c>
      <c r="G44" s="54" t="inlineStr">
        <is>
          <t>2 BD / 1 BA</t>
        </is>
      </c>
      <c r="K44" s="36" t="inlineStr">
        <is>
          <t>-- Vacant --</t>
        </is>
      </c>
      <c r="L44" s="55" t="n">
        <v>683</v>
      </c>
      <c r="M44" s="56" t="n">
        <v>2</v>
      </c>
      <c r="N44" s="56" t="n">
        <v>1</v>
      </c>
      <c r="Q44" s="57" t="inlineStr">
        <is>
          <t>Vac</t>
        </is>
      </c>
      <c r="U44" s="58" t="n">
        <v>1355</v>
      </c>
      <c r="V44" s="58" t="n">
        <v>0</v>
      </c>
      <c r="W44" s="58" t="n">
        <v>0</v>
      </c>
      <c r="X44" s="58" t="n">
        <v>0</v>
      </c>
      <c r="Y44" s="58" t="n">
        <v>0</v>
      </c>
    </row>
    <row r="45">
      <c r="D45" s="36" t="inlineStr">
        <is>
          <t>Maven @ 806</t>
        </is>
      </c>
      <c r="E45" s="54" t="inlineStr">
        <is>
          <t>CL - 806-25</t>
        </is>
      </c>
      <c r="F45" s="54" t="inlineStr">
        <is>
          <t>2x1A_C</t>
        </is>
      </c>
      <c r="G45" s="54" t="inlineStr">
        <is>
          <t>2 BD / 1 BA</t>
        </is>
      </c>
      <c r="K45" s="36" t="inlineStr">
        <is>
          <t>Williams, Andre</t>
        </is>
      </c>
      <c r="L45" s="55" t="n">
        <v>781</v>
      </c>
      <c r="M45" s="56" t="n">
        <v>2</v>
      </c>
      <c r="N45" s="56" t="n">
        <v>1</v>
      </c>
      <c r="Q45" s="57" t="inlineStr">
        <is>
          <t>Occ</t>
        </is>
      </c>
      <c r="U45" s="58" t="n">
        <v>1314</v>
      </c>
      <c r="V45" s="58" t="n">
        <v>1184</v>
      </c>
      <c r="W45" s="58" t="n">
        <v>0</v>
      </c>
      <c r="X45" s="58" t="n">
        <v>0</v>
      </c>
      <c r="Y45" s="58" t="n">
        <v>169</v>
      </c>
      <c r="Z45" s="59" t="n">
        <v>45717</v>
      </c>
      <c r="AA45" s="59" t="n">
        <v>46082</v>
      </c>
      <c r="AB45" s="59" t="n">
        <v>46446</v>
      </c>
    </row>
    <row r="46">
      <c r="D46" s="36" t="inlineStr">
        <is>
          <t>Maven @ 806</t>
        </is>
      </c>
      <c r="E46" s="54" t="inlineStr">
        <is>
          <t>CL - 806-26</t>
        </is>
      </c>
      <c r="F46" s="54" t="inlineStr">
        <is>
          <t>2x1A_C</t>
        </is>
      </c>
      <c r="G46" s="54" t="inlineStr">
        <is>
          <t>2 BD / 1 BA</t>
        </is>
      </c>
      <c r="K46" s="36" t="inlineStr">
        <is>
          <t>Hausley, Isaiah</t>
        </is>
      </c>
      <c r="L46" s="55" t="n">
        <v>685</v>
      </c>
      <c r="M46" s="56" t="n">
        <v>2</v>
      </c>
      <c r="N46" s="56" t="n">
        <v>1</v>
      </c>
      <c r="Q46" s="57" t="inlineStr">
        <is>
          <t>Occ</t>
        </is>
      </c>
      <c r="U46" s="58" t="n">
        <v>1364</v>
      </c>
      <c r="V46" s="58" t="n">
        <v>1255</v>
      </c>
      <c r="W46" s="58" t="n">
        <v>0</v>
      </c>
      <c r="X46" s="58" t="n">
        <v>0</v>
      </c>
      <c r="Y46" s="58" t="n">
        <v>134</v>
      </c>
      <c r="Z46" s="59" t="n">
        <v>44909</v>
      </c>
      <c r="AA46" s="59" t="n">
        <v>46039</v>
      </c>
      <c r="AB46" s="59" t="n">
        <v>46403</v>
      </c>
    </row>
    <row r="47">
      <c r="D47" s="36" t="inlineStr">
        <is>
          <t>Maven @ 806</t>
        </is>
      </c>
      <c r="E47" s="54" t="inlineStr">
        <is>
          <t>CL - 806-27</t>
        </is>
      </c>
      <c r="F47" s="54" t="inlineStr">
        <is>
          <t>1x1A_C</t>
        </is>
      </c>
      <c r="G47" s="54" t="inlineStr">
        <is>
          <t>1 BD / 1 BA</t>
        </is>
      </c>
      <c r="K47" s="36" t="inlineStr">
        <is>
          <t>West, Brayden</t>
        </is>
      </c>
      <c r="L47" s="55" t="n">
        <v>516</v>
      </c>
      <c r="M47" s="56" t="n">
        <v>1</v>
      </c>
      <c r="N47" s="56" t="n">
        <v>1</v>
      </c>
      <c r="Q47" s="57" t="inlineStr">
        <is>
          <t>Occ</t>
        </is>
      </c>
      <c r="U47" s="58" t="n">
        <v>1149</v>
      </c>
      <c r="V47" s="58" t="n">
        <v>1149</v>
      </c>
      <c r="W47" s="58" t="n">
        <v>0</v>
      </c>
      <c r="X47" s="58" t="n">
        <v>0</v>
      </c>
      <c r="Y47" s="58" t="n">
        <v>134</v>
      </c>
      <c r="Z47" s="59" t="n">
        <v>45869</v>
      </c>
      <c r="AA47" s="59" t="n">
        <v>45869</v>
      </c>
      <c r="AB47" s="59" t="n">
        <v>46233</v>
      </c>
    </row>
    <row r="48">
      <c r="D48" s="36" t="inlineStr">
        <is>
          <t>Maven @ 806</t>
        </is>
      </c>
      <c r="E48" s="54" t="inlineStr">
        <is>
          <t>CL - 806-28</t>
        </is>
      </c>
      <c r="F48" s="54" t="inlineStr">
        <is>
          <t>2x1A_C</t>
        </is>
      </c>
      <c r="G48" s="54" t="inlineStr">
        <is>
          <t>2 BD / 1 BA</t>
        </is>
      </c>
      <c r="K48" s="36" t="inlineStr">
        <is>
          <t>-- Vacant --</t>
        </is>
      </c>
      <c r="L48" s="55" t="n">
        <v>775</v>
      </c>
      <c r="M48" s="56" t="n">
        <v>2</v>
      </c>
      <c r="N48" s="56" t="n">
        <v>1</v>
      </c>
      <c r="Q48" s="57" t="inlineStr">
        <is>
          <t>Vac</t>
        </is>
      </c>
      <c r="U48" s="58" t="n">
        <v>1355</v>
      </c>
      <c r="V48" s="58" t="n">
        <v>0</v>
      </c>
      <c r="W48" s="58" t="n">
        <v>0</v>
      </c>
      <c r="X48" s="58" t="n">
        <v>0</v>
      </c>
      <c r="Y48" s="58" t="n">
        <v>0</v>
      </c>
    </row>
    <row r="49">
      <c r="D49" s="36" t="inlineStr">
        <is>
          <t>Maven @ 806</t>
        </is>
      </c>
      <c r="E49" s="54" t="inlineStr">
        <is>
          <t>CL - 806-29</t>
        </is>
      </c>
      <c r="F49" s="54" t="inlineStr">
        <is>
          <t>2x1A_C</t>
        </is>
      </c>
      <c r="G49" s="54" t="inlineStr">
        <is>
          <t>2 BD / 1 BA</t>
        </is>
      </c>
      <c r="K49" s="36" t="inlineStr">
        <is>
          <t>Ndiaye, Omar</t>
        </is>
      </c>
      <c r="L49" s="55" t="n">
        <v>712</v>
      </c>
      <c r="M49" s="56" t="n">
        <v>2</v>
      </c>
      <c r="N49" s="56" t="n">
        <v>1</v>
      </c>
      <c r="Q49" s="57" t="inlineStr">
        <is>
          <t>Occ</t>
        </is>
      </c>
      <c r="U49" s="58" t="n">
        <v>1349</v>
      </c>
      <c r="V49" s="58" t="n">
        <v>1330</v>
      </c>
      <c r="W49" s="58" t="n">
        <v>0</v>
      </c>
      <c r="X49" s="58" t="n">
        <v>0</v>
      </c>
      <c r="Y49" s="58" t="n">
        <v>96</v>
      </c>
      <c r="Z49" s="59" t="n">
        <v>45120</v>
      </c>
      <c r="AA49" s="59" t="n">
        <v>45851</v>
      </c>
      <c r="AB49" s="59" t="n">
        <v>46215</v>
      </c>
    </row>
    <row r="50">
      <c r="D50" s="36" t="inlineStr">
        <is>
          <t>Maven @ 806</t>
        </is>
      </c>
      <c r="E50" s="54" t="inlineStr">
        <is>
          <t>CL - 806-30</t>
        </is>
      </c>
      <c r="F50" s="54" t="inlineStr">
        <is>
          <t>1x1A_C</t>
        </is>
      </c>
      <c r="G50" s="54" t="inlineStr">
        <is>
          <t>1 BD / 1 BA</t>
        </is>
      </c>
      <c r="K50" s="36" t="inlineStr">
        <is>
          <t>Ogundipe, Eniola</t>
        </is>
      </c>
      <c r="L50" s="55" t="n">
        <v>712</v>
      </c>
      <c r="M50" s="56" t="n">
        <v>1</v>
      </c>
      <c r="N50" s="56" t="n">
        <v>1</v>
      </c>
      <c r="Q50" s="57" t="inlineStr">
        <is>
          <t>Occ</t>
        </is>
      </c>
      <c r="U50" s="58" t="n">
        <v>1124</v>
      </c>
      <c r="V50" s="58" t="n">
        <v>1185</v>
      </c>
      <c r="W50" s="58" t="n">
        <v>0</v>
      </c>
      <c r="X50" s="58" t="n">
        <v>0</v>
      </c>
      <c r="Y50" s="58" t="n">
        <v>131</v>
      </c>
      <c r="Z50" s="59" t="n">
        <v>45077</v>
      </c>
      <c r="AA50" s="59" t="n">
        <v>45808</v>
      </c>
      <c r="AB50" s="59" t="n">
        <v>46172</v>
      </c>
    </row>
    <row r="51">
      <c r="D51" s="36" t="inlineStr">
        <is>
          <t>Maven @ 806</t>
        </is>
      </c>
      <c r="E51" s="54" t="inlineStr">
        <is>
          <t>CL - 806-31</t>
        </is>
      </c>
      <c r="F51" s="54" t="inlineStr">
        <is>
          <t>2x1A_C</t>
        </is>
      </c>
      <c r="G51" s="54" t="inlineStr">
        <is>
          <t>2 BD / 1 BA</t>
        </is>
      </c>
      <c r="K51" s="36" t="inlineStr">
        <is>
          <t>HUTZELL, LILLIAN</t>
        </is>
      </c>
      <c r="L51" s="55" t="n">
        <v>781</v>
      </c>
      <c r="M51" s="56" t="n">
        <v>2</v>
      </c>
      <c r="N51" s="56" t="n">
        <v>1</v>
      </c>
      <c r="Q51" s="57" t="inlineStr">
        <is>
          <t>Occ</t>
        </is>
      </c>
      <c r="U51" s="58" t="n">
        <v>1349</v>
      </c>
      <c r="V51" s="58" t="n">
        <v>1355</v>
      </c>
      <c r="W51" s="58" t="n">
        <v>0</v>
      </c>
      <c r="X51" s="58" t="n">
        <v>0</v>
      </c>
      <c r="Y51" s="58" t="n">
        <v>169</v>
      </c>
      <c r="Z51" s="59" t="n">
        <v>44678</v>
      </c>
      <c r="AA51" s="59" t="n">
        <v>46139</v>
      </c>
      <c r="AB51" s="59" t="n">
        <v>46503</v>
      </c>
    </row>
    <row r="52">
      <c r="D52" s="36" t="inlineStr">
        <is>
          <t>Maven @ 806</t>
        </is>
      </c>
      <c r="E52" s="54" t="inlineStr">
        <is>
          <t>CL - 806-32</t>
        </is>
      </c>
      <c r="F52" s="54" t="inlineStr">
        <is>
          <t>2x1A_C</t>
        </is>
      </c>
      <c r="G52" s="54" t="inlineStr">
        <is>
          <t>2 BD / 1 BA</t>
        </is>
      </c>
      <c r="K52" s="36" t="inlineStr">
        <is>
          <t>La Flower, Michael</t>
        </is>
      </c>
      <c r="L52" s="55" t="n">
        <v>686</v>
      </c>
      <c r="M52" s="56" t="n">
        <v>2</v>
      </c>
      <c r="N52" s="56" t="n">
        <v>1</v>
      </c>
      <c r="Q52" s="57" t="inlineStr">
        <is>
          <t>Occ</t>
        </is>
      </c>
      <c r="U52" s="58" t="n">
        <v>1334</v>
      </c>
      <c r="V52" s="58" t="n">
        <v>1334</v>
      </c>
      <c r="W52" s="58" t="n">
        <v>0</v>
      </c>
      <c r="X52" s="58" t="n">
        <v>0</v>
      </c>
      <c r="Y52" s="58" t="n">
        <v>134</v>
      </c>
      <c r="Z52" s="59" t="n">
        <v>45898</v>
      </c>
      <c r="AA52" s="59" t="n">
        <v>45898</v>
      </c>
      <c r="AB52" s="59" t="n">
        <v>46262</v>
      </c>
    </row>
    <row r="53">
      <c r="D53" s="36" t="inlineStr">
        <is>
          <t>Maven @ 806</t>
        </is>
      </c>
      <c r="E53" s="54" t="inlineStr">
        <is>
          <t>CL - 806-33</t>
        </is>
      </c>
      <c r="F53" s="54" t="inlineStr">
        <is>
          <t>1x1A_C</t>
        </is>
      </c>
      <c r="G53" s="54" t="inlineStr">
        <is>
          <t>1 BD / 1 BA</t>
        </is>
      </c>
      <c r="K53" s="36" t="inlineStr">
        <is>
          <t>Bowman, Katherine</t>
        </is>
      </c>
      <c r="L53" s="55" t="n">
        <v>516</v>
      </c>
      <c r="M53" s="56" t="n">
        <v>1</v>
      </c>
      <c r="N53" s="56" t="n">
        <v>1</v>
      </c>
      <c r="Q53" s="57" t="inlineStr">
        <is>
          <t>Occ</t>
        </is>
      </c>
      <c r="U53" s="58" t="n">
        <v>1124</v>
      </c>
      <c r="V53" s="58" t="n">
        <v>1124</v>
      </c>
      <c r="W53" s="58" t="n">
        <v>0</v>
      </c>
      <c r="X53" s="58" t="n">
        <v>0</v>
      </c>
      <c r="Y53" s="58" t="n">
        <v>131</v>
      </c>
      <c r="Z53" s="59" t="n">
        <v>45821</v>
      </c>
      <c r="AA53" s="59" t="n">
        <v>45821</v>
      </c>
      <c r="AB53" s="59" t="n">
        <v>46186</v>
      </c>
    </row>
    <row r="54">
      <c r="D54" s="36" t="inlineStr">
        <is>
          <t>Maven @ 806</t>
        </is>
      </c>
      <c r="E54" s="54" t="inlineStr">
        <is>
          <t>CL - 806-34</t>
        </is>
      </c>
      <c r="F54" s="54" t="inlineStr">
        <is>
          <t>2x1A_C</t>
        </is>
      </c>
      <c r="G54" s="54" t="inlineStr">
        <is>
          <t>2 BD / 1 BA</t>
        </is>
      </c>
      <c r="K54" s="36" t="inlineStr">
        <is>
          <t>Asher, Derrick</t>
        </is>
      </c>
      <c r="L54" s="55" t="n">
        <v>748</v>
      </c>
      <c r="M54" s="56" t="n">
        <v>2</v>
      </c>
      <c r="N54" s="56" t="n">
        <v>1</v>
      </c>
      <c r="Q54" s="57" t="inlineStr">
        <is>
          <t>Occ</t>
        </is>
      </c>
      <c r="U54" s="58" t="n">
        <v>1334</v>
      </c>
      <c r="V54" s="58" t="n">
        <v>1334</v>
      </c>
      <c r="W54" s="58" t="n">
        <v>0</v>
      </c>
      <c r="X54" s="58" t="n">
        <v>0</v>
      </c>
      <c r="Y54" s="58" t="n">
        <v>131</v>
      </c>
      <c r="Z54" s="59" t="n">
        <v>45855</v>
      </c>
      <c r="AA54" s="59" t="n">
        <v>45855</v>
      </c>
      <c r="AB54" s="59" t="n">
        <v>46219</v>
      </c>
    </row>
    <row r="55">
      <c r="D55" s="36" t="inlineStr">
        <is>
          <t>Maven @ 806</t>
        </is>
      </c>
      <c r="E55" s="54" t="inlineStr">
        <is>
          <t>CL - 806-35</t>
        </is>
      </c>
      <c r="F55" s="54" t="inlineStr">
        <is>
          <t>2x1A_C</t>
        </is>
      </c>
      <c r="G55" s="54" t="inlineStr">
        <is>
          <t>2 BD / 1 BA</t>
        </is>
      </c>
      <c r="K55" s="36" t="inlineStr">
        <is>
          <t>Mack, Morgan</t>
        </is>
      </c>
      <c r="L55" s="55" t="n">
        <v>1078</v>
      </c>
      <c r="M55" s="56" t="n">
        <v>2</v>
      </c>
      <c r="N55" s="56" t="n">
        <v>1</v>
      </c>
      <c r="Q55" s="57" t="inlineStr">
        <is>
          <t>Occ</t>
        </is>
      </c>
      <c r="U55" s="58" t="n">
        <v>1394</v>
      </c>
      <c r="V55" s="58" t="n">
        <v>1394</v>
      </c>
      <c r="W55" s="58" t="n">
        <v>0</v>
      </c>
      <c r="X55" s="58" t="n">
        <v>0</v>
      </c>
      <c r="Y55" s="58" t="n">
        <v>134</v>
      </c>
      <c r="Z55" s="59" t="n">
        <v>46112</v>
      </c>
      <c r="AA55" s="59" t="n">
        <v>46112</v>
      </c>
      <c r="AB55" s="59" t="n">
        <v>46476</v>
      </c>
    </row>
    <row r="56">
      <c r="D56" s="36" t="inlineStr">
        <is>
          <t>Maven @ 806</t>
        </is>
      </c>
      <c r="E56" s="54" t="inlineStr">
        <is>
          <t>CL - 816-1</t>
        </is>
      </c>
      <c r="F56" s="54" t="inlineStr">
        <is>
          <t>1x1A_C</t>
        </is>
      </c>
      <c r="G56" s="54" t="inlineStr">
        <is>
          <t>1 BD / 1 BA</t>
        </is>
      </c>
      <c r="K56" s="36" t="inlineStr">
        <is>
          <t>Miller, Brian</t>
        </is>
      </c>
      <c r="L56" s="55" t="n">
        <v>540</v>
      </c>
      <c r="M56" s="56" t="n">
        <v>1</v>
      </c>
      <c r="N56" s="56" t="n">
        <v>1</v>
      </c>
      <c r="Q56" s="57" t="inlineStr">
        <is>
          <t>Occ</t>
        </is>
      </c>
      <c r="U56" s="58" t="n">
        <v>1189</v>
      </c>
      <c r="V56" s="58" t="n">
        <v>1300</v>
      </c>
      <c r="W56" s="58" t="n">
        <v>0</v>
      </c>
      <c r="X56" s="58" t="n">
        <v>0</v>
      </c>
      <c r="Y56" s="58" t="n">
        <v>284</v>
      </c>
      <c r="Z56" s="59" t="n">
        <v>45595</v>
      </c>
      <c r="AA56" s="59" t="n">
        <v>45960</v>
      </c>
      <c r="AB56" s="59" t="n">
        <v>46416</v>
      </c>
    </row>
    <row r="57">
      <c r="D57" s="36" t="inlineStr">
        <is>
          <t>Maven @ 806</t>
        </is>
      </c>
      <c r="E57" s="54" t="inlineStr">
        <is>
          <t>CL - 816-2</t>
        </is>
      </c>
      <c r="F57" s="54" t="inlineStr">
        <is>
          <t>1x1A_C</t>
        </is>
      </c>
      <c r="G57" s="54" t="inlineStr">
        <is>
          <t>1 BD / 1 BA</t>
        </is>
      </c>
      <c r="K57" s="36" t="inlineStr">
        <is>
          <t>Holbrook, Kendrick</t>
        </is>
      </c>
      <c r="L57" s="55" t="n">
        <v>775</v>
      </c>
      <c r="M57" s="56" t="n">
        <v>1</v>
      </c>
      <c r="N57" s="56" t="n">
        <v>1</v>
      </c>
      <c r="Q57" s="57" t="inlineStr">
        <is>
          <t>Occ</t>
        </is>
      </c>
      <c r="U57" s="58" t="n">
        <v>1189</v>
      </c>
      <c r="V57" s="58" t="n">
        <v>1145</v>
      </c>
      <c r="W57" s="58" t="n">
        <v>0</v>
      </c>
      <c r="X57" s="58" t="n">
        <v>0</v>
      </c>
      <c r="Y57" s="58" t="n">
        <v>311</v>
      </c>
      <c r="Z57" s="59" t="n">
        <v>45456</v>
      </c>
      <c r="AA57" s="59" t="n">
        <v>45821</v>
      </c>
      <c r="AB57" s="59" t="n">
        <v>46185</v>
      </c>
    </row>
    <row r="58">
      <c r="D58" s="36" t="inlineStr">
        <is>
          <t>Maven @ 806</t>
        </is>
      </c>
      <c r="E58" s="54" t="inlineStr">
        <is>
          <t>CL - 816-3</t>
        </is>
      </c>
      <c r="F58" s="54" t="inlineStr">
        <is>
          <t>1x1A_C</t>
        </is>
      </c>
      <c r="G58" s="54" t="inlineStr">
        <is>
          <t>1 BD / 1 BA</t>
        </is>
      </c>
      <c r="K58" s="36" t="inlineStr">
        <is>
          <t>Bariff, Mae</t>
        </is>
      </c>
      <c r="L58" s="55" t="n">
        <v>775</v>
      </c>
      <c r="M58" s="56" t="n">
        <v>1</v>
      </c>
      <c r="N58" s="56" t="n">
        <v>1</v>
      </c>
      <c r="Q58" s="57" t="inlineStr">
        <is>
          <t>Occ</t>
        </is>
      </c>
      <c r="U58" s="58" t="n">
        <v>1189</v>
      </c>
      <c r="V58" s="58" t="n">
        <v>1189</v>
      </c>
      <c r="W58" s="58" t="n">
        <v>0</v>
      </c>
      <c r="X58" s="58" t="n">
        <v>0</v>
      </c>
      <c r="Y58" s="58" t="n">
        <v>284</v>
      </c>
      <c r="Z58" s="59" t="n">
        <v>45838</v>
      </c>
      <c r="AA58" s="59" t="n">
        <v>45838</v>
      </c>
      <c r="AB58" s="59" t="n">
        <v>46232</v>
      </c>
    </row>
    <row r="59">
      <c r="C59" s="60" t="inlineStr">
        <is>
          <t>Total / Wtd. Average</t>
        </is>
      </c>
      <c r="D59" s="61" t="n"/>
      <c r="E59" s="61" t="n"/>
      <c r="F59" s="61" t="n"/>
      <c r="G59" s="62" t="n">
        <v>51</v>
      </c>
      <c r="H59" s="61" t="n"/>
      <c r="I59" s="61" t="n"/>
      <c r="J59" s="61" t="n"/>
      <c r="K59" s="61" t="n"/>
      <c r="L59" s="63" t="n">
        <v>38376</v>
      </c>
      <c r="M59" s="61" t="n"/>
      <c r="N59" s="61" t="n"/>
      <c r="O59" s="61" t="n"/>
      <c r="P59" s="61" t="n"/>
      <c r="Q59" s="61" t="n"/>
      <c r="R59" s="61" t="n"/>
      <c r="S59" s="61" t="n"/>
      <c r="T59" s="61" t="n"/>
      <c r="U59" s="64" t="n">
        <v>66209</v>
      </c>
      <c r="V59" s="64" t="n">
        <v>51660.3</v>
      </c>
      <c r="W59" s="64" t="n">
        <v>-374.7</v>
      </c>
      <c r="X59" s="64" t="n">
        <v>0</v>
      </c>
      <c r="Y59" s="64" t="n">
        <v>6361</v>
      </c>
      <c r="Z59" s="61" t="n"/>
      <c r="AA59" s="61" t="n"/>
      <c r="AB59" s="61" t="n"/>
      <c r="AC59" s="61" t="n"/>
      <c r="AD59" s="61" t="n"/>
      <c r="AE59" s="65" t="n">
        <v>0</v>
      </c>
      <c r="AF59" s="65" t="n">
        <v>0</v>
      </c>
      <c r="AG59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S82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1 BD / 1 BA</t>
        </is>
      </c>
      <c r="D5" s="72" t="inlineStr">
        <is>
          <t>1x1B_C</t>
        </is>
      </c>
      <c r="E5" s="73" t="n">
        <v>1</v>
      </c>
      <c r="F5" s="74" t="n">
        <v>1</v>
      </c>
      <c r="G5" s="73" t="inlineStr">
        <is>
          <t>No</t>
        </is>
      </c>
      <c r="H5" s="75">
        <f>COUNTIFS($D$32:$D$82,$C5)</f>
        <v/>
      </c>
      <c r="I5" s="75">
        <f>COUNTIFS($D$32:$D$82,$C5,$C$32:$C$82,"Occ")+COUNTIFS($D$32:$D$82,$C5,$C$32:$C$82,"Admin")+COUNTIFS($D$32:$D$82,$C5,$C$32:$C$82,"Down")+COUNTIFS($D$32:$D$82,$C5,$C$32:$C$82,"Super")+COUNTIFS($D$32:$D$82,$C5,$C$32:$C$82,"Model")</f>
        <v/>
      </c>
      <c r="J5" s="75">
        <f>COUNTIFS($D$32:$D$82,$C5,$C$32:$C$82,"Vac")</f>
        <v/>
      </c>
      <c r="K5" s="75">
        <f>IFERROR(AVERAGEIFS($J$32:$J$82,$D$32:$D$82,$C5),"n/a")</f>
        <v/>
      </c>
      <c r="L5" s="75">
        <f>SUMIFS($J$32:$J$82,$D$32:$D$82,$C5)</f>
        <v/>
      </c>
      <c r="M5" s="75">
        <f>SUMIFS($J$32:$J$82,$D$32:$D$82,$C5,$C$32:$C$82,"Occ")+SUMIFS($J$32:$J$82,$D$32:$D$82,$C5,$C$32:$C$82,"Admin")+SUMIFS($J$32:$J$82,$D$32:$D$82,$C5,$C$32:$C$82,"Down")+SUMIFS($J$32:$J$82,$D$32:$D$82,$C5,$C$32:$C$82,"Super")+SUMIFS($J$32:$J$82,$D$32:$D$82,$C5,$C$32:$C$82,"Model")</f>
        <v/>
      </c>
      <c r="N5" s="75">
        <f>SUMIFS($J$32:$J$82,$D$32:$D$82,$C5,$C$32:$C$82,"Vac")</f>
        <v/>
      </c>
      <c r="O5" s="75">
        <f>SUMIFS($L$32:$L$82,$D$32:$D$82,$C5)</f>
        <v/>
      </c>
      <c r="P5" s="75">
        <f>SUMIFS($M$32:$M$82,$D$32:$D$82,$C5)</f>
        <v/>
      </c>
      <c r="Q5" s="75">
        <f>SUMIFS($R$32:$R$82,$D$32:$D$82,$C5)</f>
        <v/>
      </c>
      <c r="R5" s="75">
        <f>SUMIFS($S$32:$S$82,$D$32:$D$82,$C5)</f>
        <v/>
      </c>
      <c r="S5" s="75">
        <f>SUMIFS($T$32:$T$82,$D$32:$D$82,$C5)</f>
        <v/>
      </c>
    </row>
    <row r="6">
      <c r="C6" s="71" t="inlineStr">
        <is>
          <t>1 BD / 1 BA</t>
        </is>
      </c>
      <c r="D6" s="72" t="inlineStr">
        <is>
          <t>1x1A_C</t>
        </is>
      </c>
      <c r="E6" s="73" t="n">
        <v>1</v>
      </c>
      <c r="F6" s="74" t="n">
        <v>1</v>
      </c>
      <c r="G6" s="73" t="inlineStr">
        <is>
          <t>No</t>
        </is>
      </c>
      <c r="H6" s="75">
        <f>COUNTIFS($D$32:$D$82,$C6)</f>
        <v/>
      </c>
      <c r="I6" s="75">
        <f>COUNTIFS($D$32:$D$82,$C6,$C$32:$C$82,"Occ")+COUNTIFS($D$32:$D$82,$C6,$C$32:$C$82,"Admin")+COUNTIFS($D$32:$D$82,$C6,$C$32:$C$82,"Down")+COUNTIFS($D$32:$D$82,$C6,$C$32:$C$82,"Super")+COUNTIFS($D$32:$D$82,$C6,$C$32:$C$82,"Model")</f>
        <v/>
      </c>
      <c r="J6" s="75">
        <f>COUNTIFS($D$32:$D$82,$C6,$C$32:$C$82,"Vac")</f>
        <v/>
      </c>
      <c r="K6" s="75">
        <f>IFERROR(AVERAGEIFS($J$32:$J$82,$D$32:$D$82,$C6),"n/a")</f>
        <v/>
      </c>
      <c r="L6" s="75">
        <f>SUMIFS($J$32:$J$82,$D$32:$D$82,$C6)</f>
        <v/>
      </c>
      <c r="M6" s="75">
        <f>SUMIFS($J$32:$J$82,$D$32:$D$82,$C6,$C$32:$C$82,"Occ")+SUMIFS($J$32:$J$82,$D$32:$D$82,$C6,$C$32:$C$82,"Admin")+SUMIFS($J$32:$J$82,$D$32:$D$82,$C6,$C$32:$C$82,"Down")+SUMIFS($J$32:$J$82,$D$32:$D$82,$C6,$C$32:$C$82,"Super")+SUMIFS($J$32:$J$82,$D$32:$D$82,$C6,$C$32:$C$82,"Model")</f>
        <v/>
      </c>
      <c r="N6" s="75">
        <f>SUMIFS($J$32:$J$82,$D$32:$D$82,$C6,$C$32:$C$82,"Vac")</f>
        <v/>
      </c>
      <c r="O6" s="75">
        <f>SUMIFS($L$32:$L$82,$D$32:$D$82,$C6)</f>
        <v/>
      </c>
      <c r="P6" s="75">
        <f>SUMIFS($M$32:$M$82,$D$32:$D$82,$C6)</f>
        <v/>
      </c>
      <c r="Q6" s="75">
        <f>SUMIFS($R$32:$R$82,$D$32:$D$82,$C6)</f>
        <v/>
      </c>
      <c r="R6" s="75">
        <f>SUMIFS($S$32:$S$82,$D$32:$D$82,$C6)</f>
        <v/>
      </c>
      <c r="S6" s="75">
        <f>SUMIFS($T$32:$T$82,$D$32:$D$82,$C6)</f>
        <v/>
      </c>
    </row>
    <row r="7">
      <c r="C7" s="71" t="inlineStr">
        <is>
          <t>2 BD / 1 BA</t>
        </is>
      </c>
      <c r="D7" s="72" t="inlineStr">
        <is>
          <t>2x1A_C</t>
        </is>
      </c>
      <c r="E7" s="73" t="n">
        <v>2</v>
      </c>
      <c r="F7" s="74" t="n">
        <v>1</v>
      </c>
      <c r="G7" s="73" t="inlineStr">
        <is>
          <t>No</t>
        </is>
      </c>
      <c r="H7" s="75">
        <f>COUNTIFS($D$32:$D$82,$C7)</f>
        <v/>
      </c>
      <c r="I7" s="75">
        <f>COUNTIFS($D$32:$D$82,$C7,$C$32:$C$82,"Occ")+COUNTIFS($D$32:$D$82,$C7,$C$32:$C$82,"Admin")+COUNTIFS($D$32:$D$82,$C7,$C$32:$C$82,"Down")+COUNTIFS($D$32:$D$82,$C7,$C$32:$C$82,"Super")+COUNTIFS($D$32:$D$82,$C7,$C$32:$C$82,"Model")</f>
        <v/>
      </c>
      <c r="J7" s="75">
        <f>COUNTIFS($D$32:$D$82,$C7,$C$32:$C$82,"Vac")</f>
        <v/>
      </c>
      <c r="K7" s="75">
        <f>IFERROR(AVERAGEIFS($J$32:$J$82,$D$32:$D$82,$C7),"n/a")</f>
        <v/>
      </c>
      <c r="L7" s="75">
        <f>SUMIFS($J$32:$J$82,$D$32:$D$82,$C7)</f>
        <v/>
      </c>
      <c r="M7" s="75">
        <f>SUMIFS($J$32:$J$82,$D$32:$D$82,$C7,$C$32:$C$82,"Occ")+SUMIFS($J$32:$J$82,$D$32:$D$82,$C7,$C$32:$C$82,"Admin")+SUMIFS($J$32:$J$82,$D$32:$D$82,$C7,$C$32:$C$82,"Down")+SUMIFS($J$32:$J$82,$D$32:$D$82,$C7,$C$32:$C$82,"Super")+SUMIFS($J$32:$J$82,$D$32:$D$82,$C7,$C$32:$C$82,"Model")</f>
        <v/>
      </c>
      <c r="N7" s="75">
        <f>SUMIFS($J$32:$J$82,$D$32:$D$82,$C7,$C$32:$C$82,"Vac")</f>
        <v/>
      </c>
      <c r="O7" s="75">
        <f>SUMIFS($L$32:$L$82,$D$32:$D$82,$C7)</f>
        <v/>
      </c>
      <c r="P7" s="75">
        <f>SUMIFS($M$32:$M$82,$D$32:$D$82,$C7)</f>
        <v/>
      </c>
      <c r="Q7" s="75">
        <f>SUMIFS($R$32:$R$82,$D$32:$D$82,$C7)</f>
        <v/>
      </c>
      <c r="R7" s="75">
        <f>SUMIFS($S$32:$S$82,$D$32:$D$82,$C7)</f>
        <v/>
      </c>
      <c r="S7" s="75">
        <f>SUMIFS($T$32:$T$82,$D$32:$D$82,$C7)</f>
        <v/>
      </c>
    </row>
    <row r="8">
      <c r="C8" s="71" t="inlineStr">
        <is>
          <t>2 BD / 2 BA</t>
        </is>
      </c>
      <c r="D8" s="72" t="inlineStr">
        <is>
          <t>2x2B_C</t>
        </is>
      </c>
      <c r="E8" s="73" t="n">
        <v>2</v>
      </c>
      <c r="F8" s="74" t="n">
        <v>2</v>
      </c>
      <c r="G8" s="73" t="inlineStr">
        <is>
          <t>No</t>
        </is>
      </c>
      <c r="H8" s="75">
        <f>COUNTIFS($D$32:$D$82,$C8)</f>
        <v/>
      </c>
      <c r="I8" s="75">
        <f>COUNTIFS($D$32:$D$82,$C8,$C$32:$C$82,"Occ")+COUNTIFS($D$32:$D$82,$C8,$C$32:$C$82,"Admin")+COUNTIFS($D$32:$D$82,$C8,$C$32:$C$82,"Down")+COUNTIFS($D$32:$D$82,$C8,$C$32:$C$82,"Super")+COUNTIFS($D$32:$D$82,$C8,$C$32:$C$82,"Model")</f>
        <v/>
      </c>
      <c r="J8" s="75">
        <f>COUNTIFS($D$32:$D$82,$C8,$C$32:$C$82,"Vac")</f>
        <v/>
      </c>
      <c r="K8" s="75">
        <f>IFERROR(AVERAGEIFS($J$32:$J$82,$D$32:$D$82,$C8),"n/a")</f>
        <v/>
      </c>
      <c r="L8" s="75">
        <f>SUMIFS($J$32:$J$82,$D$32:$D$82,$C8)</f>
        <v/>
      </c>
      <c r="M8" s="75">
        <f>SUMIFS($J$32:$J$82,$D$32:$D$82,$C8,$C$32:$C$82,"Occ")+SUMIFS($J$32:$J$82,$D$32:$D$82,$C8,$C$32:$C$82,"Admin")+SUMIFS($J$32:$J$82,$D$32:$D$82,$C8,$C$32:$C$82,"Down")+SUMIFS($J$32:$J$82,$D$32:$D$82,$C8,$C$32:$C$82,"Super")+SUMIFS($J$32:$J$82,$D$32:$D$82,$C8,$C$32:$C$82,"Model")</f>
        <v/>
      </c>
      <c r="N8" s="75">
        <f>SUMIFS($J$32:$J$82,$D$32:$D$82,$C8,$C$32:$C$82,"Vac")</f>
        <v/>
      </c>
      <c r="O8" s="75">
        <f>SUMIFS($L$32:$L$82,$D$32:$D$82,$C8)</f>
        <v/>
      </c>
      <c r="P8" s="75">
        <f>SUMIFS($M$32:$M$82,$D$32:$D$82,$C8)</f>
        <v/>
      </c>
      <c r="Q8" s="75">
        <f>SUMIFS($R$32:$R$82,$D$32:$D$82,$C8)</f>
        <v/>
      </c>
      <c r="R8" s="75">
        <f>SUMIFS($S$32:$S$82,$D$32:$D$82,$C8)</f>
        <v/>
      </c>
      <c r="S8" s="75">
        <f>SUMIFS($T$32:$T$82,$D$32:$D$82,$C8)</f>
        <v/>
      </c>
    </row>
    <row r="9">
      <c r="C9" s="68" t="inlineStr">
        <is>
          <t>Totals</t>
        </is>
      </c>
      <c r="H9" s="76">
        <f>SUM(H5:H8)</f>
        <v/>
      </c>
      <c r="I9" s="76">
        <f>SUM(I5:I8)</f>
        <v/>
      </c>
      <c r="J9" s="76">
        <f>SUM(J5:J8)</f>
        <v/>
      </c>
      <c r="L9" s="76">
        <f>SUM(L5:L8)</f>
        <v/>
      </c>
      <c r="M9" s="76">
        <f>SUM(M5:M8)</f>
        <v/>
      </c>
      <c r="N9" s="76">
        <f>SUM(N5:N8)</f>
        <v/>
      </c>
      <c r="O9" s="76">
        <f>SUM(O5:O8)</f>
        <v/>
      </c>
      <c r="P9" s="76">
        <f>SUM(P5:P8)</f>
        <v/>
      </c>
      <c r="Q9" s="76">
        <f>SUM(Q5:Q8)</f>
        <v/>
      </c>
      <c r="R9" s="76">
        <f>SUM(R5:R8)</f>
        <v/>
      </c>
      <c r="S9" s="76">
        <f>SUM(S5:S8)</f>
        <v/>
      </c>
    </row>
    <row r="10">
      <c r="C10" s="68" t="inlineStr">
        <is>
          <t>%</t>
        </is>
      </c>
      <c r="I10" s="77">
        <f>I9/$H$9</f>
        <v/>
      </c>
      <c r="J10" s="77">
        <f>J9/$H$9</f>
        <v/>
      </c>
      <c r="M10" s="77">
        <f>IFERROR(M9/$L$9,"n/a")</f>
        <v/>
      </c>
      <c r="N10" s="77">
        <f>IFERROR(N9/$L$9,"n/a")</f>
        <v/>
      </c>
    </row>
    <row r="14">
      <c r="C14" s="78" t="inlineStr">
        <is>
          <t>Notes:</t>
        </is>
      </c>
    </row>
    <row r="15">
      <c r="C15" s="78" t="inlineStr">
        <is>
          <t>1. Vacant units market rent is the per-unit market/asking rent from the source.</t>
        </is>
      </c>
    </row>
    <row r="16">
      <c r="C16" s="78" t="inlineStr">
        <is>
          <t>2. BD/BA count is from the Unit Type mapping above (edit the yellow cells to adjust).</t>
        </is>
      </c>
    </row>
    <row r="21">
      <c r="C21" s="78" t="inlineStr">
        <is>
          <t>Property Name</t>
        </is>
      </c>
      <c r="D21" s="78" t="inlineStr">
        <is>
          <t>Maven @ 806</t>
        </is>
      </c>
    </row>
    <row r="22">
      <c r="C22" s="78" t="inlineStr">
        <is>
          <t>Rent Roll Date</t>
        </is>
      </c>
      <c r="D22" s="79" t="n">
        <v>46157</v>
      </c>
    </row>
    <row r="30">
      <c r="Y30" s="67" t="inlineStr">
        <is>
          <t>Rent</t>
        </is>
      </c>
      <c r="AB30" s="67" t="inlineStr">
        <is>
          <t>Other Income</t>
        </is>
      </c>
      <c r="AM30" s="67" t="inlineStr">
        <is>
          <t>Concessions</t>
        </is>
      </c>
      <c r="AS30" s="67" t="inlineStr">
        <is>
          <t>Employee Discounts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  <c r="AB31" s="67" t="inlineStr">
        <is>
          <t>Pet Fee</t>
        </is>
      </c>
      <c r="AC31" s="67" t="inlineStr">
        <is>
          <t>Laundry Income</t>
        </is>
      </c>
      <c r="AM31" s="67" t="inlineStr">
        <is>
          <t>Model</t>
        </is>
      </c>
      <c r="AS31" s="67" t="inlineStr">
        <is>
          <t>Employee Rent Credit</t>
        </is>
      </c>
    </row>
    <row r="32">
      <c r="A32" s="72">
        <f>$D$21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INDEX($C$5:$C$8,MATCH(I32,$D$5:$D$8,0))</f>
        <v/>
      </c>
      <c r="E32" s="72">
        <f>INDEX($E$5:$E$8,MATCH(D32,$C$5:$C$8,0))</f>
        <v/>
      </c>
      <c r="F32" s="72">
        <f>INDEX($F$5:$F$8,MATCH(D32,$C$5:$C$8,0))</f>
        <v/>
      </c>
      <c r="G32" s="72">
        <f>INDEX($G$5:$G$8,MATCH(D32,$C$5:$C$8,0))</f>
        <v/>
      </c>
      <c r="H32" s="72" t="inlineStr">
        <is>
          <t>800-1A</t>
        </is>
      </c>
      <c r="I32" s="72" t="inlineStr">
        <is>
          <t>1x1B_C</t>
        </is>
      </c>
      <c r="J32" s="80" t="n">
        <v>817</v>
      </c>
      <c r="K32" s="72" t="inlineStr">
        <is>
          <t>HiSmith, Darwin</t>
        </is>
      </c>
      <c r="L32" s="81" t="n">
        <v>1234</v>
      </c>
      <c r="M32" s="81">
        <f>Y32</f>
        <v/>
      </c>
      <c r="N32" s="82" t="n">
        <v>45380</v>
      </c>
      <c r="O32" s="82" t="n">
        <v>46110</v>
      </c>
      <c r="P32" s="82" t="n">
        <v>46474</v>
      </c>
      <c r="R32" s="81">
        <f>SUM(AB32:AK32)</f>
        <v/>
      </c>
      <c r="S32" s="81">
        <f>SUM(AM32:AQ32)</f>
        <v/>
      </c>
      <c r="T32" s="81">
        <f>SUM(AS32:AW32)</f>
        <v/>
      </c>
      <c r="Y32" s="81" t="n">
        <v>1285</v>
      </c>
    </row>
    <row r="33">
      <c r="A33" s="72">
        <f>$D$21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INDEX($C$5:$C$8,MATCH(I33,$D$5:$D$8,0))</f>
        <v/>
      </c>
      <c r="E33" s="72">
        <f>INDEX($E$5:$E$8,MATCH(D33,$C$5:$C$8,0))</f>
        <v/>
      </c>
      <c r="F33" s="72">
        <f>INDEX($F$5:$F$8,MATCH(D33,$C$5:$C$8,0))</f>
        <v/>
      </c>
      <c r="G33" s="72">
        <f>INDEX($G$5:$G$8,MATCH(D33,$C$5:$C$8,0))</f>
        <v/>
      </c>
      <c r="H33" s="72" t="inlineStr">
        <is>
          <t>800-1AU</t>
        </is>
      </c>
      <c r="I33" s="72" t="inlineStr">
        <is>
          <t>1x1B_C</t>
        </is>
      </c>
      <c r="J33" s="80" t="n">
        <v>745</v>
      </c>
      <c r="K33" s="72" t="inlineStr">
        <is>
          <t>Rental, Meraki Rentals</t>
        </is>
      </c>
      <c r="L33" s="81" t="n">
        <v>1159</v>
      </c>
      <c r="M33" s="81">
        <f>Y33</f>
        <v/>
      </c>
      <c r="N33" s="82" t="n">
        <v>45000</v>
      </c>
      <c r="O33" s="82" t="n">
        <v>45792</v>
      </c>
      <c r="P33" s="82" t="n">
        <v>46248</v>
      </c>
      <c r="R33" s="81">
        <f>SUM(AB33:AK33)</f>
        <v/>
      </c>
      <c r="S33" s="81">
        <f>SUM(AM33:AQ33)</f>
        <v/>
      </c>
      <c r="T33" s="81">
        <f>SUM(AS33:AW33)</f>
        <v/>
      </c>
      <c r="Y33" s="81" t="n">
        <v>1229</v>
      </c>
    </row>
    <row r="34">
      <c r="A34" s="72">
        <f>$D$21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INDEX($C$5:$C$8,MATCH(I34,$D$5:$D$8,0))</f>
        <v/>
      </c>
      <c r="E34" s="72">
        <f>INDEX($E$5:$E$8,MATCH(D34,$C$5:$C$8,0))</f>
        <v/>
      </c>
      <c r="F34" s="72">
        <f>INDEX($F$5:$F$8,MATCH(D34,$C$5:$C$8,0))</f>
        <v/>
      </c>
      <c r="G34" s="72">
        <f>INDEX($G$5:$G$8,MATCH(D34,$C$5:$C$8,0))</f>
        <v/>
      </c>
      <c r="H34" s="72" t="inlineStr">
        <is>
          <t>800-1B</t>
        </is>
      </c>
      <c r="I34" s="72" t="inlineStr">
        <is>
          <t>1x1B_C</t>
        </is>
      </c>
      <c r="J34" s="80" t="n">
        <v>745</v>
      </c>
      <c r="K34" s="72" t="inlineStr">
        <is>
          <t>Bhutia, Tshering</t>
        </is>
      </c>
      <c r="L34" s="81" t="n">
        <v>1249</v>
      </c>
      <c r="M34" s="81">
        <f>Y34</f>
        <v/>
      </c>
      <c r="N34" s="82" t="n">
        <v>46143</v>
      </c>
      <c r="O34" s="82" t="n">
        <v>46143</v>
      </c>
      <c r="P34" s="82" t="n">
        <v>46507</v>
      </c>
      <c r="R34" s="81">
        <f>SUM(AB34:AK34)</f>
        <v/>
      </c>
      <c r="S34" s="81">
        <f>SUM(AM34:AQ34)</f>
        <v/>
      </c>
      <c r="T34" s="81">
        <f>SUM(AS34:AW34)</f>
        <v/>
      </c>
      <c r="Y34" s="81" t="n">
        <v>1249</v>
      </c>
    </row>
    <row r="35">
      <c r="A35" s="72">
        <f>$D$21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INDEX($C$5:$C$8,MATCH(I35,$D$5:$D$8,0))</f>
        <v/>
      </c>
      <c r="E35" s="72">
        <f>INDEX($E$5:$E$8,MATCH(D35,$C$5:$C$8,0))</f>
        <v/>
      </c>
      <c r="F35" s="72">
        <f>INDEX($F$5:$F$8,MATCH(D35,$C$5:$C$8,0))</f>
        <v/>
      </c>
      <c r="G35" s="72">
        <f>INDEX($G$5:$G$8,MATCH(D35,$C$5:$C$8,0))</f>
        <v/>
      </c>
      <c r="H35" s="72" t="inlineStr">
        <is>
          <t>800-1BU</t>
        </is>
      </c>
      <c r="I35" s="72" t="inlineStr">
        <is>
          <t>1x1B_C</t>
        </is>
      </c>
      <c r="J35" s="80" t="n">
        <v>641</v>
      </c>
      <c r="K35" s="72" t="inlineStr">
        <is>
          <t>Brooks, Heidi</t>
        </is>
      </c>
      <c r="L35" s="81" t="n">
        <v>1159</v>
      </c>
      <c r="M35" s="81">
        <f>Y35</f>
        <v/>
      </c>
      <c r="N35" s="82" t="n">
        <v>46115</v>
      </c>
      <c r="O35" s="82" t="n">
        <v>46115</v>
      </c>
      <c r="P35" s="82" t="n">
        <v>46328</v>
      </c>
      <c r="R35" s="81">
        <f>SUM(AB35:AK35)</f>
        <v/>
      </c>
      <c r="S35" s="81">
        <f>SUM(AM35:AQ35)</f>
        <v/>
      </c>
      <c r="T35" s="81">
        <f>SUM(AS35:AW35)</f>
        <v/>
      </c>
      <c r="Y35" s="81" t="n">
        <v>1239</v>
      </c>
    </row>
    <row r="36">
      <c r="A36" s="72">
        <f>$D$21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INDEX($C$5:$C$8,MATCH(I36,$D$5:$D$8,0))</f>
        <v/>
      </c>
      <c r="E36" s="72">
        <f>INDEX($E$5:$E$8,MATCH(D36,$C$5:$C$8,0))</f>
        <v/>
      </c>
      <c r="F36" s="72">
        <f>INDEX($F$5:$F$8,MATCH(D36,$C$5:$C$8,0))</f>
        <v/>
      </c>
      <c r="G36" s="72">
        <f>INDEX($G$5:$G$8,MATCH(D36,$C$5:$C$8,0))</f>
        <v/>
      </c>
      <c r="H36" s="72" t="inlineStr">
        <is>
          <t>800-1C</t>
        </is>
      </c>
      <c r="I36" s="72" t="inlineStr">
        <is>
          <t>1x1B_C</t>
        </is>
      </c>
      <c r="J36" s="80" t="n">
        <v>622</v>
      </c>
      <c r="K36" s="72" t="inlineStr">
        <is>
          <t>Olmstead, Emma</t>
        </is>
      </c>
      <c r="L36" s="81" t="n">
        <v>1234</v>
      </c>
      <c r="M36" s="81">
        <f>Y36</f>
        <v/>
      </c>
      <c r="N36" s="82" t="n">
        <v>45047</v>
      </c>
      <c r="O36" s="82" t="n">
        <v>46143</v>
      </c>
      <c r="P36" s="82" t="n">
        <v>46507</v>
      </c>
      <c r="R36" s="81">
        <f>SUM(AB36:AK36)</f>
        <v/>
      </c>
      <c r="S36" s="81">
        <f>SUM(AM36:AQ36)</f>
        <v/>
      </c>
      <c r="T36" s="81">
        <f>SUM(AS36:AW36)</f>
        <v/>
      </c>
      <c r="Y36" s="81" t="n">
        <v>1220</v>
      </c>
    </row>
    <row r="37">
      <c r="A37" s="72">
        <f>$D$21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INDEX($C$5:$C$8,MATCH(I37,$D$5:$D$8,0))</f>
        <v/>
      </c>
      <c r="E37" s="72">
        <f>INDEX($E$5:$E$8,MATCH(D37,$C$5:$C$8,0))</f>
        <v/>
      </c>
      <c r="F37" s="72">
        <f>INDEX($F$5:$F$8,MATCH(D37,$C$5:$C$8,0))</f>
        <v/>
      </c>
      <c r="G37" s="72">
        <f>INDEX($G$5:$G$8,MATCH(D37,$C$5:$C$8,0))</f>
        <v/>
      </c>
      <c r="H37" s="72" t="inlineStr">
        <is>
          <t>800-1D</t>
        </is>
      </c>
      <c r="I37" s="72" t="inlineStr">
        <is>
          <t>1x1B_C</t>
        </is>
      </c>
      <c r="J37" s="80" t="n">
        <v>622</v>
      </c>
      <c r="K37" s="72" t="inlineStr">
        <is>
          <t>Calvert, Savannah</t>
        </is>
      </c>
      <c r="L37" s="81" t="n">
        <v>1234</v>
      </c>
      <c r="M37" s="81">
        <f>Y37</f>
        <v/>
      </c>
      <c r="N37" s="82" t="n">
        <v>45863</v>
      </c>
      <c r="O37" s="82" t="n">
        <v>45863</v>
      </c>
      <c r="P37" s="82" t="n">
        <v>46319</v>
      </c>
      <c r="R37" s="81">
        <f>SUM(AB37:AK37)</f>
        <v/>
      </c>
      <c r="S37" s="81">
        <f>SUM(AM37:AQ37)</f>
        <v/>
      </c>
      <c r="T37" s="81">
        <f>SUM(AS37:AW37)</f>
        <v/>
      </c>
      <c r="Y37" s="81" t="n">
        <v>1234</v>
      </c>
    </row>
    <row r="38">
      <c r="A38" s="72">
        <f>$D$21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INDEX($C$5:$C$8,MATCH(I38,$D$5:$D$8,0))</f>
        <v/>
      </c>
      <c r="E38" s="72">
        <f>INDEX($E$5:$E$8,MATCH(D38,$C$5:$C$8,0))</f>
        <v/>
      </c>
      <c r="F38" s="72">
        <f>INDEX($F$5:$F$8,MATCH(D38,$C$5:$C$8,0))</f>
        <v/>
      </c>
      <c r="G38" s="72">
        <f>INDEX($G$5:$G$8,MATCH(D38,$C$5:$C$8,0))</f>
        <v/>
      </c>
      <c r="H38" s="72" t="inlineStr">
        <is>
          <t>800-2A</t>
        </is>
      </c>
      <c r="I38" s="72" t="inlineStr">
        <is>
          <t>2x2B_C</t>
        </is>
      </c>
      <c r="J38" s="80" t="n">
        <v>1253</v>
      </c>
      <c r="K38" s="72" t="inlineStr">
        <is>
          <t>-- Vacant --</t>
        </is>
      </c>
      <c r="L38" s="81" t="n">
        <v>1799</v>
      </c>
      <c r="M38" s="81">
        <f>Y38</f>
        <v/>
      </c>
      <c r="R38" s="81">
        <f>SUM(AB38:AK38)</f>
        <v/>
      </c>
      <c r="S38" s="81">
        <f>SUM(AM38:AQ38)</f>
        <v/>
      </c>
      <c r="T38" s="81">
        <f>SUM(AS38:AW38)</f>
        <v/>
      </c>
      <c r="Y38" s="81" t="n">
        <v>0</v>
      </c>
    </row>
    <row r="39">
      <c r="A39" s="72">
        <f>$D$21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INDEX($C$5:$C$8,MATCH(I39,$D$5:$D$8,0))</f>
        <v/>
      </c>
      <c r="E39" s="72">
        <f>INDEX($E$5:$E$8,MATCH(D39,$C$5:$C$8,0))</f>
        <v/>
      </c>
      <c r="F39" s="72">
        <f>INDEX($F$5:$F$8,MATCH(D39,$C$5:$C$8,0))</f>
        <v/>
      </c>
      <c r="G39" s="72">
        <f>INDEX($G$5:$G$8,MATCH(D39,$C$5:$C$8,0))</f>
        <v/>
      </c>
      <c r="H39" s="72" t="inlineStr">
        <is>
          <t>800-2B</t>
        </is>
      </c>
      <c r="I39" s="72" t="inlineStr">
        <is>
          <t>1x1B_C</t>
        </is>
      </c>
      <c r="J39" s="80" t="n">
        <v>622</v>
      </c>
      <c r="K39" s="72" t="inlineStr">
        <is>
          <t>Rental, Meraki Rentals</t>
        </is>
      </c>
      <c r="L39" s="81" t="n">
        <v>1234</v>
      </c>
      <c r="M39" s="81">
        <f>Y39</f>
        <v/>
      </c>
      <c r="N39" s="82" t="n">
        <v>45331</v>
      </c>
      <c r="O39" s="82" t="n">
        <v>45786</v>
      </c>
      <c r="P39" s="82" t="n">
        <v>46242</v>
      </c>
      <c r="R39" s="81">
        <f>SUM(AB39:AK39)</f>
        <v/>
      </c>
      <c r="S39" s="81">
        <f>SUM(AM39:AQ39)</f>
        <v/>
      </c>
      <c r="T39" s="81">
        <f>SUM(AS39:AW39)</f>
        <v/>
      </c>
      <c r="Y39" s="81" t="n">
        <v>1230</v>
      </c>
    </row>
    <row r="40">
      <c r="A40" s="72">
        <f>$D$21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INDEX($C$5:$C$8,MATCH(I40,$D$5:$D$8,0))</f>
        <v/>
      </c>
      <c r="E40" s="72">
        <f>INDEX($E$5:$E$8,MATCH(D40,$C$5:$C$8,0))</f>
        <v/>
      </c>
      <c r="F40" s="72">
        <f>INDEX($F$5:$F$8,MATCH(D40,$C$5:$C$8,0))</f>
        <v/>
      </c>
      <c r="G40" s="72">
        <f>INDEX($G$5:$G$8,MATCH(D40,$C$5:$C$8,0))</f>
        <v/>
      </c>
      <c r="H40" s="72" t="inlineStr">
        <is>
          <t>800-2C</t>
        </is>
      </c>
      <c r="I40" s="72" t="inlineStr">
        <is>
          <t>1x1B_C</t>
        </is>
      </c>
      <c r="J40" s="80" t="n">
        <v>745</v>
      </c>
      <c r="K40" s="72" t="inlineStr">
        <is>
          <t>Dobbs, Warren</t>
        </is>
      </c>
      <c r="L40" s="81" t="n">
        <v>1249</v>
      </c>
      <c r="M40" s="81">
        <f>Y40</f>
        <v/>
      </c>
      <c r="N40" s="82" t="n">
        <v>46108</v>
      </c>
      <c r="O40" s="82" t="n">
        <v>46108</v>
      </c>
      <c r="P40" s="82" t="n">
        <v>46472</v>
      </c>
      <c r="R40" s="81">
        <f>SUM(AB40:AK40)</f>
        <v/>
      </c>
      <c r="S40" s="81">
        <f>SUM(AM40:AQ40)</f>
        <v/>
      </c>
      <c r="T40" s="81">
        <f>SUM(AS40:AW40)</f>
        <v/>
      </c>
      <c r="Y40" s="81" t="n">
        <v>1249</v>
      </c>
      <c r="AM40" s="81" t="n">
        <v>-374.7</v>
      </c>
    </row>
    <row r="41">
      <c r="A41" s="72">
        <f>$D$21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INDEX($C$5:$C$8,MATCH(I41,$D$5:$D$8,0))</f>
        <v/>
      </c>
      <c r="E41" s="72">
        <f>INDEX($E$5:$E$8,MATCH(D41,$C$5:$C$8,0))</f>
        <v/>
      </c>
      <c r="F41" s="72">
        <f>INDEX($F$5:$F$8,MATCH(D41,$C$5:$C$8,0))</f>
        <v/>
      </c>
      <c r="G41" s="72">
        <f>INDEX($G$5:$G$8,MATCH(D41,$C$5:$C$8,0))</f>
        <v/>
      </c>
      <c r="H41" s="72" t="inlineStr">
        <is>
          <t>800-2D</t>
        </is>
      </c>
      <c r="I41" s="72" t="inlineStr">
        <is>
          <t>1x1B_C</t>
        </is>
      </c>
      <c r="J41" s="80" t="n">
        <v>479</v>
      </c>
      <c r="K41" s="72" t="inlineStr">
        <is>
          <t>Filbeck, Daniel</t>
        </is>
      </c>
      <c r="L41" s="81" t="n">
        <v>1234</v>
      </c>
      <c r="M41" s="81">
        <f>Y41</f>
        <v/>
      </c>
      <c r="N41" s="82" t="n">
        <v>45057</v>
      </c>
      <c r="O41" s="82" t="n">
        <v>45788</v>
      </c>
      <c r="P41" s="82" t="n">
        <v>46244</v>
      </c>
      <c r="R41" s="81">
        <f>SUM(AB41:AK41)</f>
        <v/>
      </c>
      <c r="S41" s="81">
        <f>SUM(AM41:AQ41)</f>
        <v/>
      </c>
      <c r="T41" s="81">
        <f>SUM(AS41:AW41)</f>
        <v/>
      </c>
      <c r="Y41" s="81" t="n">
        <v>1325</v>
      </c>
    </row>
    <row r="42">
      <c r="A42" s="72">
        <f>$D$21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INDEX($C$5:$C$8,MATCH(I42,$D$5:$D$8,0))</f>
        <v/>
      </c>
      <c r="E42" s="72">
        <f>INDEX($E$5:$E$8,MATCH(D42,$C$5:$C$8,0))</f>
        <v/>
      </c>
      <c r="F42" s="72">
        <f>INDEX($F$5:$F$8,MATCH(D42,$C$5:$C$8,0))</f>
        <v/>
      </c>
      <c r="G42" s="72">
        <f>INDEX($G$5:$G$8,MATCH(D42,$C$5:$C$8,0))</f>
        <v/>
      </c>
      <c r="H42" s="72" t="inlineStr">
        <is>
          <t>800-3A</t>
        </is>
      </c>
      <c r="I42" s="72" t="inlineStr">
        <is>
          <t>2x2B_C</t>
        </is>
      </c>
      <c r="J42" s="80" t="n">
        <v>1153</v>
      </c>
      <c r="K42" s="72" t="inlineStr">
        <is>
          <t>-- Vacant --</t>
        </is>
      </c>
      <c r="L42" s="81" t="n">
        <v>1799</v>
      </c>
      <c r="M42" s="81">
        <f>Y42</f>
        <v/>
      </c>
      <c r="R42" s="81">
        <f>SUM(AB42:AK42)</f>
        <v/>
      </c>
      <c r="S42" s="81">
        <f>SUM(AM42:AQ42)</f>
        <v/>
      </c>
      <c r="T42" s="81">
        <f>SUM(AS42:AW42)</f>
        <v/>
      </c>
      <c r="Y42" s="81" t="n">
        <v>0</v>
      </c>
    </row>
    <row r="43">
      <c r="A43" s="72">
        <f>$D$21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INDEX($C$5:$C$8,MATCH(I43,$D$5:$D$8,0))</f>
        <v/>
      </c>
      <c r="E43" s="72">
        <f>INDEX($E$5:$E$8,MATCH(D43,$C$5:$C$8,0))</f>
        <v/>
      </c>
      <c r="F43" s="72">
        <f>INDEX($F$5:$F$8,MATCH(D43,$C$5:$C$8,0))</f>
        <v/>
      </c>
      <c r="G43" s="72">
        <f>INDEX($G$5:$G$8,MATCH(D43,$C$5:$C$8,0))</f>
        <v/>
      </c>
      <c r="H43" s="72" t="inlineStr">
        <is>
          <t>800-3B</t>
        </is>
      </c>
      <c r="I43" s="72" t="inlineStr">
        <is>
          <t>2x2B_C</t>
        </is>
      </c>
      <c r="J43" s="80" t="n">
        <v>844</v>
      </c>
      <c r="K43" s="72" t="inlineStr">
        <is>
          <t>Castillo, Jamie</t>
        </is>
      </c>
      <c r="L43" s="81" t="n">
        <v>1599</v>
      </c>
      <c r="M43" s="81">
        <f>Y43</f>
        <v/>
      </c>
      <c r="N43" s="82" t="n">
        <v>46032</v>
      </c>
      <c r="O43" s="82" t="n">
        <v>46032</v>
      </c>
      <c r="P43" s="82" t="n">
        <v>46396</v>
      </c>
      <c r="R43" s="81">
        <f>SUM(AB43:AK43)</f>
        <v/>
      </c>
      <c r="S43" s="81">
        <f>SUM(AM43:AQ43)</f>
        <v/>
      </c>
      <c r="T43" s="81">
        <f>SUM(AS43:AW43)</f>
        <v/>
      </c>
      <c r="Y43" s="81" t="n">
        <v>1799</v>
      </c>
    </row>
    <row r="44">
      <c r="A44" s="72">
        <f>$D$21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INDEX($C$5:$C$8,MATCH(I44,$D$5:$D$8,0))</f>
        <v/>
      </c>
      <c r="E44" s="72">
        <f>INDEX($E$5:$E$8,MATCH(D44,$C$5:$C$8,0))</f>
        <v/>
      </c>
      <c r="F44" s="72">
        <f>INDEX($F$5:$F$8,MATCH(D44,$C$5:$C$8,0))</f>
        <v/>
      </c>
      <c r="G44" s="72">
        <f>INDEX($G$5:$G$8,MATCH(D44,$C$5:$C$8,0))</f>
        <v/>
      </c>
      <c r="H44" s="72" t="inlineStr">
        <is>
          <t>800-3C</t>
        </is>
      </c>
      <c r="I44" s="72" t="inlineStr">
        <is>
          <t>2x2B_C</t>
        </is>
      </c>
      <c r="J44" s="80" t="n">
        <v>972</v>
      </c>
      <c r="K44" s="72" t="inlineStr">
        <is>
          <t>-- Vacant --</t>
        </is>
      </c>
      <c r="L44" s="81" t="n">
        <v>1799</v>
      </c>
      <c r="M44" s="81">
        <f>Y44</f>
        <v/>
      </c>
      <c r="R44" s="81">
        <f>SUM(AB44:AK44)</f>
        <v/>
      </c>
      <c r="S44" s="81">
        <f>SUM(AM44:AQ44)</f>
        <v/>
      </c>
      <c r="T44" s="81">
        <f>SUM(AS44:AW44)</f>
        <v/>
      </c>
      <c r="Y44" s="81" t="n">
        <v>0</v>
      </c>
    </row>
    <row r="45">
      <c r="A45" s="72">
        <f>$D$21</f>
        <v/>
      </c>
      <c r="B45" s="72">
        <f>B44+1</f>
        <v/>
      </c>
      <c r="C45" s="72">
        <f>IF(K45="Vacant","Vac",IF(K45="Model","Model",IF(K45="Admin","Admin",IF(K45="Down","Down",IF(K45="Super","Super","Occ")))))</f>
        <v/>
      </c>
      <c r="D45" s="72">
        <f>INDEX($C$5:$C$8,MATCH(I45,$D$5:$D$8,0))</f>
        <v/>
      </c>
      <c r="E45" s="72">
        <f>INDEX($E$5:$E$8,MATCH(D45,$C$5:$C$8,0))</f>
        <v/>
      </c>
      <c r="F45" s="72">
        <f>INDEX($F$5:$F$8,MATCH(D45,$C$5:$C$8,0))</f>
        <v/>
      </c>
      <c r="G45" s="72">
        <f>INDEX($G$5:$G$8,MATCH(D45,$C$5:$C$8,0))</f>
        <v/>
      </c>
      <c r="H45" s="72" t="inlineStr">
        <is>
          <t>800-3D</t>
        </is>
      </c>
      <c r="I45" s="72" t="inlineStr">
        <is>
          <t>2x2B_C</t>
        </is>
      </c>
      <c r="J45" s="80" t="n">
        <v>972</v>
      </c>
      <c r="K45" s="72" t="inlineStr">
        <is>
          <t>-- Vacant --</t>
        </is>
      </c>
      <c r="L45" s="81" t="n">
        <v>1799</v>
      </c>
      <c r="M45" s="81">
        <f>Y45</f>
        <v/>
      </c>
      <c r="R45" s="81">
        <f>SUM(AB45:AK45)</f>
        <v/>
      </c>
      <c r="S45" s="81">
        <f>SUM(AM45:AQ45)</f>
        <v/>
      </c>
      <c r="T45" s="81">
        <f>SUM(AS45:AW45)</f>
        <v/>
      </c>
      <c r="Y45" s="81" t="n">
        <v>0</v>
      </c>
    </row>
    <row r="46">
      <c r="A46" s="72">
        <f>$D$21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INDEX($C$5:$C$8,MATCH(I46,$D$5:$D$8,0))</f>
        <v/>
      </c>
      <c r="E46" s="72">
        <f>INDEX($E$5:$E$8,MATCH(D46,$C$5:$C$8,0))</f>
        <v/>
      </c>
      <c r="F46" s="72">
        <f>INDEX($F$5:$F$8,MATCH(D46,$C$5:$C$8,0))</f>
        <v/>
      </c>
      <c r="G46" s="72">
        <f>INDEX($G$5:$G$8,MATCH(D46,$C$5:$C$8,0))</f>
        <v/>
      </c>
      <c r="H46" s="72" t="inlineStr">
        <is>
          <t>CL - 806-1</t>
        </is>
      </c>
      <c r="I46" s="72" t="inlineStr">
        <is>
          <t>2x1A_C</t>
        </is>
      </c>
      <c r="J46" s="80" t="n">
        <v>810</v>
      </c>
      <c r="K46" s="72" t="inlineStr">
        <is>
          <t>Collins, Nancy</t>
        </is>
      </c>
      <c r="L46" s="81" t="n">
        <v>1379</v>
      </c>
      <c r="M46" s="81">
        <f>Y46</f>
        <v/>
      </c>
      <c r="N46" s="82" t="n">
        <v>44075</v>
      </c>
      <c r="O46" s="82" t="n">
        <v>45901</v>
      </c>
      <c r="P46" s="82" t="n">
        <v>46265</v>
      </c>
      <c r="R46" s="81">
        <f>SUM(AB46:AK46)</f>
        <v/>
      </c>
      <c r="S46" s="81">
        <f>SUM(AM46:AQ46)</f>
        <v/>
      </c>
      <c r="T46" s="81">
        <f>SUM(AS46:AW46)</f>
        <v/>
      </c>
      <c r="Y46" s="81" t="n">
        <v>1249</v>
      </c>
    </row>
    <row r="47">
      <c r="A47" s="72">
        <f>$D$21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INDEX($C$5:$C$8,MATCH(I47,$D$5:$D$8,0))</f>
        <v/>
      </c>
      <c r="E47" s="72">
        <f>INDEX($E$5:$E$8,MATCH(D47,$C$5:$C$8,0))</f>
        <v/>
      </c>
      <c r="F47" s="72">
        <f>INDEX($F$5:$F$8,MATCH(D47,$C$5:$C$8,0))</f>
        <v/>
      </c>
      <c r="G47" s="72">
        <f>INDEX($G$5:$G$8,MATCH(D47,$C$5:$C$8,0))</f>
        <v/>
      </c>
      <c r="H47" s="72" t="inlineStr">
        <is>
          <t>CL - 806-2</t>
        </is>
      </c>
      <c r="I47" s="72" t="inlineStr">
        <is>
          <t>2x1A_C</t>
        </is>
      </c>
      <c r="J47" s="80" t="n">
        <v>935</v>
      </c>
      <c r="K47" s="72" t="inlineStr">
        <is>
          <t>Humphrey, Alyson</t>
        </is>
      </c>
      <c r="L47" s="81" t="n">
        <v>1379</v>
      </c>
      <c r="M47" s="81">
        <f>Y47</f>
        <v/>
      </c>
      <c r="N47" s="82" t="n">
        <v>45551</v>
      </c>
      <c r="O47" s="82" t="n">
        <v>45916</v>
      </c>
      <c r="P47" s="82" t="n">
        <v>46280</v>
      </c>
      <c r="R47" s="81">
        <f>SUM(AB47:AK47)</f>
        <v/>
      </c>
      <c r="S47" s="81">
        <f>SUM(AM47:AQ47)</f>
        <v/>
      </c>
      <c r="T47" s="81">
        <f>SUM(AS47:AW47)</f>
        <v/>
      </c>
      <c r="Y47" s="81" t="n">
        <v>1249</v>
      </c>
    </row>
    <row r="48">
      <c r="A48" s="72">
        <f>$D$21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INDEX($C$5:$C$8,MATCH(I48,$D$5:$D$8,0))</f>
        <v/>
      </c>
      <c r="E48" s="72">
        <f>INDEX($E$5:$E$8,MATCH(D48,$C$5:$C$8,0))</f>
        <v/>
      </c>
      <c r="F48" s="72">
        <f>INDEX($F$5:$F$8,MATCH(D48,$C$5:$C$8,0))</f>
        <v/>
      </c>
      <c r="G48" s="72">
        <f>INDEX($G$5:$G$8,MATCH(D48,$C$5:$C$8,0))</f>
        <v/>
      </c>
      <c r="H48" s="72" t="inlineStr">
        <is>
          <t>CL - 806-3</t>
        </is>
      </c>
      <c r="I48" s="72" t="inlineStr">
        <is>
          <t>2x1A_C</t>
        </is>
      </c>
      <c r="J48" s="80" t="n">
        <v>820</v>
      </c>
      <c r="K48" s="72" t="inlineStr">
        <is>
          <t>Waugh, Christopher</t>
        </is>
      </c>
      <c r="L48" s="81" t="n">
        <v>1404</v>
      </c>
      <c r="M48" s="81">
        <f>Y48</f>
        <v/>
      </c>
      <c r="N48" s="82" t="n">
        <v>45121</v>
      </c>
      <c r="O48" s="82" t="n">
        <v>45879</v>
      </c>
      <c r="P48" s="82" t="n">
        <v>46243</v>
      </c>
      <c r="R48" s="81">
        <f>SUM(AB48:AK48)</f>
        <v/>
      </c>
      <c r="S48" s="81">
        <f>SUM(AM48:AQ48)</f>
        <v/>
      </c>
      <c r="T48" s="81">
        <f>SUM(AS48:AW48)</f>
        <v/>
      </c>
      <c r="Y48" s="81" t="n">
        <v>1245</v>
      </c>
    </row>
    <row r="49">
      <c r="A49" s="72">
        <f>$D$21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INDEX($C$5:$C$8,MATCH(I49,$D$5:$D$8,0))</f>
        <v/>
      </c>
      <c r="E49" s="72">
        <f>INDEX($E$5:$E$8,MATCH(D49,$C$5:$C$8,0))</f>
        <v/>
      </c>
      <c r="F49" s="72">
        <f>INDEX($F$5:$F$8,MATCH(D49,$C$5:$C$8,0))</f>
        <v/>
      </c>
      <c r="G49" s="72">
        <f>INDEX($G$5:$G$8,MATCH(D49,$C$5:$C$8,0))</f>
        <v/>
      </c>
      <c r="H49" s="72" t="inlineStr">
        <is>
          <t>CL - 806-4</t>
        </is>
      </c>
      <c r="I49" s="72" t="inlineStr">
        <is>
          <t>2x1A_C</t>
        </is>
      </c>
      <c r="J49" s="80" t="n">
        <v>935</v>
      </c>
      <c r="K49" s="72" t="inlineStr">
        <is>
          <t>McClarty, Nicole</t>
        </is>
      </c>
      <c r="L49" s="81" t="n">
        <v>1404</v>
      </c>
      <c r="M49" s="81">
        <f>Y49</f>
        <v/>
      </c>
      <c r="N49" s="82" t="n">
        <v>44241</v>
      </c>
      <c r="O49" s="82" t="n">
        <v>45805</v>
      </c>
      <c r="P49" s="82" t="n">
        <v>46261</v>
      </c>
      <c r="R49" s="81">
        <f>SUM(AB49:AK49)</f>
        <v/>
      </c>
      <c r="S49" s="81">
        <f>SUM(AM49:AQ49)</f>
        <v/>
      </c>
      <c r="T49" s="81">
        <f>SUM(AS49:AW49)</f>
        <v/>
      </c>
      <c r="Y49" s="81" t="n">
        <v>1215</v>
      </c>
    </row>
    <row r="50">
      <c r="A50" s="72">
        <f>$D$21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INDEX($C$5:$C$8,MATCH(I50,$D$5:$D$8,0))</f>
        <v/>
      </c>
      <c r="E50" s="72">
        <f>INDEX($E$5:$E$8,MATCH(D50,$C$5:$C$8,0))</f>
        <v/>
      </c>
      <c r="F50" s="72">
        <f>INDEX($F$5:$F$8,MATCH(D50,$C$5:$C$8,0))</f>
        <v/>
      </c>
      <c r="G50" s="72">
        <f>INDEX($G$5:$G$8,MATCH(D50,$C$5:$C$8,0))</f>
        <v/>
      </c>
      <c r="H50" s="72" t="inlineStr">
        <is>
          <t>CL - 806-5</t>
        </is>
      </c>
      <c r="I50" s="72" t="inlineStr">
        <is>
          <t>2x1A_C</t>
        </is>
      </c>
      <c r="J50" s="80" t="n">
        <v>1066</v>
      </c>
      <c r="K50" s="72" t="inlineStr">
        <is>
          <t>Belcher, Keira</t>
        </is>
      </c>
      <c r="L50" s="81" t="n">
        <v>1349</v>
      </c>
      <c r="M50" s="81">
        <f>Y50</f>
        <v/>
      </c>
      <c r="N50" s="82" t="n">
        <v>45495</v>
      </c>
      <c r="O50" s="82" t="n">
        <v>45860</v>
      </c>
      <c r="P50" s="82" t="n">
        <v>46224</v>
      </c>
      <c r="R50" s="81">
        <f>SUM(AB50:AK50)</f>
        <v/>
      </c>
      <c r="S50" s="81">
        <f>SUM(AM50:AQ50)</f>
        <v/>
      </c>
      <c r="T50" s="81">
        <f>SUM(AS50:AW50)</f>
        <v/>
      </c>
      <c r="Y50" s="81" t="n">
        <v>1345</v>
      </c>
    </row>
    <row r="51">
      <c r="A51" s="72">
        <f>$D$21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INDEX($C$5:$C$8,MATCH(I51,$D$5:$D$8,0))</f>
        <v/>
      </c>
      <c r="E51" s="72">
        <f>INDEX($E$5:$E$8,MATCH(D51,$C$5:$C$8,0))</f>
        <v/>
      </c>
      <c r="F51" s="72">
        <f>INDEX($F$5:$F$8,MATCH(D51,$C$5:$C$8,0))</f>
        <v/>
      </c>
      <c r="G51" s="72">
        <f>INDEX($G$5:$G$8,MATCH(D51,$C$5:$C$8,0))</f>
        <v/>
      </c>
      <c r="H51" s="72" t="inlineStr">
        <is>
          <t>CL - 806-6</t>
        </is>
      </c>
      <c r="I51" s="72" t="inlineStr">
        <is>
          <t>2x1A_C</t>
        </is>
      </c>
      <c r="J51" s="80" t="n">
        <v>840</v>
      </c>
      <c r="K51" s="72" t="inlineStr">
        <is>
          <t>Harrison, Davis</t>
        </is>
      </c>
      <c r="L51" s="81" t="n">
        <v>1374</v>
      </c>
      <c r="M51" s="81">
        <f>Y51</f>
        <v/>
      </c>
      <c r="N51" s="82" t="n">
        <v>45709</v>
      </c>
      <c r="O51" s="82" t="n">
        <v>46074</v>
      </c>
      <c r="P51" s="82" t="n">
        <v>46438</v>
      </c>
      <c r="R51" s="81">
        <f>SUM(AB51:AK51)</f>
        <v/>
      </c>
      <c r="S51" s="81">
        <f>SUM(AM51:AQ51)</f>
        <v/>
      </c>
      <c r="T51" s="81">
        <f>SUM(AS51:AW51)</f>
        <v/>
      </c>
      <c r="Y51" s="81" t="n">
        <v>1244</v>
      </c>
    </row>
    <row r="52">
      <c r="A52" s="72">
        <f>$D$21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INDEX($C$5:$C$8,MATCH(I52,$D$5:$D$8,0))</f>
        <v/>
      </c>
      <c r="E52" s="72">
        <f>INDEX($E$5:$E$8,MATCH(D52,$C$5:$C$8,0))</f>
        <v/>
      </c>
      <c r="F52" s="72">
        <f>INDEX($F$5:$F$8,MATCH(D52,$C$5:$C$8,0))</f>
        <v/>
      </c>
      <c r="G52" s="72">
        <f>INDEX($G$5:$G$8,MATCH(D52,$C$5:$C$8,0))</f>
        <v/>
      </c>
      <c r="H52" s="72" t="inlineStr">
        <is>
          <t>CL - 806-7</t>
        </is>
      </c>
      <c r="I52" s="72" t="inlineStr">
        <is>
          <t>2x1A_C</t>
        </is>
      </c>
      <c r="J52" s="80" t="n">
        <v>965</v>
      </c>
      <c r="K52" s="72" t="inlineStr">
        <is>
          <t>Steele, Christopher</t>
        </is>
      </c>
      <c r="L52" s="81" t="n">
        <v>1374</v>
      </c>
      <c r="M52" s="81">
        <f>Y52</f>
        <v/>
      </c>
      <c r="N52" s="82" t="n">
        <v>44281</v>
      </c>
      <c r="O52" s="82" t="n">
        <v>45926</v>
      </c>
      <c r="P52" s="82" t="n">
        <v>46290</v>
      </c>
      <c r="R52" s="81">
        <f>SUM(AB52:AK52)</f>
        <v/>
      </c>
      <c r="S52" s="81">
        <f>SUM(AM52:AQ52)</f>
        <v/>
      </c>
      <c r="T52" s="81">
        <f>SUM(AS52:AW52)</f>
        <v/>
      </c>
      <c r="Y52" s="81" t="n">
        <v>1320</v>
      </c>
    </row>
    <row r="53">
      <c r="A53" s="72">
        <f>$D$21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INDEX($C$5:$C$8,MATCH(I53,$D$5:$D$8,0))</f>
        <v/>
      </c>
      <c r="E53" s="72">
        <f>INDEX($E$5:$E$8,MATCH(D53,$C$5:$C$8,0))</f>
        <v/>
      </c>
      <c r="F53" s="72">
        <f>INDEX($F$5:$F$8,MATCH(D53,$C$5:$C$8,0))</f>
        <v/>
      </c>
      <c r="G53" s="72">
        <f>INDEX($G$5:$G$8,MATCH(D53,$C$5:$C$8,0))</f>
        <v/>
      </c>
      <c r="H53" s="72" t="inlineStr">
        <is>
          <t>CL - 806-8</t>
        </is>
      </c>
      <c r="I53" s="72" t="inlineStr">
        <is>
          <t>1x1A_C</t>
        </is>
      </c>
      <c r="J53" s="80" t="n">
        <v>475</v>
      </c>
      <c r="K53" s="72" t="inlineStr">
        <is>
          <t>Rodriguez, Larissa</t>
        </is>
      </c>
      <c r="L53" s="81" t="n">
        <v>1049</v>
      </c>
      <c r="M53" s="81">
        <f>Y53</f>
        <v/>
      </c>
      <c r="N53" s="82" t="n">
        <v>46042</v>
      </c>
      <c r="O53" s="82" t="n">
        <v>46042</v>
      </c>
      <c r="P53" s="82" t="n">
        <v>46496</v>
      </c>
      <c r="R53" s="81">
        <f>SUM(AB53:AK53)</f>
        <v/>
      </c>
      <c r="S53" s="81">
        <f>SUM(AM53:AQ53)</f>
        <v/>
      </c>
      <c r="T53" s="81">
        <f>SUM(AS53:AW53)</f>
        <v/>
      </c>
      <c r="Y53" s="81" t="n">
        <v>1049</v>
      </c>
    </row>
    <row r="54">
      <c r="A54" s="72">
        <f>$D$21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INDEX($C$5:$C$8,MATCH(I54,$D$5:$D$8,0))</f>
        <v/>
      </c>
      <c r="E54" s="72">
        <f>INDEX($E$5:$E$8,MATCH(D54,$C$5:$C$8,0))</f>
        <v/>
      </c>
      <c r="F54" s="72">
        <f>INDEX($F$5:$F$8,MATCH(D54,$C$5:$C$8,0))</f>
        <v/>
      </c>
      <c r="G54" s="72">
        <f>INDEX($G$5:$G$8,MATCH(D54,$C$5:$C$8,0))</f>
        <v/>
      </c>
      <c r="H54" s="72" t="inlineStr">
        <is>
          <t>CL - 806-9</t>
        </is>
      </c>
      <c r="I54" s="72" t="inlineStr">
        <is>
          <t>2x1A_C</t>
        </is>
      </c>
      <c r="J54" s="80" t="n">
        <v>723</v>
      </c>
      <c r="K54" s="72" t="inlineStr">
        <is>
          <t>-- Vacant --</t>
        </is>
      </c>
      <c r="L54" s="81" t="n">
        <v>1355</v>
      </c>
      <c r="M54" s="81">
        <f>Y54</f>
        <v/>
      </c>
      <c r="R54" s="81">
        <f>SUM(AB54:AK54)</f>
        <v/>
      </c>
      <c r="S54" s="81">
        <f>SUM(AM54:AQ54)</f>
        <v/>
      </c>
      <c r="T54" s="81">
        <f>SUM(AS54:AW54)</f>
        <v/>
      </c>
      <c r="Y54" s="81" t="n">
        <v>0</v>
      </c>
    </row>
    <row r="55">
      <c r="A55" s="72">
        <f>$D$21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INDEX($C$5:$C$8,MATCH(I55,$D$5:$D$8,0))</f>
        <v/>
      </c>
      <c r="E55" s="72">
        <f>INDEX($E$5:$E$8,MATCH(D55,$C$5:$C$8,0))</f>
        <v/>
      </c>
      <c r="F55" s="72">
        <f>INDEX($F$5:$F$8,MATCH(D55,$C$5:$C$8,0))</f>
        <v/>
      </c>
      <c r="G55" s="72">
        <f>INDEX($G$5:$G$8,MATCH(D55,$C$5:$C$8,0))</f>
        <v/>
      </c>
      <c r="H55" s="72" t="inlineStr">
        <is>
          <t>CL - 806-10</t>
        </is>
      </c>
      <c r="I55" s="72" t="inlineStr">
        <is>
          <t>2x1A_C</t>
        </is>
      </c>
      <c r="J55" s="80" t="n">
        <v>744</v>
      </c>
      <c r="K55" s="72" t="inlineStr">
        <is>
          <t>-- Vacant --</t>
        </is>
      </c>
      <c r="L55" s="81" t="n">
        <v>1355</v>
      </c>
      <c r="M55" s="81">
        <f>Y55</f>
        <v/>
      </c>
      <c r="R55" s="81">
        <f>SUM(AB55:AK55)</f>
        <v/>
      </c>
      <c r="S55" s="81">
        <f>SUM(AM55:AQ55)</f>
        <v/>
      </c>
      <c r="T55" s="81">
        <f>SUM(AS55:AW55)</f>
        <v/>
      </c>
      <c r="Y55" s="81" t="n">
        <v>0</v>
      </c>
    </row>
    <row r="56">
      <c r="A56" s="72">
        <f>$D$21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INDEX($C$5:$C$8,MATCH(I56,$D$5:$D$8,0))</f>
        <v/>
      </c>
      <c r="E56" s="72">
        <f>INDEX($E$5:$E$8,MATCH(D56,$C$5:$C$8,0))</f>
        <v/>
      </c>
      <c r="F56" s="72">
        <f>INDEX($F$5:$F$8,MATCH(D56,$C$5:$C$8,0))</f>
        <v/>
      </c>
      <c r="G56" s="72">
        <f>INDEX($G$5:$G$8,MATCH(D56,$C$5:$C$8,0))</f>
        <v/>
      </c>
      <c r="H56" s="72" t="inlineStr">
        <is>
          <t>CL - 806-11</t>
        </is>
      </c>
      <c r="I56" s="72" t="inlineStr">
        <is>
          <t>1x1A_C</t>
        </is>
      </c>
      <c r="J56" s="80" t="n">
        <v>720</v>
      </c>
      <c r="K56" s="72" t="inlineStr">
        <is>
          <t>-- Vacant --</t>
        </is>
      </c>
      <c r="L56" s="81" t="n">
        <v>990</v>
      </c>
      <c r="M56" s="81">
        <f>Y56</f>
        <v/>
      </c>
      <c r="R56" s="81">
        <f>SUM(AB56:AK56)</f>
        <v/>
      </c>
      <c r="S56" s="81">
        <f>SUM(AM56:AQ56)</f>
        <v/>
      </c>
      <c r="T56" s="81">
        <f>SUM(AS56:AW56)</f>
        <v/>
      </c>
      <c r="Y56" s="81" t="n">
        <v>0</v>
      </c>
    </row>
    <row r="57">
      <c r="A57" s="72">
        <f>$D$21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INDEX($C$5:$C$8,MATCH(I57,$D$5:$D$8,0))</f>
        <v/>
      </c>
      <c r="E57" s="72">
        <f>INDEX($E$5:$E$8,MATCH(D57,$C$5:$C$8,0))</f>
        <v/>
      </c>
      <c r="F57" s="72">
        <f>INDEX($F$5:$F$8,MATCH(D57,$C$5:$C$8,0))</f>
        <v/>
      </c>
      <c r="G57" s="72">
        <f>INDEX($G$5:$G$8,MATCH(D57,$C$5:$C$8,0))</f>
        <v/>
      </c>
      <c r="H57" s="72" t="inlineStr">
        <is>
          <t>CL - 806-12</t>
        </is>
      </c>
      <c r="I57" s="72" t="inlineStr">
        <is>
          <t>1x1A_C</t>
        </is>
      </c>
      <c r="J57" s="80" t="n">
        <v>656</v>
      </c>
      <c r="K57" s="72" t="inlineStr">
        <is>
          <t>Montgomery-Lewis, Jaylynne</t>
        </is>
      </c>
      <c r="L57" s="81" t="n">
        <v>1139</v>
      </c>
      <c r="M57" s="81">
        <f>Y57</f>
        <v/>
      </c>
      <c r="N57" s="82" t="n">
        <v>45863</v>
      </c>
      <c r="O57" s="82" t="n">
        <v>45863</v>
      </c>
      <c r="P57" s="82" t="n">
        <v>46227</v>
      </c>
      <c r="R57" s="81">
        <f>SUM(AB57:AK57)</f>
        <v/>
      </c>
      <c r="S57" s="81">
        <f>SUM(AM57:AQ57)</f>
        <v/>
      </c>
      <c r="T57" s="81">
        <f>SUM(AS57:AW57)</f>
        <v/>
      </c>
      <c r="Y57" s="81" t="n">
        <v>1139</v>
      </c>
    </row>
    <row r="58">
      <c r="A58" s="72">
        <f>$D$21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INDEX($C$5:$C$8,MATCH(I58,$D$5:$D$8,0))</f>
        <v/>
      </c>
      <c r="E58" s="72">
        <f>INDEX($E$5:$E$8,MATCH(D58,$C$5:$C$8,0))</f>
        <v/>
      </c>
      <c r="F58" s="72">
        <f>INDEX($F$5:$F$8,MATCH(D58,$C$5:$C$8,0))</f>
        <v/>
      </c>
      <c r="G58" s="72">
        <f>INDEX($G$5:$G$8,MATCH(D58,$C$5:$C$8,0))</f>
        <v/>
      </c>
      <c r="H58" s="72" t="inlineStr">
        <is>
          <t>CL - 806-14</t>
        </is>
      </c>
      <c r="I58" s="72" t="inlineStr">
        <is>
          <t>1x1A_C</t>
        </is>
      </c>
      <c r="J58" s="80" t="n">
        <v>476</v>
      </c>
      <c r="K58" s="72" t="inlineStr">
        <is>
          <t>Von Hassell, Damontay</t>
        </is>
      </c>
      <c r="L58" s="81" t="n">
        <v>1049</v>
      </c>
      <c r="M58" s="81">
        <f>Y58</f>
        <v/>
      </c>
      <c r="N58" s="82" t="n">
        <v>45831</v>
      </c>
      <c r="O58" s="82" t="n">
        <v>45831</v>
      </c>
      <c r="P58" s="82" t="n">
        <v>46195</v>
      </c>
      <c r="R58" s="81">
        <f>SUM(AB58:AK58)</f>
        <v/>
      </c>
      <c r="S58" s="81">
        <f>SUM(AM58:AQ58)</f>
        <v/>
      </c>
      <c r="T58" s="81">
        <f>SUM(AS58:AW58)</f>
        <v/>
      </c>
      <c r="Y58" s="81" t="n">
        <v>1099</v>
      </c>
    </row>
    <row r="59">
      <c r="A59" s="72">
        <f>$D$21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INDEX($C$5:$C$8,MATCH(I59,$D$5:$D$8,0))</f>
        <v/>
      </c>
      <c r="E59" s="72">
        <f>INDEX($E$5:$E$8,MATCH(D59,$C$5:$C$8,0))</f>
        <v/>
      </c>
      <c r="F59" s="72">
        <f>INDEX($F$5:$F$8,MATCH(D59,$C$5:$C$8,0))</f>
        <v/>
      </c>
      <c r="G59" s="72">
        <f>INDEX($G$5:$G$8,MATCH(D59,$C$5:$C$8,0))</f>
        <v/>
      </c>
      <c r="H59" s="72" t="inlineStr">
        <is>
          <t>CL - 806-15</t>
        </is>
      </c>
      <c r="I59" s="72" t="inlineStr">
        <is>
          <t>1x1A_C</t>
        </is>
      </c>
      <c r="J59" s="80" t="n">
        <v>723</v>
      </c>
      <c r="K59" s="72" t="inlineStr">
        <is>
          <t>Sorrells, Kashon</t>
        </is>
      </c>
      <c r="L59" s="81" t="n">
        <v>1164</v>
      </c>
      <c r="M59" s="81">
        <f>Y59</f>
        <v/>
      </c>
      <c r="N59" s="82" t="n">
        <v>44250</v>
      </c>
      <c r="O59" s="82" t="n">
        <v>46113</v>
      </c>
      <c r="R59" s="81">
        <f>SUM(AB59:AK59)</f>
        <v/>
      </c>
      <c r="S59" s="81">
        <f>SUM(AM59:AQ59)</f>
        <v/>
      </c>
      <c r="T59" s="81">
        <f>SUM(AS59:AW59)</f>
        <v/>
      </c>
      <c r="Y59" s="81" t="n">
        <v>990</v>
      </c>
    </row>
    <row r="60">
      <c r="A60" s="72">
        <f>$D$21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INDEX($C$5:$C$8,MATCH(I60,$D$5:$D$8,0))</f>
        <v/>
      </c>
      <c r="E60" s="72">
        <f>INDEX($E$5:$E$8,MATCH(D60,$C$5:$C$8,0))</f>
        <v/>
      </c>
      <c r="F60" s="72">
        <f>INDEX($F$5:$F$8,MATCH(D60,$C$5:$C$8,0))</f>
        <v/>
      </c>
      <c r="G60" s="72">
        <f>INDEX($G$5:$G$8,MATCH(D60,$C$5:$C$8,0))</f>
        <v/>
      </c>
      <c r="H60" s="72" t="inlineStr">
        <is>
          <t>CL - 806-16</t>
        </is>
      </c>
      <c r="I60" s="72" t="inlineStr">
        <is>
          <t>1x1A_C</t>
        </is>
      </c>
      <c r="J60" s="80" t="n">
        <v>516</v>
      </c>
      <c r="K60" s="72" t="inlineStr">
        <is>
          <t>Pitvorec, Jeremy</t>
        </is>
      </c>
      <c r="L60" s="81" t="n">
        <v>1149</v>
      </c>
      <c r="M60" s="81">
        <f>Y60</f>
        <v/>
      </c>
      <c r="N60" s="82" t="n">
        <v>44621</v>
      </c>
      <c r="O60" s="82" t="n">
        <v>46082</v>
      </c>
      <c r="P60" s="82" t="n">
        <v>46538</v>
      </c>
      <c r="R60" s="81">
        <f>SUM(AB60:AK60)</f>
        <v/>
      </c>
      <c r="S60" s="81">
        <f>SUM(AM60:AQ60)</f>
        <v/>
      </c>
      <c r="T60" s="81">
        <f>SUM(AS60:AW60)</f>
        <v/>
      </c>
      <c r="Y60" s="81" t="n">
        <v>1125</v>
      </c>
    </row>
    <row r="61">
      <c r="A61" s="72">
        <f>$D$21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INDEX($C$5:$C$8,MATCH(I61,$D$5:$D$8,0))</f>
        <v/>
      </c>
      <c r="E61" s="72">
        <f>INDEX($E$5:$E$8,MATCH(D61,$C$5:$C$8,0))</f>
        <v/>
      </c>
      <c r="F61" s="72">
        <f>INDEX($F$5:$F$8,MATCH(D61,$C$5:$C$8,0))</f>
        <v/>
      </c>
      <c r="G61" s="72">
        <f>INDEX($G$5:$G$8,MATCH(D61,$C$5:$C$8,0))</f>
        <v/>
      </c>
      <c r="H61" s="72" t="inlineStr">
        <is>
          <t>CL - 806-17</t>
        </is>
      </c>
      <c r="I61" s="72" t="inlineStr">
        <is>
          <t>1x1A_C</t>
        </is>
      </c>
      <c r="J61" s="80" t="n">
        <v>765</v>
      </c>
      <c r="K61" s="72" t="inlineStr">
        <is>
          <t>Quiroz, Espie</t>
        </is>
      </c>
      <c r="L61" s="81" t="n">
        <v>1179</v>
      </c>
      <c r="M61" s="81">
        <f>Y61</f>
        <v/>
      </c>
      <c r="N61" s="82" t="n">
        <v>45971</v>
      </c>
      <c r="O61" s="82" t="n">
        <v>45971</v>
      </c>
      <c r="P61" s="82" t="n">
        <v>46335</v>
      </c>
      <c r="R61" s="81">
        <f>SUM(AB61:AK61)</f>
        <v/>
      </c>
      <c r="S61" s="81">
        <f>SUM(AM61:AQ61)</f>
        <v/>
      </c>
      <c r="T61" s="81">
        <f>SUM(AS61:AW61)</f>
        <v/>
      </c>
      <c r="Y61" s="81" t="n">
        <v>1179</v>
      </c>
    </row>
    <row r="62">
      <c r="A62" s="72">
        <f>$D$21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INDEX($C$5:$C$8,MATCH(I62,$D$5:$D$8,0))</f>
        <v/>
      </c>
      <c r="E62" s="72">
        <f>INDEX($E$5:$E$8,MATCH(D62,$C$5:$C$8,0))</f>
        <v/>
      </c>
      <c r="F62" s="72">
        <f>INDEX($F$5:$F$8,MATCH(D62,$C$5:$C$8,0))</f>
        <v/>
      </c>
      <c r="G62" s="72">
        <f>INDEX($G$5:$G$8,MATCH(D62,$C$5:$C$8,0))</f>
        <v/>
      </c>
      <c r="H62" s="72" t="inlineStr">
        <is>
          <t>CL - 806-18</t>
        </is>
      </c>
      <c r="I62" s="72" t="inlineStr">
        <is>
          <t>1x1A_C</t>
        </is>
      </c>
      <c r="J62" s="80" t="n">
        <v>765</v>
      </c>
      <c r="K62" s="72" t="inlineStr">
        <is>
          <t>Ostrander, Bradley</t>
        </is>
      </c>
      <c r="L62" s="81" t="n">
        <v>1124</v>
      </c>
      <c r="M62" s="81">
        <f>Y62</f>
        <v/>
      </c>
      <c r="N62" s="82" t="n">
        <v>45946</v>
      </c>
      <c r="O62" s="82" t="n">
        <v>45946</v>
      </c>
      <c r="P62" s="82" t="n">
        <v>46310</v>
      </c>
      <c r="R62" s="81">
        <f>SUM(AB62:AK62)</f>
        <v/>
      </c>
      <c r="S62" s="81">
        <f>SUM(AM62:AQ62)</f>
        <v/>
      </c>
      <c r="T62" s="81">
        <f>SUM(AS62:AW62)</f>
        <v/>
      </c>
      <c r="Y62" s="81" t="n">
        <v>1124</v>
      </c>
    </row>
    <row r="63">
      <c r="A63" s="72">
        <f>$D$21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INDEX($C$5:$C$8,MATCH(I63,$D$5:$D$8,0))</f>
        <v/>
      </c>
      <c r="E63" s="72">
        <f>INDEX($E$5:$E$8,MATCH(D63,$C$5:$C$8,0))</f>
        <v/>
      </c>
      <c r="F63" s="72">
        <f>INDEX($F$5:$F$8,MATCH(D63,$C$5:$C$8,0))</f>
        <v/>
      </c>
      <c r="G63" s="72">
        <f>INDEX($G$5:$G$8,MATCH(D63,$C$5:$C$8,0))</f>
        <v/>
      </c>
      <c r="H63" s="72" t="inlineStr">
        <is>
          <t>CL - 806-19</t>
        </is>
      </c>
      <c r="I63" s="72" t="inlineStr">
        <is>
          <t>2x1A_C</t>
        </is>
      </c>
      <c r="J63" s="80" t="n">
        <v>781</v>
      </c>
      <c r="K63" s="72" t="inlineStr">
        <is>
          <t>Webb, Kennetha</t>
        </is>
      </c>
      <c r="L63" s="81" t="n">
        <v>1324</v>
      </c>
      <c r="M63" s="81">
        <f>Y63</f>
        <v/>
      </c>
      <c r="N63" s="82" t="n">
        <v>45926</v>
      </c>
      <c r="O63" s="82" t="n">
        <v>45926</v>
      </c>
      <c r="P63" s="82" t="n">
        <v>46381</v>
      </c>
      <c r="R63" s="81">
        <f>SUM(AB63:AK63)</f>
        <v/>
      </c>
      <c r="S63" s="81">
        <f>SUM(AM63:AQ63)</f>
        <v/>
      </c>
      <c r="T63" s="81">
        <f>SUM(AS63:AW63)</f>
        <v/>
      </c>
      <c r="Y63" s="81" t="n">
        <v>1324</v>
      </c>
    </row>
    <row r="64">
      <c r="A64" s="72">
        <f>$D$21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INDEX($C$5:$C$8,MATCH(I64,$D$5:$D$8,0))</f>
        <v/>
      </c>
      <c r="E64" s="72">
        <f>INDEX($E$5:$E$8,MATCH(D64,$C$5:$C$8,0))</f>
        <v/>
      </c>
      <c r="F64" s="72">
        <f>INDEX($F$5:$F$8,MATCH(D64,$C$5:$C$8,0))</f>
        <v/>
      </c>
      <c r="G64" s="72">
        <f>INDEX($G$5:$G$8,MATCH(D64,$C$5:$C$8,0))</f>
        <v/>
      </c>
      <c r="H64" s="72" t="inlineStr">
        <is>
          <t>CL - 806-20</t>
        </is>
      </c>
      <c r="I64" s="72" t="inlineStr">
        <is>
          <t>1x1A_C</t>
        </is>
      </c>
      <c r="J64" s="80" t="n">
        <v>515</v>
      </c>
      <c r="K64" s="72" t="inlineStr">
        <is>
          <t>Keaton, Aniya</t>
        </is>
      </c>
      <c r="L64" s="81" t="n">
        <v>1114</v>
      </c>
      <c r="M64" s="81">
        <f>Y64</f>
        <v/>
      </c>
      <c r="N64" s="82" t="n">
        <v>45836</v>
      </c>
      <c r="O64" s="82" t="n">
        <v>45836</v>
      </c>
      <c r="P64" s="82" t="n">
        <v>46200</v>
      </c>
      <c r="R64" s="81">
        <f>SUM(AB64:AK64)</f>
        <v/>
      </c>
      <c r="S64" s="81">
        <f>SUM(AM64:AQ64)</f>
        <v/>
      </c>
      <c r="T64" s="81">
        <f>SUM(AS64:AW64)</f>
        <v/>
      </c>
      <c r="Y64" s="81" t="n">
        <v>1114</v>
      </c>
    </row>
    <row r="65">
      <c r="A65" s="72">
        <f>$D$21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INDEX($C$5:$C$8,MATCH(I65,$D$5:$D$8,0))</f>
        <v/>
      </c>
      <c r="E65" s="72">
        <f>INDEX($E$5:$E$8,MATCH(D65,$C$5:$C$8,0))</f>
        <v/>
      </c>
      <c r="F65" s="72">
        <f>INDEX($F$5:$F$8,MATCH(D65,$C$5:$C$8,0))</f>
        <v/>
      </c>
      <c r="G65" s="72">
        <f>INDEX($G$5:$G$8,MATCH(D65,$C$5:$C$8,0))</f>
        <v/>
      </c>
      <c r="H65" s="72" t="inlineStr">
        <is>
          <t>CL - 806-21</t>
        </is>
      </c>
      <c r="I65" s="72" t="inlineStr">
        <is>
          <t>1x1A_C</t>
        </is>
      </c>
      <c r="J65" s="80" t="n">
        <v>515</v>
      </c>
      <c r="K65" s="72" t="inlineStr">
        <is>
          <t>Sanchez Hernandez, Jose Adolfo</t>
        </is>
      </c>
      <c r="L65" s="81" t="n">
        <v>1169</v>
      </c>
      <c r="M65" s="81">
        <f>Y65</f>
        <v/>
      </c>
      <c r="N65" s="82" t="n">
        <v>45623</v>
      </c>
      <c r="O65" s="82" t="n">
        <v>45988</v>
      </c>
      <c r="P65" s="82" t="n">
        <v>46352</v>
      </c>
      <c r="R65" s="81">
        <f>SUM(AB65:AK65)</f>
        <v/>
      </c>
      <c r="S65" s="81">
        <f>SUM(AM65:AQ65)</f>
        <v/>
      </c>
      <c r="T65" s="81">
        <f>SUM(AS65:AW65)</f>
        <v/>
      </c>
      <c r="Y65" s="81" t="n">
        <v>1245</v>
      </c>
    </row>
    <row r="66">
      <c r="A66" s="72">
        <f>$D$21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INDEX($C$5:$C$8,MATCH(I66,$D$5:$D$8,0))</f>
        <v/>
      </c>
      <c r="E66" s="72">
        <f>INDEX($E$5:$E$8,MATCH(D66,$C$5:$C$8,0))</f>
        <v/>
      </c>
      <c r="F66" s="72">
        <f>INDEX($F$5:$F$8,MATCH(D66,$C$5:$C$8,0))</f>
        <v/>
      </c>
      <c r="G66" s="72">
        <f>INDEX($G$5:$G$8,MATCH(D66,$C$5:$C$8,0))</f>
        <v/>
      </c>
      <c r="H66" s="72" t="inlineStr">
        <is>
          <t>CL - 806-22</t>
        </is>
      </c>
      <c r="I66" s="72" t="inlineStr">
        <is>
          <t>1x1A_C</t>
        </is>
      </c>
      <c r="J66" s="80" t="n">
        <v>748</v>
      </c>
      <c r="K66" s="72" t="inlineStr">
        <is>
          <t>Sablas, Mary</t>
        </is>
      </c>
      <c r="L66" s="81" t="n">
        <v>1109</v>
      </c>
      <c r="M66" s="81">
        <f>Y66</f>
        <v/>
      </c>
      <c r="N66" s="82" t="n">
        <v>45308</v>
      </c>
      <c r="O66" s="82" t="n">
        <v>46039</v>
      </c>
      <c r="P66" s="82" t="n">
        <v>46493</v>
      </c>
      <c r="R66" s="81">
        <f>SUM(AB66:AK66)</f>
        <v/>
      </c>
      <c r="S66" s="81">
        <f>SUM(AM66:AQ66)</f>
        <v/>
      </c>
      <c r="T66" s="81">
        <f>SUM(AS66:AW66)</f>
        <v/>
      </c>
      <c r="Y66" s="81" t="n">
        <v>1059</v>
      </c>
    </row>
    <row r="67">
      <c r="A67" s="72">
        <f>$D$21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INDEX($C$5:$C$8,MATCH(I67,$D$5:$D$8,0))</f>
        <v/>
      </c>
      <c r="E67" s="72">
        <f>INDEX($E$5:$E$8,MATCH(D67,$C$5:$C$8,0))</f>
        <v/>
      </c>
      <c r="F67" s="72">
        <f>INDEX($F$5:$F$8,MATCH(D67,$C$5:$C$8,0))</f>
        <v/>
      </c>
      <c r="G67" s="72">
        <f>INDEX($G$5:$G$8,MATCH(D67,$C$5:$C$8,0))</f>
        <v/>
      </c>
      <c r="H67" s="72" t="inlineStr">
        <is>
          <t>CL - 806-23</t>
        </is>
      </c>
      <c r="I67" s="72" t="inlineStr">
        <is>
          <t>2x1A_C</t>
        </is>
      </c>
      <c r="J67" s="80" t="n">
        <v>888</v>
      </c>
      <c r="K67" s="72" t="inlineStr">
        <is>
          <t>Sell, Miranda</t>
        </is>
      </c>
      <c r="L67" s="81" t="n">
        <v>1384</v>
      </c>
      <c r="M67" s="81">
        <f>Y67</f>
        <v/>
      </c>
      <c r="N67" s="82" t="n">
        <v>45990</v>
      </c>
      <c r="O67" s="82" t="n">
        <v>45990</v>
      </c>
      <c r="P67" s="82" t="n">
        <v>46354</v>
      </c>
      <c r="R67" s="81">
        <f>SUM(AB67:AK67)</f>
        <v/>
      </c>
      <c r="S67" s="81">
        <f>SUM(AM67:AQ67)</f>
        <v/>
      </c>
      <c r="T67" s="81">
        <f>SUM(AS67:AW67)</f>
        <v/>
      </c>
      <c r="Y67" s="81" t="n">
        <v>1384</v>
      </c>
    </row>
    <row r="68">
      <c r="A68" s="72">
        <f>$D$21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INDEX($C$5:$C$8,MATCH(I68,$D$5:$D$8,0))</f>
        <v/>
      </c>
      <c r="E68" s="72">
        <f>INDEX($E$5:$E$8,MATCH(D68,$C$5:$C$8,0))</f>
        <v/>
      </c>
      <c r="F68" s="72">
        <f>INDEX($F$5:$F$8,MATCH(D68,$C$5:$C$8,0))</f>
        <v/>
      </c>
      <c r="G68" s="72">
        <f>INDEX($G$5:$G$8,MATCH(D68,$C$5:$C$8,0))</f>
        <v/>
      </c>
      <c r="H68" s="72" t="inlineStr">
        <is>
          <t>CL - 806-24</t>
        </is>
      </c>
      <c r="I68" s="72" t="inlineStr">
        <is>
          <t>2x1A_C</t>
        </is>
      </c>
      <c r="J68" s="80" t="n">
        <v>683</v>
      </c>
      <c r="K68" s="72" t="inlineStr">
        <is>
          <t>-- Vacant --</t>
        </is>
      </c>
      <c r="L68" s="81" t="n">
        <v>1355</v>
      </c>
      <c r="M68" s="81">
        <f>Y68</f>
        <v/>
      </c>
      <c r="R68" s="81">
        <f>SUM(AB68:AK68)</f>
        <v/>
      </c>
      <c r="S68" s="81">
        <f>SUM(AM68:AQ68)</f>
        <v/>
      </c>
      <c r="T68" s="81">
        <f>SUM(AS68:AW68)</f>
        <v/>
      </c>
      <c r="Y68" s="81" t="n">
        <v>0</v>
      </c>
    </row>
    <row r="69">
      <c r="A69" s="72">
        <f>$D$21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INDEX($C$5:$C$8,MATCH(I69,$D$5:$D$8,0))</f>
        <v/>
      </c>
      <c r="E69" s="72">
        <f>INDEX($E$5:$E$8,MATCH(D69,$C$5:$C$8,0))</f>
        <v/>
      </c>
      <c r="F69" s="72">
        <f>INDEX($F$5:$F$8,MATCH(D69,$C$5:$C$8,0))</f>
        <v/>
      </c>
      <c r="G69" s="72">
        <f>INDEX($G$5:$G$8,MATCH(D69,$C$5:$C$8,0))</f>
        <v/>
      </c>
      <c r="H69" s="72" t="inlineStr">
        <is>
          <t>CL - 806-25</t>
        </is>
      </c>
      <c r="I69" s="72" t="inlineStr">
        <is>
          <t>2x1A_C</t>
        </is>
      </c>
      <c r="J69" s="80" t="n">
        <v>781</v>
      </c>
      <c r="K69" s="72" t="inlineStr">
        <is>
          <t>Williams, Andre</t>
        </is>
      </c>
      <c r="L69" s="81" t="n">
        <v>1314</v>
      </c>
      <c r="M69" s="81">
        <f>Y69</f>
        <v/>
      </c>
      <c r="N69" s="82" t="n">
        <v>45717</v>
      </c>
      <c r="O69" s="82" t="n">
        <v>46082</v>
      </c>
      <c r="P69" s="82" t="n">
        <v>46446</v>
      </c>
      <c r="R69" s="81">
        <f>SUM(AB69:AK69)</f>
        <v/>
      </c>
      <c r="S69" s="81">
        <f>SUM(AM69:AQ69)</f>
        <v/>
      </c>
      <c r="T69" s="81">
        <f>SUM(AS69:AW69)</f>
        <v/>
      </c>
      <c r="Y69" s="81" t="n">
        <v>1184</v>
      </c>
    </row>
    <row r="70">
      <c r="A70" s="72">
        <f>$D$21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INDEX($C$5:$C$8,MATCH(I70,$D$5:$D$8,0))</f>
        <v/>
      </c>
      <c r="E70" s="72">
        <f>INDEX($E$5:$E$8,MATCH(D70,$C$5:$C$8,0))</f>
        <v/>
      </c>
      <c r="F70" s="72">
        <f>INDEX($F$5:$F$8,MATCH(D70,$C$5:$C$8,0))</f>
        <v/>
      </c>
      <c r="G70" s="72">
        <f>INDEX($G$5:$G$8,MATCH(D70,$C$5:$C$8,0))</f>
        <v/>
      </c>
      <c r="H70" s="72" t="inlineStr">
        <is>
          <t>CL - 806-26</t>
        </is>
      </c>
      <c r="I70" s="72" t="inlineStr">
        <is>
          <t>2x1A_C</t>
        </is>
      </c>
      <c r="J70" s="80" t="n">
        <v>685</v>
      </c>
      <c r="K70" s="72" t="inlineStr">
        <is>
          <t>Hausley, Isaiah</t>
        </is>
      </c>
      <c r="L70" s="81" t="n">
        <v>1364</v>
      </c>
      <c r="M70" s="81">
        <f>Y70</f>
        <v/>
      </c>
      <c r="N70" s="82" t="n">
        <v>44909</v>
      </c>
      <c r="O70" s="82" t="n">
        <v>46039</v>
      </c>
      <c r="P70" s="82" t="n">
        <v>46403</v>
      </c>
      <c r="R70" s="81">
        <f>SUM(AB70:AK70)</f>
        <v/>
      </c>
      <c r="S70" s="81">
        <f>SUM(AM70:AQ70)</f>
        <v/>
      </c>
      <c r="T70" s="81">
        <f>SUM(AS70:AW70)</f>
        <v/>
      </c>
      <c r="Y70" s="81" t="n">
        <v>1255</v>
      </c>
    </row>
    <row r="71">
      <c r="A71" s="72">
        <f>$D$21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INDEX($C$5:$C$8,MATCH(I71,$D$5:$D$8,0))</f>
        <v/>
      </c>
      <c r="E71" s="72">
        <f>INDEX($E$5:$E$8,MATCH(D71,$C$5:$C$8,0))</f>
        <v/>
      </c>
      <c r="F71" s="72">
        <f>INDEX($F$5:$F$8,MATCH(D71,$C$5:$C$8,0))</f>
        <v/>
      </c>
      <c r="G71" s="72">
        <f>INDEX($G$5:$G$8,MATCH(D71,$C$5:$C$8,0))</f>
        <v/>
      </c>
      <c r="H71" s="72" t="inlineStr">
        <is>
          <t>CL - 806-27</t>
        </is>
      </c>
      <c r="I71" s="72" t="inlineStr">
        <is>
          <t>1x1A_C</t>
        </is>
      </c>
      <c r="J71" s="80" t="n">
        <v>516</v>
      </c>
      <c r="K71" s="72" t="inlineStr">
        <is>
          <t>West, Brayden</t>
        </is>
      </c>
      <c r="L71" s="81" t="n">
        <v>1149</v>
      </c>
      <c r="M71" s="81">
        <f>Y71</f>
        <v/>
      </c>
      <c r="N71" s="82" t="n">
        <v>45869</v>
      </c>
      <c r="O71" s="82" t="n">
        <v>45869</v>
      </c>
      <c r="P71" s="82" t="n">
        <v>46233</v>
      </c>
      <c r="R71" s="81">
        <f>SUM(AB71:AK71)</f>
        <v/>
      </c>
      <c r="S71" s="81">
        <f>SUM(AM71:AQ71)</f>
        <v/>
      </c>
      <c r="T71" s="81">
        <f>SUM(AS71:AW71)</f>
        <v/>
      </c>
      <c r="Y71" s="81" t="n">
        <v>1149</v>
      </c>
    </row>
    <row r="72">
      <c r="A72" s="72">
        <f>$D$21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INDEX($C$5:$C$8,MATCH(I72,$D$5:$D$8,0))</f>
        <v/>
      </c>
      <c r="E72" s="72">
        <f>INDEX($E$5:$E$8,MATCH(D72,$C$5:$C$8,0))</f>
        <v/>
      </c>
      <c r="F72" s="72">
        <f>INDEX($F$5:$F$8,MATCH(D72,$C$5:$C$8,0))</f>
        <v/>
      </c>
      <c r="G72" s="72">
        <f>INDEX($G$5:$G$8,MATCH(D72,$C$5:$C$8,0))</f>
        <v/>
      </c>
      <c r="H72" s="72" t="inlineStr">
        <is>
          <t>CL - 806-28</t>
        </is>
      </c>
      <c r="I72" s="72" t="inlineStr">
        <is>
          <t>2x1A_C</t>
        </is>
      </c>
      <c r="J72" s="80" t="n">
        <v>775</v>
      </c>
      <c r="K72" s="72" t="inlineStr">
        <is>
          <t>-- Vacant --</t>
        </is>
      </c>
      <c r="L72" s="81" t="n">
        <v>1355</v>
      </c>
      <c r="M72" s="81">
        <f>Y72</f>
        <v/>
      </c>
      <c r="R72" s="81">
        <f>SUM(AB72:AK72)</f>
        <v/>
      </c>
      <c r="S72" s="81">
        <f>SUM(AM72:AQ72)</f>
        <v/>
      </c>
      <c r="T72" s="81">
        <f>SUM(AS72:AW72)</f>
        <v/>
      </c>
      <c r="Y72" s="81" t="n">
        <v>0</v>
      </c>
    </row>
    <row r="73">
      <c r="A73" s="72">
        <f>$D$21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INDEX($C$5:$C$8,MATCH(I73,$D$5:$D$8,0))</f>
        <v/>
      </c>
      <c r="E73" s="72">
        <f>INDEX($E$5:$E$8,MATCH(D73,$C$5:$C$8,0))</f>
        <v/>
      </c>
      <c r="F73" s="72">
        <f>INDEX($F$5:$F$8,MATCH(D73,$C$5:$C$8,0))</f>
        <v/>
      </c>
      <c r="G73" s="72">
        <f>INDEX($G$5:$G$8,MATCH(D73,$C$5:$C$8,0))</f>
        <v/>
      </c>
      <c r="H73" s="72" t="inlineStr">
        <is>
          <t>CL - 806-29</t>
        </is>
      </c>
      <c r="I73" s="72" t="inlineStr">
        <is>
          <t>2x1A_C</t>
        </is>
      </c>
      <c r="J73" s="80" t="n">
        <v>712</v>
      </c>
      <c r="K73" s="72" t="inlineStr">
        <is>
          <t>Ndiaye, Omar</t>
        </is>
      </c>
      <c r="L73" s="81" t="n">
        <v>1349</v>
      </c>
      <c r="M73" s="81">
        <f>Y73</f>
        <v/>
      </c>
      <c r="N73" s="82" t="n">
        <v>45120</v>
      </c>
      <c r="O73" s="82" t="n">
        <v>45851</v>
      </c>
      <c r="P73" s="82" t="n">
        <v>46215</v>
      </c>
      <c r="R73" s="81">
        <f>SUM(AB73:AK73)</f>
        <v/>
      </c>
      <c r="S73" s="81">
        <f>SUM(AM73:AQ73)</f>
        <v/>
      </c>
      <c r="T73" s="81">
        <f>SUM(AS73:AW73)</f>
        <v/>
      </c>
      <c r="Y73" s="81" t="n">
        <v>1330</v>
      </c>
    </row>
    <row r="74">
      <c r="A74" s="72">
        <f>$D$21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INDEX($C$5:$C$8,MATCH(I74,$D$5:$D$8,0))</f>
        <v/>
      </c>
      <c r="E74" s="72">
        <f>INDEX($E$5:$E$8,MATCH(D74,$C$5:$C$8,0))</f>
        <v/>
      </c>
      <c r="F74" s="72">
        <f>INDEX($F$5:$F$8,MATCH(D74,$C$5:$C$8,0))</f>
        <v/>
      </c>
      <c r="G74" s="72">
        <f>INDEX($G$5:$G$8,MATCH(D74,$C$5:$C$8,0))</f>
        <v/>
      </c>
      <c r="H74" s="72" t="inlineStr">
        <is>
          <t>CL - 806-30</t>
        </is>
      </c>
      <c r="I74" s="72" t="inlineStr">
        <is>
          <t>1x1A_C</t>
        </is>
      </c>
      <c r="J74" s="80" t="n">
        <v>712</v>
      </c>
      <c r="K74" s="72" t="inlineStr">
        <is>
          <t>Ogundipe, Eniola</t>
        </is>
      </c>
      <c r="L74" s="81" t="n">
        <v>1124</v>
      </c>
      <c r="M74" s="81">
        <f>Y74</f>
        <v/>
      </c>
      <c r="N74" s="82" t="n">
        <v>45077</v>
      </c>
      <c r="O74" s="82" t="n">
        <v>45808</v>
      </c>
      <c r="P74" s="82" t="n">
        <v>46172</v>
      </c>
      <c r="R74" s="81">
        <f>SUM(AB74:AK74)</f>
        <v/>
      </c>
      <c r="S74" s="81">
        <f>SUM(AM74:AQ74)</f>
        <v/>
      </c>
      <c r="T74" s="81">
        <f>SUM(AS74:AW74)</f>
        <v/>
      </c>
      <c r="Y74" s="81" t="n">
        <v>1185</v>
      </c>
    </row>
    <row r="75">
      <c r="A75" s="72">
        <f>$D$21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INDEX($C$5:$C$8,MATCH(I75,$D$5:$D$8,0))</f>
        <v/>
      </c>
      <c r="E75" s="72">
        <f>INDEX($E$5:$E$8,MATCH(D75,$C$5:$C$8,0))</f>
        <v/>
      </c>
      <c r="F75" s="72">
        <f>INDEX($F$5:$F$8,MATCH(D75,$C$5:$C$8,0))</f>
        <v/>
      </c>
      <c r="G75" s="72">
        <f>INDEX($G$5:$G$8,MATCH(D75,$C$5:$C$8,0))</f>
        <v/>
      </c>
      <c r="H75" s="72" t="inlineStr">
        <is>
          <t>CL - 806-31</t>
        </is>
      </c>
      <c r="I75" s="72" t="inlineStr">
        <is>
          <t>2x1A_C</t>
        </is>
      </c>
      <c r="J75" s="80" t="n">
        <v>781</v>
      </c>
      <c r="K75" s="72" t="inlineStr">
        <is>
          <t>HUTZELL, LILLIAN</t>
        </is>
      </c>
      <c r="L75" s="81" t="n">
        <v>1349</v>
      </c>
      <c r="M75" s="81">
        <f>Y75</f>
        <v/>
      </c>
      <c r="N75" s="82" t="n">
        <v>44678</v>
      </c>
      <c r="O75" s="82" t="n">
        <v>46139</v>
      </c>
      <c r="P75" s="82" t="n">
        <v>46503</v>
      </c>
      <c r="R75" s="81">
        <f>SUM(AB75:AK75)</f>
        <v/>
      </c>
      <c r="S75" s="81">
        <f>SUM(AM75:AQ75)</f>
        <v/>
      </c>
      <c r="T75" s="81">
        <f>SUM(AS75:AW75)</f>
        <v/>
      </c>
      <c r="Y75" s="81" t="n">
        <v>1355</v>
      </c>
    </row>
    <row r="76">
      <c r="A76" s="72">
        <f>$D$21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INDEX($C$5:$C$8,MATCH(I76,$D$5:$D$8,0))</f>
        <v/>
      </c>
      <c r="E76" s="72">
        <f>INDEX($E$5:$E$8,MATCH(D76,$C$5:$C$8,0))</f>
        <v/>
      </c>
      <c r="F76" s="72">
        <f>INDEX($F$5:$F$8,MATCH(D76,$C$5:$C$8,0))</f>
        <v/>
      </c>
      <c r="G76" s="72">
        <f>INDEX($G$5:$G$8,MATCH(D76,$C$5:$C$8,0))</f>
        <v/>
      </c>
      <c r="H76" s="72" t="inlineStr">
        <is>
          <t>CL - 806-32</t>
        </is>
      </c>
      <c r="I76" s="72" t="inlineStr">
        <is>
          <t>2x1A_C</t>
        </is>
      </c>
      <c r="J76" s="80" t="n">
        <v>686</v>
      </c>
      <c r="K76" s="72" t="inlineStr">
        <is>
          <t>La Flower, Michael</t>
        </is>
      </c>
      <c r="L76" s="81" t="n">
        <v>1334</v>
      </c>
      <c r="M76" s="81">
        <f>Y76</f>
        <v/>
      </c>
      <c r="N76" s="82" t="n">
        <v>45898</v>
      </c>
      <c r="O76" s="82" t="n">
        <v>45898</v>
      </c>
      <c r="P76" s="82" t="n">
        <v>46262</v>
      </c>
      <c r="R76" s="81">
        <f>SUM(AB76:AK76)</f>
        <v/>
      </c>
      <c r="S76" s="81">
        <f>SUM(AM76:AQ76)</f>
        <v/>
      </c>
      <c r="T76" s="81">
        <f>SUM(AS76:AW76)</f>
        <v/>
      </c>
      <c r="Y76" s="81" t="n">
        <v>1334</v>
      </c>
    </row>
    <row r="77">
      <c r="A77" s="72">
        <f>$D$21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INDEX($C$5:$C$8,MATCH(I77,$D$5:$D$8,0))</f>
        <v/>
      </c>
      <c r="E77" s="72">
        <f>INDEX($E$5:$E$8,MATCH(D77,$C$5:$C$8,0))</f>
        <v/>
      </c>
      <c r="F77" s="72">
        <f>INDEX($F$5:$F$8,MATCH(D77,$C$5:$C$8,0))</f>
        <v/>
      </c>
      <c r="G77" s="72">
        <f>INDEX($G$5:$G$8,MATCH(D77,$C$5:$C$8,0))</f>
        <v/>
      </c>
      <c r="H77" s="72" t="inlineStr">
        <is>
          <t>CL - 806-33</t>
        </is>
      </c>
      <c r="I77" s="72" t="inlineStr">
        <is>
          <t>1x1A_C</t>
        </is>
      </c>
      <c r="J77" s="80" t="n">
        <v>516</v>
      </c>
      <c r="K77" s="72" t="inlineStr">
        <is>
          <t>Bowman, Katherine</t>
        </is>
      </c>
      <c r="L77" s="81" t="n">
        <v>1124</v>
      </c>
      <c r="M77" s="81">
        <f>Y77</f>
        <v/>
      </c>
      <c r="N77" s="82" t="n">
        <v>45821</v>
      </c>
      <c r="O77" s="82" t="n">
        <v>45821</v>
      </c>
      <c r="P77" s="82" t="n">
        <v>46186</v>
      </c>
      <c r="R77" s="81">
        <f>SUM(AB77:AK77)</f>
        <v/>
      </c>
      <c r="S77" s="81">
        <f>SUM(AM77:AQ77)</f>
        <v/>
      </c>
      <c r="T77" s="81">
        <f>SUM(AS77:AW77)</f>
        <v/>
      </c>
      <c r="Y77" s="81" t="n">
        <v>1124</v>
      </c>
    </row>
    <row r="78">
      <c r="A78" s="72">
        <f>$D$21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INDEX($C$5:$C$8,MATCH(I78,$D$5:$D$8,0))</f>
        <v/>
      </c>
      <c r="E78" s="72">
        <f>INDEX($E$5:$E$8,MATCH(D78,$C$5:$C$8,0))</f>
        <v/>
      </c>
      <c r="F78" s="72">
        <f>INDEX($F$5:$F$8,MATCH(D78,$C$5:$C$8,0))</f>
        <v/>
      </c>
      <c r="G78" s="72">
        <f>INDEX($G$5:$G$8,MATCH(D78,$C$5:$C$8,0))</f>
        <v/>
      </c>
      <c r="H78" s="72" t="inlineStr">
        <is>
          <t>CL - 806-34</t>
        </is>
      </c>
      <c r="I78" s="72" t="inlineStr">
        <is>
          <t>2x1A_C</t>
        </is>
      </c>
      <c r="J78" s="80" t="n">
        <v>748</v>
      </c>
      <c r="K78" s="72" t="inlineStr">
        <is>
          <t>Asher, Derrick</t>
        </is>
      </c>
      <c r="L78" s="81" t="n">
        <v>1334</v>
      </c>
      <c r="M78" s="81">
        <f>Y78</f>
        <v/>
      </c>
      <c r="N78" s="82" t="n">
        <v>45855</v>
      </c>
      <c r="O78" s="82" t="n">
        <v>45855</v>
      </c>
      <c r="P78" s="82" t="n">
        <v>46219</v>
      </c>
      <c r="R78" s="81">
        <f>SUM(AB78:AK78)</f>
        <v/>
      </c>
      <c r="S78" s="81">
        <f>SUM(AM78:AQ78)</f>
        <v/>
      </c>
      <c r="T78" s="81">
        <f>SUM(AS78:AW78)</f>
        <v/>
      </c>
      <c r="Y78" s="81" t="n">
        <v>1334</v>
      </c>
    </row>
    <row r="79">
      <c r="A79" s="72">
        <f>$D$21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INDEX($C$5:$C$8,MATCH(I79,$D$5:$D$8,0))</f>
        <v/>
      </c>
      <c r="E79" s="72">
        <f>INDEX($E$5:$E$8,MATCH(D79,$C$5:$C$8,0))</f>
        <v/>
      </c>
      <c r="F79" s="72">
        <f>INDEX($F$5:$F$8,MATCH(D79,$C$5:$C$8,0))</f>
        <v/>
      </c>
      <c r="G79" s="72">
        <f>INDEX($G$5:$G$8,MATCH(D79,$C$5:$C$8,0))</f>
        <v/>
      </c>
      <c r="H79" s="72" t="inlineStr">
        <is>
          <t>CL - 806-35</t>
        </is>
      </c>
      <c r="I79" s="72" t="inlineStr">
        <is>
          <t>2x1A_C</t>
        </is>
      </c>
      <c r="J79" s="80" t="n">
        <v>1078</v>
      </c>
      <c r="K79" s="72" t="inlineStr">
        <is>
          <t>Mack, Morgan</t>
        </is>
      </c>
      <c r="L79" s="81" t="n">
        <v>1394</v>
      </c>
      <c r="M79" s="81">
        <f>Y79</f>
        <v/>
      </c>
      <c r="N79" s="82" t="n">
        <v>46112</v>
      </c>
      <c r="O79" s="82" t="n">
        <v>46112</v>
      </c>
      <c r="P79" s="82" t="n">
        <v>46476</v>
      </c>
      <c r="R79" s="81">
        <f>SUM(AB79:AK79)</f>
        <v/>
      </c>
      <c r="S79" s="81">
        <f>SUM(AM79:AQ79)</f>
        <v/>
      </c>
      <c r="T79" s="81">
        <f>SUM(AS79:AW79)</f>
        <v/>
      </c>
      <c r="Y79" s="81" t="n">
        <v>1394</v>
      </c>
    </row>
    <row r="80">
      <c r="A80" s="72">
        <f>$D$21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INDEX($C$5:$C$8,MATCH(I80,$D$5:$D$8,0))</f>
        <v/>
      </c>
      <c r="E80" s="72">
        <f>INDEX($E$5:$E$8,MATCH(D80,$C$5:$C$8,0))</f>
        <v/>
      </c>
      <c r="F80" s="72">
        <f>INDEX($F$5:$F$8,MATCH(D80,$C$5:$C$8,0))</f>
        <v/>
      </c>
      <c r="G80" s="72">
        <f>INDEX($G$5:$G$8,MATCH(D80,$C$5:$C$8,0))</f>
        <v/>
      </c>
      <c r="H80" s="72" t="inlineStr">
        <is>
          <t>CL - 816-1</t>
        </is>
      </c>
      <c r="I80" s="72" t="inlineStr">
        <is>
          <t>1x1A_C</t>
        </is>
      </c>
      <c r="J80" s="80" t="n">
        <v>540</v>
      </c>
      <c r="K80" s="72" t="inlineStr">
        <is>
          <t>Miller, Brian</t>
        </is>
      </c>
      <c r="L80" s="81" t="n">
        <v>1189</v>
      </c>
      <c r="M80" s="81">
        <f>Y80</f>
        <v/>
      </c>
      <c r="N80" s="82" t="n">
        <v>45595</v>
      </c>
      <c r="O80" s="82" t="n">
        <v>45960</v>
      </c>
      <c r="P80" s="82" t="n">
        <v>46416</v>
      </c>
      <c r="R80" s="81">
        <f>SUM(AB80:AK80)</f>
        <v/>
      </c>
      <c r="S80" s="81">
        <f>SUM(AM80:AQ80)</f>
        <v/>
      </c>
      <c r="T80" s="81">
        <f>SUM(AS80:AW80)</f>
        <v/>
      </c>
      <c r="Y80" s="81" t="n">
        <v>1300</v>
      </c>
    </row>
    <row r="81">
      <c r="A81" s="72">
        <f>$D$21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INDEX($C$5:$C$8,MATCH(I81,$D$5:$D$8,0))</f>
        <v/>
      </c>
      <c r="E81" s="72">
        <f>INDEX($E$5:$E$8,MATCH(D81,$C$5:$C$8,0))</f>
        <v/>
      </c>
      <c r="F81" s="72">
        <f>INDEX($F$5:$F$8,MATCH(D81,$C$5:$C$8,0))</f>
        <v/>
      </c>
      <c r="G81" s="72">
        <f>INDEX($G$5:$G$8,MATCH(D81,$C$5:$C$8,0))</f>
        <v/>
      </c>
      <c r="H81" s="72" t="inlineStr">
        <is>
          <t>CL - 816-2</t>
        </is>
      </c>
      <c r="I81" s="72" t="inlineStr">
        <is>
          <t>1x1A_C</t>
        </is>
      </c>
      <c r="J81" s="80" t="n">
        <v>775</v>
      </c>
      <c r="K81" s="72" t="inlineStr">
        <is>
          <t>Holbrook, Kendrick</t>
        </is>
      </c>
      <c r="L81" s="81" t="n">
        <v>1189</v>
      </c>
      <c r="M81" s="81">
        <f>Y81</f>
        <v/>
      </c>
      <c r="N81" s="82" t="n">
        <v>45456</v>
      </c>
      <c r="O81" s="82" t="n">
        <v>45821</v>
      </c>
      <c r="P81" s="82" t="n">
        <v>46185</v>
      </c>
      <c r="R81" s="81">
        <f>SUM(AB81:AK81)</f>
        <v/>
      </c>
      <c r="S81" s="81">
        <f>SUM(AM81:AQ81)</f>
        <v/>
      </c>
      <c r="T81" s="81">
        <f>SUM(AS81:AW81)</f>
        <v/>
      </c>
      <c r="Y81" s="81" t="n">
        <v>1145</v>
      </c>
    </row>
    <row r="82">
      <c r="A82" s="72">
        <f>$D$21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INDEX($C$5:$C$8,MATCH(I82,$D$5:$D$8,0))</f>
        <v/>
      </c>
      <c r="E82" s="72">
        <f>INDEX($E$5:$E$8,MATCH(D82,$C$5:$C$8,0))</f>
        <v/>
      </c>
      <c r="F82" s="72">
        <f>INDEX($F$5:$F$8,MATCH(D82,$C$5:$C$8,0))</f>
        <v/>
      </c>
      <c r="G82" s="72">
        <f>INDEX($G$5:$G$8,MATCH(D82,$C$5:$C$8,0))</f>
        <v/>
      </c>
      <c r="H82" s="72" t="inlineStr">
        <is>
          <t>CL - 816-3</t>
        </is>
      </c>
      <c r="I82" s="72" t="inlineStr">
        <is>
          <t>1x1A_C</t>
        </is>
      </c>
      <c r="J82" s="80" t="n">
        <v>775</v>
      </c>
      <c r="K82" s="72" t="inlineStr">
        <is>
          <t>Bariff, Mae</t>
        </is>
      </c>
      <c r="L82" s="81" t="n">
        <v>1189</v>
      </c>
      <c r="M82" s="81">
        <f>Y82</f>
        <v/>
      </c>
      <c r="N82" s="82" t="n">
        <v>45838</v>
      </c>
      <c r="O82" s="82" t="n">
        <v>45838</v>
      </c>
      <c r="P82" s="82" t="n">
        <v>46232</v>
      </c>
      <c r="R82" s="81">
        <f>SUM(AB82:AK82)</f>
        <v/>
      </c>
      <c r="S82" s="81">
        <f>SUM(AM82:AQ82)</f>
        <v/>
      </c>
      <c r="T82" s="81">
        <f>SUM(AS82:AW82)</f>
        <v/>
      </c>
      <c r="Y82" s="81" t="n">
        <v>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2026-07-01T16:53:15Z</dcterms:created>
  <dcterms:modified xmlns:dcterms="http://purl.org/dc/terms/" xmlns:xsi="http://www.w3.org/2001/XMLSchema-instance" xsi:type="dcterms:W3CDTF">2026-07-01T16:53:15Z</dcterms:modified>
</cp:coreProperties>
</file>