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29475</v>
      </c>
      <c r="N6" s="11" t="n">
        <v>1179</v>
      </c>
      <c r="O6" s="12" t="n">
        <v>1.839198801946836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52035</v>
      </c>
      <c r="N9" s="17" t="n">
        <v>1238.928571428571</v>
      </c>
      <c r="O9" s="18" t="n">
        <v>1.712748099140911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624420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52035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1179</v>
      </c>
      <c r="M7" s="39" t="n">
        <v>1.009590683336188</v>
      </c>
      <c r="N7" s="38" t="n">
        <v>1171</v>
      </c>
      <c r="O7" s="40" t="n">
        <v>10</v>
      </c>
      <c r="P7" s="11" t="n">
        <v>1162.777777777778</v>
      </c>
      <c r="Q7" s="40" t="n">
        <v>9</v>
      </c>
      <c r="R7" s="11" t="n">
        <v>1193.857142857143</v>
      </c>
      <c r="S7" s="40" t="n">
        <v>7</v>
      </c>
      <c r="T7" s="11" t="n">
        <v>1205.333333333333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1238.928571428571</v>
      </c>
      <c r="M10" s="43" t="n">
        <v>0.9892021367602607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29475</v>
      </c>
      <c r="N6" s="11" t="n">
        <v>1179</v>
      </c>
      <c r="O6" s="12" t="n">
        <v>1.839198801946836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52035</v>
      </c>
      <c r="N8" s="17" t="n">
        <v>1238.928571428571</v>
      </c>
      <c r="O8" s="18" t="n">
        <v>1.712748099140911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624420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Vacant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0</v>
      </c>
      <c r="X16" s="58" t="n">
        <v>-374.7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Vacant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Vacant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Vacant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36" t="inlineStr">
        <is>
          <t>Maven @ 806</t>
        </is>
      </c>
      <c r="E30" s="54" t="inlineStr">
        <is>
          <t>CL - 806-9</t>
        </is>
      </c>
      <c r="F30" s="54" t="inlineStr">
        <is>
          <t>2x1A_C</t>
        </is>
      </c>
      <c r="G30" s="54" t="inlineStr">
        <is>
          <t>2 BD / 1 BA</t>
        </is>
      </c>
      <c r="K30" s="36" t="inlineStr">
        <is>
          <t>Vacant</t>
        </is>
      </c>
      <c r="L30" s="55" t="n">
        <v>723</v>
      </c>
      <c r="M30" s="56" t="n">
        <v>2</v>
      </c>
      <c r="N30" s="56" t="n">
        <v>1</v>
      </c>
      <c r="Q30" s="57" t="inlineStr">
        <is>
          <t>Vac</t>
        </is>
      </c>
      <c r="U30" s="58" t="n">
        <v>1355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Maven @ 806</t>
        </is>
      </c>
      <c r="E31" s="54" t="inlineStr">
        <is>
          <t>CL - 806-10</t>
        </is>
      </c>
      <c r="F31" s="54" t="inlineStr">
        <is>
          <t>2x1A_C</t>
        </is>
      </c>
      <c r="G31" s="54" t="inlineStr">
        <is>
          <t>2 BD / 1 BA</t>
        </is>
      </c>
      <c r="K31" s="36" t="inlineStr">
        <is>
          <t>Vacant</t>
        </is>
      </c>
      <c r="L31" s="55" t="n">
        <v>744</v>
      </c>
      <c r="M31" s="56" t="n">
        <v>2</v>
      </c>
      <c r="N31" s="56" t="n">
        <v>1</v>
      </c>
      <c r="Q31" s="57" t="inlineStr">
        <is>
          <t>Vac</t>
        </is>
      </c>
      <c r="U31" s="58" t="n">
        <v>1355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Maven @ 806</t>
        </is>
      </c>
      <c r="E32" s="54" t="inlineStr">
        <is>
          <t>CL - 806-11</t>
        </is>
      </c>
      <c r="F32" s="54" t="inlineStr">
        <is>
          <t>1x1A_C</t>
        </is>
      </c>
      <c r="G32" s="54" t="inlineStr">
        <is>
          <t>1 BD / 1 BA</t>
        </is>
      </c>
      <c r="K32" s="36" t="inlineStr">
        <is>
          <t>Vacant</t>
        </is>
      </c>
      <c r="L32" s="55" t="n">
        <v>720</v>
      </c>
      <c r="M32" s="56" t="n">
        <v>1</v>
      </c>
      <c r="N32" s="56" t="n">
        <v>1</v>
      </c>
      <c r="Q32" s="57" t="inlineStr">
        <is>
          <t>Vac</t>
        </is>
      </c>
      <c r="U32" s="58" t="n">
        <v>990</v>
      </c>
      <c r="V32" s="58" t="n">
        <v>0</v>
      </c>
      <c r="W32" s="58" t="n">
        <v>0</v>
      </c>
      <c r="X32" s="58" t="n">
        <v>0</v>
      </c>
      <c r="Y32" s="58" t="n">
        <v>0</v>
      </c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36" t="inlineStr">
        <is>
          <t>Maven @ 806</t>
        </is>
      </c>
      <c r="E44" s="54" t="inlineStr">
        <is>
          <t>CL - 806-24</t>
        </is>
      </c>
      <c r="F44" s="54" t="inlineStr">
        <is>
          <t>2x1A_C</t>
        </is>
      </c>
      <c r="G44" s="54" t="inlineStr">
        <is>
          <t>2 BD / 1 BA</t>
        </is>
      </c>
      <c r="K44" s="36" t="inlineStr">
        <is>
          <t>Vacant</t>
        </is>
      </c>
      <c r="L44" s="55" t="n">
        <v>683</v>
      </c>
      <c r="M44" s="56" t="n">
        <v>2</v>
      </c>
      <c r="N44" s="56" t="n">
        <v>1</v>
      </c>
      <c r="Q44" s="57" t="inlineStr">
        <is>
          <t>Vac</t>
        </is>
      </c>
      <c r="U44" s="58" t="n">
        <v>1355</v>
      </c>
      <c r="V44" s="58" t="n">
        <v>0</v>
      </c>
      <c r="W44" s="58" t="n">
        <v>0</v>
      </c>
      <c r="X44" s="58" t="n">
        <v>0</v>
      </c>
      <c r="Y44" s="58" t="n">
        <v>0</v>
      </c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36" t="inlineStr">
        <is>
          <t>Maven @ 806</t>
        </is>
      </c>
      <c r="E48" s="54" t="inlineStr">
        <is>
          <t>CL - 806-28</t>
        </is>
      </c>
      <c r="F48" s="54" t="inlineStr">
        <is>
          <t>2x1A_C</t>
        </is>
      </c>
      <c r="G48" s="54" t="inlineStr">
        <is>
          <t>2 BD / 1 BA</t>
        </is>
      </c>
      <c r="K48" s="36" t="inlineStr">
        <is>
          <t>Vacant</t>
        </is>
      </c>
      <c r="L48" s="55" t="n">
        <v>775</v>
      </c>
      <c r="M48" s="56" t="n">
        <v>2</v>
      </c>
      <c r="N48" s="56" t="n">
        <v>1</v>
      </c>
      <c r="Q48" s="57" t="inlineStr">
        <is>
          <t>Vac</t>
        </is>
      </c>
      <c r="U48" s="58" t="n">
        <v>1355</v>
      </c>
      <c r="V48" s="58" t="n">
        <v>0</v>
      </c>
      <c r="W48" s="58" t="n">
        <v>0</v>
      </c>
      <c r="X48" s="58" t="n">
        <v>0</v>
      </c>
      <c r="Y48" s="58" t="n">
        <v>0</v>
      </c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0" t="inlineStr">
        <is>
          <t>Total / Wtd. Average</t>
        </is>
      </c>
      <c r="D59" s="61" t="n"/>
      <c r="E59" s="61" t="n"/>
      <c r="F59" s="61" t="n"/>
      <c r="G59" s="62" t="n">
        <v>51</v>
      </c>
      <c r="H59" s="61" t="n"/>
      <c r="I59" s="61" t="n"/>
      <c r="J59" s="61" t="n"/>
      <c r="K59" s="61" t="n"/>
      <c r="L59" s="63" t="n">
        <v>38376</v>
      </c>
      <c r="M59" s="61" t="n"/>
      <c r="N59" s="61" t="n"/>
      <c r="O59" s="61" t="n"/>
      <c r="P59" s="61" t="n"/>
      <c r="Q59" s="61" t="n"/>
      <c r="R59" s="61" t="n"/>
      <c r="S59" s="61" t="n"/>
      <c r="T59" s="61" t="n"/>
      <c r="U59" s="64" t="n">
        <v>66209</v>
      </c>
      <c r="V59" s="64" t="n">
        <v>52035</v>
      </c>
      <c r="W59" s="64" t="n">
        <v>0</v>
      </c>
      <c r="X59" s="64" t="n">
        <v>-374.7</v>
      </c>
      <c r="Y59" s="64" t="n">
        <v>6361</v>
      </c>
      <c r="Z59" s="61" t="n"/>
      <c r="AA59" s="61" t="n"/>
      <c r="AB59" s="61" t="n"/>
      <c r="AC59" s="61" t="n"/>
      <c r="AD59" s="61" t="n"/>
      <c r="AE59" s="65" t="n">
        <v>0</v>
      </c>
      <c r="AF59" s="65" t="n">
        <v>0</v>
      </c>
      <c r="AG5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M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9" max="39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1x1A_C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COUNTIFS($D$32:$D$82,$C5)</f>
        <v/>
      </c>
      <c r="I5" s="75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75">
        <f>COUNTIFS($D$32:$D$82,$C5,$C$32:$C$82,"Vac")</f>
        <v/>
      </c>
      <c r="K5" s="75">
        <f>IFERROR(AVERAGEIFS($J$32:$J$82,$D$32:$D$82,$C5),"n/a")</f>
        <v/>
      </c>
      <c r="L5" s="75">
        <f>SUMIFS($J$32:$J$82,$D$32:$D$82,$C5)</f>
        <v/>
      </c>
      <c r="M5" s="75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75">
        <f>SUMIFS($J$32:$J$82,$D$32:$D$82,$C5,$C$32:$C$82,"Vac")</f>
        <v/>
      </c>
      <c r="O5" s="75">
        <f>SUMIFS($L$32:$L$82,$D$32:$D$82,$C5)</f>
        <v/>
      </c>
      <c r="P5" s="75">
        <f>SUMIFS($M$32:$M$82,$D$32:$D$82,$C5)</f>
        <v/>
      </c>
      <c r="Q5" s="75">
        <f>SUMIFS($R$32:$R$82,$D$32:$D$82,$C5)</f>
        <v/>
      </c>
      <c r="R5" s="75">
        <f>SUMIFS($S$32:$S$82,$D$32:$D$82,$C5)</f>
        <v/>
      </c>
      <c r="S5" s="75">
        <f>SUMIFS($T$32:$T$82,$D$32:$D$82,$C5)</f>
        <v/>
      </c>
    </row>
    <row r="6">
      <c r="C6" s="71" t="inlineStr">
        <is>
          <t>1 BD / 1 BA</t>
        </is>
      </c>
      <c r="D6" s="72" t="inlineStr">
        <is>
          <t>1x1B_C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COUNTIFS($D$32:$D$82,$C6)</f>
        <v/>
      </c>
      <c r="I6" s="75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75">
        <f>COUNTIFS($D$32:$D$82,$C6,$C$32:$C$82,"Vac")</f>
        <v/>
      </c>
      <c r="K6" s="75">
        <f>IFERROR(AVERAGEIFS($J$32:$J$82,$D$32:$D$82,$C6),"n/a")</f>
        <v/>
      </c>
      <c r="L6" s="75">
        <f>SUMIFS($J$32:$J$82,$D$32:$D$82,$C6)</f>
        <v/>
      </c>
      <c r="M6" s="75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75">
        <f>SUMIFS($J$32:$J$82,$D$32:$D$82,$C6,$C$32:$C$82,"Vac")</f>
        <v/>
      </c>
      <c r="O6" s="75">
        <f>SUMIFS($L$32:$L$82,$D$32:$D$82,$C6)</f>
        <v/>
      </c>
      <c r="P6" s="75">
        <f>SUMIFS($M$32:$M$82,$D$32:$D$82,$C6)</f>
        <v/>
      </c>
      <c r="Q6" s="75">
        <f>SUMIFS($R$32:$R$82,$D$32:$D$82,$C6)</f>
        <v/>
      </c>
      <c r="R6" s="75">
        <f>SUMIFS($S$32:$S$82,$D$32:$D$82,$C6)</f>
        <v/>
      </c>
      <c r="S6" s="75">
        <f>SUMIFS($T$32:$T$82,$D$32:$D$82,$C6)</f>
        <v/>
      </c>
    </row>
    <row r="7">
      <c r="C7" s="71" t="inlineStr">
        <is>
          <t>2 BD / 1 BA</t>
        </is>
      </c>
      <c r="D7" s="72" t="inlineStr">
        <is>
          <t>2x1A_C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COUNTIFS($D$32:$D$82,$C7)</f>
        <v/>
      </c>
      <c r="I7" s="75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75">
        <f>COUNTIFS($D$32:$D$82,$C7,$C$32:$C$82,"Vac")</f>
        <v/>
      </c>
      <c r="K7" s="75">
        <f>IFERROR(AVERAGEIFS($J$32:$J$82,$D$32:$D$82,$C7),"n/a")</f>
        <v/>
      </c>
      <c r="L7" s="75">
        <f>SUMIFS($J$32:$J$82,$D$32:$D$82,$C7)</f>
        <v/>
      </c>
      <c r="M7" s="75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75">
        <f>SUMIFS($J$32:$J$82,$D$32:$D$82,$C7,$C$32:$C$82,"Vac")</f>
        <v/>
      </c>
      <c r="O7" s="75">
        <f>SUMIFS($L$32:$L$82,$D$32:$D$82,$C7)</f>
        <v/>
      </c>
      <c r="P7" s="75">
        <f>SUMIFS($M$32:$M$82,$D$32:$D$82,$C7)</f>
        <v/>
      </c>
      <c r="Q7" s="75">
        <f>SUMIFS($R$32:$R$82,$D$32:$D$82,$C7)</f>
        <v/>
      </c>
      <c r="R7" s="75">
        <f>SUMIFS($S$32:$S$82,$D$32:$D$82,$C7)</f>
        <v/>
      </c>
      <c r="S7" s="75">
        <f>SUMIFS($T$32:$T$82,$D$32:$D$82,$C7)</f>
        <v/>
      </c>
    </row>
    <row r="8">
      <c r="C8" s="71" t="inlineStr">
        <is>
          <t>2 BD / 2 BA</t>
        </is>
      </c>
      <c r="D8" s="72" t="inlineStr">
        <is>
          <t>2x2B_C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COUNTIFS($D$32:$D$82,$C8)</f>
        <v/>
      </c>
      <c r="I8" s="75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75">
        <f>COUNTIFS($D$32:$D$82,$C8,$C$32:$C$82,"Vac")</f>
        <v/>
      </c>
      <c r="K8" s="75">
        <f>IFERROR(AVERAGEIFS($J$32:$J$82,$D$32:$D$82,$C8),"n/a")</f>
        <v/>
      </c>
      <c r="L8" s="75">
        <f>SUMIFS($J$32:$J$82,$D$32:$D$82,$C8)</f>
        <v/>
      </c>
      <c r="M8" s="75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75">
        <f>SUMIFS($J$32:$J$82,$D$32:$D$82,$C8,$C$32:$C$82,"Vac")</f>
        <v/>
      </c>
      <c r="O8" s="75">
        <f>SUMIFS($L$32:$L$82,$D$32:$D$82,$C8)</f>
        <v/>
      </c>
      <c r="P8" s="75">
        <f>SUMIFS($M$32:$M$82,$D$32:$D$82,$C8)</f>
        <v/>
      </c>
      <c r="Q8" s="75">
        <f>SUMIFS($R$32:$R$82,$D$32:$D$82,$C8)</f>
        <v/>
      </c>
      <c r="R8" s="75">
        <f>SUMIFS($S$32:$S$82,$D$32:$D$82,$C8)</f>
        <v/>
      </c>
      <c r="S8" s="75">
        <f>SUMIFS($T$32:$T$82,$D$32:$D$82,$C8)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Maven @ 806</t>
        </is>
      </c>
    </row>
    <row r="22">
      <c r="C22" s="78" t="inlineStr">
        <is>
          <t>Rent Roll Date</t>
        </is>
      </c>
      <c r="D22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Rent</t>
        </is>
      </c>
      <c r="AC31" s="67" t="inlineStr">
        <is>
          <t>Building Protection Policy</t>
        </is>
      </c>
      <c r="AD31" s="67" t="inlineStr">
        <is>
          <t>Resident Pest Control</t>
        </is>
      </c>
      <c r="AE31" s="67" t="inlineStr">
        <is>
          <t>Resident Trash Charge</t>
        </is>
      </c>
      <c r="AF31" s="67" t="inlineStr">
        <is>
          <t>Resident Water Charge</t>
        </is>
      </c>
      <c r="AG31" s="67" t="inlineStr">
        <is>
          <t>WiFi/Cable Rent</t>
        </is>
      </c>
      <c r="AH31" s="67" t="inlineStr">
        <is>
          <t>MTM Fee</t>
        </is>
      </c>
      <c r="AI31" s="67" t="inlineStr">
        <is>
          <t>Resident Utilities (Rubs) Charge</t>
        </is>
      </c>
      <c r="AM31" s="67" t="inlineStr">
        <is>
          <t>Employee Discount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SUM(AB32:AI32)</f>
        <v/>
      </c>
      <c r="S32" s="81" t="n">
        <v>0</v>
      </c>
      <c r="T32" s="81">
        <f>AM32</f>
        <v/>
      </c>
      <c r="Y32" s="81" t="n">
        <v>1285</v>
      </c>
      <c r="AB32" s="81" t="n">
        <v>35</v>
      </c>
      <c r="AC32" s="81" t="n">
        <v>15</v>
      </c>
      <c r="AD32" s="81" t="n">
        <v>5</v>
      </c>
      <c r="AE32" s="81" t="n">
        <v>4</v>
      </c>
      <c r="AF32" s="81" t="n">
        <v>45</v>
      </c>
      <c r="AG32" s="81" t="n">
        <v>65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Q33" s="82" t="n">
        <v>46295</v>
      </c>
      <c r="R33" s="81">
        <f>SUM(AB33:AI33)</f>
        <v/>
      </c>
      <c r="S33" s="81" t="n">
        <v>0</v>
      </c>
      <c r="T33" s="81">
        <f>AM33</f>
        <v/>
      </c>
      <c r="Y33" s="81" t="n">
        <v>1229</v>
      </c>
      <c r="AC33" s="81" t="n">
        <v>12</v>
      </c>
      <c r="AD33" s="81" t="n">
        <v>5</v>
      </c>
      <c r="AE33" s="81" t="n">
        <v>4</v>
      </c>
      <c r="AF33" s="81" t="n">
        <v>45</v>
      </c>
      <c r="AG33" s="81" t="n">
        <v>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SUM(AB34:AI34)</f>
        <v/>
      </c>
      <c r="S34" s="81" t="n">
        <v>0</v>
      </c>
      <c r="T34" s="81">
        <f>AM34</f>
        <v/>
      </c>
      <c r="Y34" s="81" t="n">
        <v>1249</v>
      </c>
      <c r="AC34" s="81" t="n">
        <v>15</v>
      </c>
      <c r="AD34" s="81" t="n">
        <v>5</v>
      </c>
      <c r="AE34" s="81" t="n">
        <v>4</v>
      </c>
      <c r="AF34" s="81" t="n">
        <v>45</v>
      </c>
      <c r="AG34" s="81" t="n">
        <v>65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SUM(AB35:AI35)</f>
        <v/>
      </c>
      <c r="S35" s="81" t="n">
        <v>0</v>
      </c>
      <c r="T35" s="81">
        <f>AM35</f>
        <v/>
      </c>
      <c r="Y35" s="81" t="n">
        <v>1239</v>
      </c>
      <c r="AC35" s="81" t="n">
        <v>15</v>
      </c>
      <c r="AD35" s="81" t="n">
        <v>5</v>
      </c>
      <c r="AE35" s="81" t="n">
        <v>4</v>
      </c>
      <c r="AF35" s="81" t="n">
        <v>45</v>
      </c>
      <c r="AG35" s="81" t="n">
        <v>65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SUM(AB36:AI36)</f>
        <v/>
      </c>
      <c r="S36" s="81" t="n">
        <v>0</v>
      </c>
      <c r="T36" s="81">
        <f>AM36</f>
        <v/>
      </c>
      <c r="Y36" s="81" t="n">
        <v>1220</v>
      </c>
      <c r="AC36" s="81" t="n">
        <v>15</v>
      </c>
      <c r="AD36" s="81" t="n">
        <v>5</v>
      </c>
      <c r="AE36" s="81" t="n">
        <v>4</v>
      </c>
      <c r="AF36" s="81" t="n">
        <v>45</v>
      </c>
      <c r="AG36" s="81" t="n">
        <v>65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SUM(AB37:AI37)</f>
        <v/>
      </c>
      <c r="S37" s="81" t="n">
        <v>0</v>
      </c>
      <c r="T37" s="81">
        <f>AM37</f>
        <v/>
      </c>
      <c r="Y37" s="81" t="n">
        <v>1234</v>
      </c>
      <c r="AC37" s="81" t="n">
        <v>15</v>
      </c>
      <c r="AD37" s="81" t="n">
        <v>5</v>
      </c>
      <c r="AE37" s="81" t="n">
        <v>4</v>
      </c>
      <c r="AF37" s="81" t="n">
        <v>45</v>
      </c>
      <c r="AG37" s="81" t="n">
        <v>65</v>
      </c>
    </row>
    <row r="38">
      <c r="A38" s="83">
        <f>$D$21</f>
        <v/>
      </c>
      <c r="B38" s="83">
        <f>B37+1</f>
        <v/>
      </c>
      <c r="C38" s="83">
        <f>IF(K38="Vacant","Vac",IF(K38="Model","Model",IF(K38="Admin","Admin",IF(K38="Down","Down",IF(K38="Super","Super","Occ")))))</f>
        <v/>
      </c>
      <c r="D38" s="83">
        <f>INDEX($C$5:$C$8,MATCH(I38,$D$5:$D$8,0))</f>
        <v/>
      </c>
      <c r="E38" s="83">
        <f>INDEX($E$5:$E$8,MATCH(D38,$C$5:$C$8,0))</f>
        <v/>
      </c>
      <c r="F38" s="83">
        <f>INDEX($F$5:$F$8,MATCH(D38,$C$5:$C$8,0))</f>
        <v/>
      </c>
      <c r="G38" s="83">
        <f>INDEX($G$5:$G$8,MATCH(D38,$C$5:$C$8,0))</f>
        <v/>
      </c>
      <c r="H38" s="83" t="inlineStr">
        <is>
          <t>800-2A</t>
        </is>
      </c>
      <c r="I38" s="83" t="inlineStr">
        <is>
          <t>2x2B_C</t>
        </is>
      </c>
      <c r="J38" s="84" t="n">
        <v>1253</v>
      </c>
      <c r="K38" s="83" t="inlineStr">
        <is>
          <t>Vacant</t>
        </is>
      </c>
      <c r="L38" s="85" t="n">
        <v>1799</v>
      </c>
      <c r="M38" s="85">
        <f>Y38</f>
        <v/>
      </c>
      <c r="N38" s="86" t="n"/>
      <c r="O38" s="86" t="n"/>
      <c r="P38" s="86" t="n"/>
      <c r="Q38" s="86" t="n"/>
      <c r="R38" s="85">
        <f>SUM(AB38:AI38)</f>
        <v/>
      </c>
      <c r="S38" s="85" t="n">
        <v>0</v>
      </c>
      <c r="T38" s="85">
        <f>AM38</f>
        <v/>
      </c>
      <c r="U38" s="86" t="n"/>
      <c r="V38" s="86" t="n"/>
      <c r="W38" s="86" t="n"/>
      <c r="X38" s="86" t="n"/>
      <c r="Y38" s="85" t="n">
        <v>0</v>
      </c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Q39" s="82" t="n">
        <v>46295</v>
      </c>
      <c r="R39" s="81">
        <f>SUM(AB39:AI39)</f>
        <v/>
      </c>
      <c r="S39" s="81" t="n">
        <v>0</v>
      </c>
      <c r="T39" s="81">
        <f>AM39</f>
        <v/>
      </c>
      <c r="Y39" s="81" t="n">
        <v>1230</v>
      </c>
      <c r="AC39" s="81" t="n">
        <v>12</v>
      </c>
      <c r="AD39" s="81" t="n">
        <v>5</v>
      </c>
      <c r="AE39" s="81" t="n">
        <v>4</v>
      </c>
      <c r="AF39" s="81" t="n">
        <v>45</v>
      </c>
      <c r="AG39" s="81" t="n">
        <v>30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SUM(AB40:AI40)</f>
        <v/>
      </c>
      <c r="S40" s="81" t="n">
        <v>0</v>
      </c>
      <c r="T40" s="81">
        <f>AM40</f>
        <v/>
      </c>
      <c r="Y40" s="81" t="n">
        <v>1249</v>
      </c>
      <c r="AC40" s="81" t="n">
        <v>15</v>
      </c>
      <c r="AD40" s="81" t="n">
        <v>5</v>
      </c>
      <c r="AE40" s="81" t="n">
        <v>4</v>
      </c>
      <c r="AF40" s="81" t="n">
        <v>45</v>
      </c>
      <c r="AG40" s="81" t="n">
        <v>65</v>
      </c>
      <c r="AM40" s="81" t="n">
        <v>-374.7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SUM(AB41:AI41)</f>
        <v/>
      </c>
      <c r="S41" s="81" t="n">
        <v>0</v>
      </c>
      <c r="T41" s="81">
        <f>AM41</f>
        <v/>
      </c>
      <c r="Y41" s="81" t="n">
        <v>1325</v>
      </c>
      <c r="AB41" s="81" t="n">
        <v>35</v>
      </c>
      <c r="AC41" s="81" t="n">
        <v>12</v>
      </c>
      <c r="AD41" s="81" t="n">
        <v>5</v>
      </c>
      <c r="AE41" s="81" t="n">
        <v>4</v>
      </c>
      <c r="AF41" s="81" t="n">
        <v>45</v>
      </c>
      <c r="AG41" s="81" t="n">
        <v>65</v>
      </c>
    </row>
    <row r="42">
      <c r="A42" s="83">
        <f>$D$21</f>
        <v/>
      </c>
      <c r="B42" s="83">
        <f>B41+1</f>
        <v/>
      </c>
      <c r="C42" s="83">
        <f>IF(K42="Vacant","Vac",IF(K42="Model","Model",IF(K42="Admin","Admin",IF(K42="Down","Down",IF(K42="Super","Super","Occ")))))</f>
        <v/>
      </c>
      <c r="D42" s="83">
        <f>INDEX($C$5:$C$8,MATCH(I42,$D$5:$D$8,0))</f>
        <v/>
      </c>
      <c r="E42" s="83">
        <f>INDEX($E$5:$E$8,MATCH(D42,$C$5:$C$8,0))</f>
        <v/>
      </c>
      <c r="F42" s="83">
        <f>INDEX($F$5:$F$8,MATCH(D42,$C$5:$C$8,0))</f>
        <v/>
      </c>
      <c r="G42" s="83">
        <f>INDEX($G$5:$G$8,MATCH(D42,$C$5:$C$8,0))</f>
        <v/>
      </c>
      <c r="H42" s="83" t="inlineStr">
        <is>
          <t>800-3A</t>
        </is>
      </c>
      <c r="I42" s="83" t="inlineStr">
        <is>
          <t>2x2B_C</t>
        </is>
      </c>
      <c r="J42" s="84" t="n">
        <v>1153</v>
      </c>
      <c r="K42" s="83" t="inlineStr">
        <is>
          <t>Vacant</t>
        </is>
      </c>
      <c r="L42" s="85" t="n">
        <v>1799</v>
      </c>
      <c r="M42" s="85">
        <f>Y42</f>
        <v/>
      </c>
      <c r="N42" s="86" t="n"/>
      <c r="O42" s="86" t="n"/>
      <c r="P42" s="86" t="n"/>
      <c r="Q42" s="86" t="n"/>
      <c r="R42" s="85">
        <f>SUM(AB42:AI42)</f>
        <v/>
      </c>
      <c r="S42" s="85" t="n">
        <v>0</v>
      </c>
      <c r="T42" s="85">
        <f>AM42</f>
        <v/>
      </c>
      <c r="U42" s="86" t="n"/>
      <c r="V42" s="86" t="n"/>
      <c r="W42" s="86" t="n"/>
      <c r="X42" s="86" t="n"/>
      <c r="Y42" s="85" t="n">
        <v>0</v>
      </c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SUM(AB43:AI43)</f>
        <v/>
      </c>
      <c r="S43" s="81" t="n">
        <v>0</v>
      </c>
      <c r="T43" s="81">
        <f>AM43</f>
        <v/>
      </c>
      <c r="Y43" s="81" t="n">
        <v>1799</v>
      </c>
      <c r="AC43" s="81" t="n">
        <v>15</v>
      </c>
      <c r="AD43" s="81" t="n">
        <v>5</v>
      </c>
      <c r="AE43" s="81" t="n">
        <v>4</v>
      </c>
      <c r="AF43" s="81" t="n">
        <v>45</v>
      </c>
      <c r="AG43" s="81" t="n">
        <v>65</v>
      </c>
    </row>
    <row r="44">
      <c r="A44" s="83">
        <f>$D$21</f>
        <v/>
      </c>
      <c r="B44" s="83">
        <f>B43+1</f>
        <v/>
      </c>
      <c r="C44" s="83">
        <f>IF(K44="Vacant","Vac",IF(K44="Model","Model",IF(K44="Admin","Admin",IF(K44="Down","Down",IF(K44="Super","Super","Occ")))))</f>
        <v/>
      </c>
      <c r="D44" s="83">
        <f>INDEX($C$5:$C$8,MATCH(I44,$D$5:$D$8,0))</f>
        <v/>
      </c>
      <c r="E44" s="83">
        <f>INDEX($E$5:$E$8,MATCH(D44,$C$5:$C$8,0))</f>
        <v/>
      </c>
      <c r="F44" s="83">
        <f>INDEX($F$5:$F$8,MATCH(D44,$C$5:$C$8,0))</f>
        <v/>
      </c>
      <c r="G44" s="83">
        <f>INDEX($G$5:$G$8,MATCH(D44,$C$5:$C$8,0))</f>
        <v/>
      </c>
      <c r="H44" s="83" t="inlineStr">
        <is>
          <t>800-3C</t>
        </is>
      </c>
      <c r="I44" s="83" t="inlineStr">
        <is>
          <t>2x2B_C</t>
        </is>
      </c>
      <c r="J44" s="84" t="n">
        <v>972</v>
      </c>
      <c r="K44" s="83" t="inlineStr">
        <is>
          <t>Vacant</t>
        </is>
      </c>
      <c r="L44" s="85" t="n">
        <v>1799</v>
      </c>
      <c r="M44" s="85">
        <f>Y44</f>
        <v/>
      </c>
      <c r="N44" s="86" t="n"/>
      <c r="O44" s="86" t="n"/>
      <c r="P44" s="86" t="n"/>
      <c r="Q44" s="86" t="n"/>
      <c r="R44" s="85">
        <f>SUM(AB44:AI44)</f>
        <v/>
      </c>
      <c r="S44" s="85" t="n">
        <v>0</v>
      </c>
      <c r="T44" s="85">
        <f>AM44</f>
        <v/>
      </c>
      <c r="U44" s="86" t="n"/>
      <c r="V44" s="86" t="n"/>
      <c r="W44" s="86" t="n"/>
      <c r="X44" s="86" t="n"/>
      <c r="Y44" s="85" t="n">
        <v>0</v>
      </c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</row>
    <row r="45">
      <c r="A45" s="83">
        <f>$D$21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INDEX($C$5:$C$8,MATCH(I45,$D$5:$D$8,0))</f>
        <v/>
      </c>
      <c r="E45" s="83">
        <f>INDEX($E$5:$E$8,MATCH(D45,$C$5:$C$8,0))</f>
        <v/>
      </c>
      <c r="F45" s="83">
        <f>INDEX($F$5:$F$8,MATCH(D45,$C$5:$C$8,0))</f>
        <v/>
      </c>
      <c r="G45" s="83">
        <f>INDEX($G$5:$G$8,MATCH(D45,$C$5:$C$8,0))</f>
        <v/>
      </c>
      <c r="H45" s="83" t="inlineStr">
        <is>
          <t>800-3D</t>
        </is>
      </c>
      <c r="I45" s="83" t="inlineStr">
        <is>
          <t>2x2B_C</t>
        </is>
      </c>
      <c r="J45" s="84" t="n">
        <v>972</v>
      </c>
      <c r="K45" s="83" t="inlineStr">
        <is>
          <t>Vacant</t>
        </is>
      </c>
      <c r="L45" s="85" t="n">
        <v>1799</v>
      </c>
      <c r="M45" s="85">
        <f>Y45</f>
        <v/>
      </c>
      <c r="N45" s="86" t="n"/>
      <c r="O45" s="86" t="n"/>
      <c r="P45" s="86" t="n"/>
      <c r="Q45" s="86" t="n"/>
      <c r="R45" s="85">
        <f>SUM(AB45:AI45)</f>
        <v/>
      </c>
      <c r="S45" s="85" t="n">
        <v>0</v>
      </c>
      <c r="T45" s="85">
        <f>AM45</f>
        <v/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CL - 806-1</t>
        </is>
      </c>
      <c r="I46" s="72" t="inlineStr">
        <is>
          <t>2x1A_C</t>
        </is>
      </c>
      <c r="J46" s="80" t="n">
        <v>810</v>
      </c>
      <c r="K46" s="72" t="inlineStr">
        <is>
          <t>Collins, Nancy</t>
        </is>
      </c>
      <c r="L46" s="81" t="n">
        <v>1379</v>
      </c>
      <c r="M46" s="81">
        <f>Y46</f>
        <v/>
      </c>
      <c r="N46" s="82" t="n">
        <v>44075</v>
      </c>
      <c r="O46" s="82" t="n">
        <v>45901</v>
      </c>
      <c r="P46" s="82" t="n">
        <v>46265</v>
      </c>
      <c r="R46" s="81">
        <f>SUM(AB46:AI46)</f>
        <v/>
      </c>
      <c r="S46" s="81" t="n">
        <v>0</v>
      </c>
      <c r="T46" s="81">
        <f>AM46</f>
        <v/>
      </c>
      <c r="Y46" s="81" t="n">
        <v>1249</v>
      </c>
      <c r="AC46" s="81" t="n">
        <v>15</v>
      </c>
      <c r="AD46" s="81" t="n">
        <v>5</v>
      </c>
      <c r="AE46" s="81" t="n">
        <v>4</v>
      </c>
      <c r="AF46" s="81" t="n">
        <v>45</v>
      </c>
      <c r="AG46" s="81" t="n">
        <v>30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CL - 806-2</t>
        </is>
      </c>
      <c r="I47" s="72" t="inlineStr">
        <is>
          <t>2x1A_C</t>
        </is>
      </c>
      <c r="J47" s="80" t="n">
        <v>935</v>
      </c>
      <c r="K47" s="72" t="inlineStr">
        <is>
          <t>Humphrey, Alyson</t>
        </is>
      </c>
      <c r="L47" s="81" t="n">
        <v>1379</v>
      </c>
      <c r="M47" s="81">
        <f>Y47</f>
        <v/>
      </c>
      <c r="N47" s="82" t="n">
        <v>45551</v>
      </c>
      <c r="O47" s="82" t="n">
        <v>45916</v>
      </c>
      <c r="P47" s="82" t="n">
        <v>46280</v>
      </c>
      <c r="R47" s="81">
        <f>SUM(AB47:AI47)</f>
        <v/>
      </c>
      <c r="S47" s="81" t="n">
        <v>0</v>
      </c>
      <c r="T47" s="81">
        <f>AM47</f>
        <v/>
      </c>
      <c r="Y47" s="81" t="n">
        <v>1249</v>
      </c>
      <c r="AC47" s="81" t="n">
        <v>15</v>
      </c>
      <c r="AD47" s="81" t="n">
        <v>5</v>
      </c>
      <c r="AE47" s="81" t="n">
        <v>4</v>
      </c>
      <c r="AF47" s="81" t="n">
        <v>45</v>
      </c>
      <c r="AG47" s="81" t="n">
        <v>65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CL - 806-3</t>
        </is>
      </c>
      <c r="I48" s="72" t="inlineStr">
        <is>
          <t>2x1A_C</t>
        </is>
      </c>
      <c r="J48" s="80" t="n">
        <v>820</v>
      </c>
      <c r="K48" s="72" t="inlineStr">
        <is>
          <t>Waugh, Christopher</t>
        </is>
      </c>
      <c r="L48" s="81" t="n">
        <v>1404</v>
      </c>
      <c r="M48" s="81">
        <f>Y48</f>
        <v/>
      </c>
      <c r="N48" s="82" t="n">
        <v>45121</v>
      </c>
      <c r="O48" s="82" t="n">
        <v>45879</v>
      </c>
      <c r="P48" s="82" t="n">
        <v>46243</v>
      </c>
      <c r="R48" s="81">
        <f>SUM(AB48:AI48)</f>
        <v/>
      </c>
      <c r="S48" s="81" t="n">
        <v>0</v>
      </c>
      <c r="T48" s="81">
        <f>AM48</f>
        <v/>
      </c>
      <c r="Y48" s="81" t="n">
        <v>1245</v>
      </c>
      <c r="AC48" s="81" t="n">
        <v>15</v>
      </c>
      <c r="AD48" s="81" t="n">
        <v>5</v>
      </c>
      <c r="AE48" s="81" t="n">
        <v>4</v>
      </c>
      <c r="AF48" s="81" t="n">
        <v>45</v>
      </c>
      <c r="AG48" s="81" t="n">
        <v>30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CL - 806-4</t>
        </is>
      </c>
      <c r="I49" s="72" t="inlineStr">
        <is>
          <t>2x1A_C</t>
        </is>
      </c>
      <c r="J49" s="80" t="n">
        <v>935</v>
      </c>
      <c r="K49" s="72" t="inlineStr">
        <is>
          <t>McClarty, Nicole</t>
        </is>
      </c>
      <c r="L49" s="81" t="n">
        <v>1404</v>
      </c>
      <c r="M49" s="81">
        <f>Y49</f>
        <v/>
      </c>
      <c r="N49" s="82" t="n">
        <v>44241</v>
      </c>
      <c r="O49" s="82" t="n">
        <v>45805</v>
      </c>
      <c r="P49" s="82" t="n">
        <v>46261</v>
      </c>
      <c r="R49" s="81">
        <f>SUM(AB49:AI49)</f>
        <v/>
      </c>
      <c r="S49" s="81" t="n">
        <v>0</v>
      </c>
      <c r="T49" s="81">
        <f>AM49</f>
        <v/>
      </c>
      <c r="Y49" s="81" t="n">
        <v>1215</v>
      </c>
      <c r="AB49" s="81" t="n">
        <v>30</v>
      </c>
      <c r="AC49" s="81" t="n">
        <v>12</v>
      </c>
      <c r="AD49" s="81" t="n">
        <v>5</v>
      </c>
      <c r="AE49" s="81" t="n">
        <v>4</v>
      </c>
      <c r="AF49" s="81" t="n">
        <v>45</v>
      </c>
      <c r="AG49" s="81" t="n">
        <v>35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CL - 806-5</t>
        </is>
      </c>
      <c r="I50" s="72" t="inlineStr">
        <is>
          <t>2x1A_C</t>
        </is>
      </c>
      <c r="J50" s="80" t="n">
        <v>1066</v>
      </c>
      <c r="K50" s="72" t="inlineStr">
        <is>
          <t>Belcher, Keira</t>
        </is>
      </c>
      <c r="L50" s="81" t="n">
        <v>1349</v>
      </c>
      <c r="M50" s="81">
        <f>Y50</f>
        <v/>
      </c>
      <c r="N50" s="82" t="n">
        <v>45495</v>
      </c>
      <c r="O50" s="82" t="n">
        <v>45860</v>
      </c>
      <c r="P50" s="82" t="n">
        <v>46224</v>
      </c>
      <c r="Q50" s="82" t="n">
        <v>46204</v>
      </c>
      <c r="R50" s="81">
        <f>SUM(AB50:AI50)</f>
        <v/>
      </c>
      <c r="S50" s="81" t="n">
        <v>0</v>
      </c>
      <c r="T50" s="81">
        <f>AM50</f>
        <v/>
      </c>
      <c r="Y50" s="81" t="n">
        <v>1345</v>
      </c>
      <c r="AB50" s="81" t="n">
        <v>35</v>
      </c>
      <c r="AC50" s="81" t="n">
        <v>12</v>
      </c>
      <c r="AD50" s="81" t="n">
        <v>5</v>
      </c>
      <c r="AE50" s="81" t="n">
        <v>4</v>
      </c>
      <c r="AF50" s="81" t="n">
        <v>45</v>
      </c>
      <c r="AG50" s="81" t="n">
        <v>30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CL - 806-6</t>
        </is>
      </c>
      <c r="I51" s="72" t="inlineStr">
        <is>
          <t>2x1A_C</t>
        </is>
      </c>
      <c r="J51" s="80" t="n">
        <v>840</v>
      </c>
      <c r="K51" s="72" t="inlineStr">
        <is>
          <t>Harrison, Davis</t>
        </is>
      </c>
      <c r="L51" s="81" t="n">
        <v>1374</v>
      </c>
      <c r="M51" s="81">
        <f>Y51</f>
        <v/>
      </c>
      <c r="N51" s="82" t="n">
        <v>45709</v>
      </c>
      <c r="O51" s="82" t="n">
        <v>46074</v>
      </c>
      <c r="P51" s="82" t="n">
        <v>46438</v>
      </c>
      <c r="R51" s="81">
        <f>SUM(AB51:AI51)</f>
        <v/>
      </c>
      <c r="S51" s="81" t="n">
        <v>0</v>
      </c>
      <c r="T51" s="81">
        <f>AM51</f>
        <v/>
      </c>
      <c r="Y51" s="81" t="n">
        <v>1244</v>
      </c>
      <c r="AC51" s="81" t="n">
        <v>15</v>
      </c>
      <c r="AD51" s="81" t="n">
        <v>5</v>
      </c>
      <c r="AE51" s="81" t="n">
        <v>4</v>
      </c>
      <c r="AF51" s="81" t="n">
        <v>45</v>
      </c>
      <c r="AG51" s="81" t="n">
        <v>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CL - 806-7</t>
        </is>
      </c>
      <c r="I52" s="72" t="inlineStr">
        <is>
          <t>2x1A_C</t>
        </is>
      </c>
      <c r="J52" s="80" t="n">
        <v>965</v>
      </c>
      <c r="K52" s="72" t="inlineStr">
        <is>
          <t>Steele, Christopher</t>
        </is>
      </c>
      <c r="L52" s="81" t="n">
        <v>1374</v>
      </c>
      <c r="M52" s="81">
        <f>Y52</f>
        <v/>
      </c>
      <c r="N52" s="82" t="n">
        <v>44281</v>
      </c>
      <c r="O52" s="82" t="n">
        <v>45926</v>
      </c>
      <c r="P52" s="82" t="n">
        <v>46290</v>
      </c>
      <c r="R52" s="81">
        <f>SUM(AB52:AI52)</f>
        <v/>
      </c>
      <c r="S52" s="81" t="n">
        <v>0</v>
      </c>
      <c r="T52" s="81">
        <f>AM52</f>
        <v/>
      </c>
      <c r="Y52" s="81" t="n">
        <v>1320</v>
      </c>
      <c r="AB52" s="81" t="n">
        <v>35</v>
      </c>
      <c r="AC52" s="81" t="n">
        <v>12</v>
      </c>
      <c r="AD52" s="81" t="n">
        <v>5</v>
      </c>
      <c r="AE52" s="81" t="n">
        <v>4</v>
      </c>
      <c r="AF52" s="81" t="n">
        <v>45</v>
      </c>
      <c r="AG52" s="81" t="n">
        <v>65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CL - 806-8</t>
        </is>
      </c>
      <c r="I53" s="72" t="inlineStr">
        <is>
          <t>1x1A_C</t>
        </is>
      </c>
      <c r="J53" s="80" t="n">
        <v>475</v>
      </c>
      <c r="K53" s="72" t="inlineStr">
        <is>
          <t>Rodriguez, Larissa</t>
        </is>
      </c>
      <c r="L53" s="81" t="n">
        <v>1049</v>
      </c>
      <c r="M53" s="81">
        <f>Y53</f>
        <v/>
      </c>
      <c r="N53" s="82" t="n">
        <v>46042</v>
      </c>
      <c r="O53" s="82" t="n">
        <v>46042</v>
      </c>
      <c r="P53" s="82" t="n">
        <v>46496</v>
      </c>
      <c r="R53" s="81">
        <f>SUM(AB53:AI53)</f>
        <v/>
      </c>
      <c r="S53" s="81" t="n">
        <v>0</v>
      </c>
      <c r="T53" s="81">
        <f>AM53</f>
        <v/>
      </c>
      <c r="Y53" s="81" t="n">
        <v>1049</v>
      </c>
      <c r="AC53" s="81" t="n">
        <v>15</v>
      </c>
      <c r="AD53" s="81" t="n">
        <v>5</v>
      </c>
      <c r="AE53" s="81" t="n">
        <v>4</v>
      </c>
      <c r="AF53" s="81" t="n">
        <v>45</v>
      </c>
      <c r="AG53" s="81" t="n">
        <v>65</v>
      </c>
    </row>
    <row r="54">
      <c r="A54" s="83">
        <f>$D$21</f>
        <v/>
      </c>
      <c r="B54" s="83">
        <f>B53+1</f>
        <v/>
      </c>
      <c r="C54" s="83">
        <f>IF(K54="Vacant","Vac",IF(K54="Model","Model",IF(K54="Admin","Admin",IF(K54="Down","Down",IF(K54="Super","Super","Occ")))))</f>
        <v/>
      </c>
      <c r="D54" s="83">
        <f>INDEX($C$5:$C$8,MATCH(I54,$D$5:$D$8,0))</f>
        <v/>
      </c>
      <c r="E54" s="83">
        <f>INDEX($E$5:$E$8,MATCH(D54,$C$5:$C$8,0))</f>
        <v/>
      </c>
      <c r="F54" s="83">
        <f>INDEX($F$5:$F$8,MATCH(D54,$C$5:$C$8,0))</f>
        <v/>
      </c>
      <c r="G54" s="83">
        <f>INDEX($G$5:$G$8,MATCH(D54,$C$5:$C$8,0))</f>
        <v/>
      </c>
      <c r="H54" s="83" t="inlineStr">
        <is>
          <t>CL - 806-9</t>
        </is>
      </c>
      <c r="I54" s="83" t="inlineStr">
        <is>
          <t>2x1A_C</t>
        </is>
      </c>
      <c r="J54" s="84" t="n">
        <v>723</v>
      </c>
      <c r="K54" s="83" t="inlineStr">
        <is>
          <t>Vacant</t>
        </is>
      </c>
      <c r="L54" s="85" t="n">
        <v>1355</v>
      </c>
      <c r="M54" s="85">
        <f>Y54</f>
        <v/>
      </c>
      <c r="N54" s="86" t="n"/>
      <c r="O54" s="86" t="n"/>
      <c r="P54" s="86" t="n"/>
      <c r="Q54" s="86" t="n"/>
      <c r="R54" s="85">
        <f>SUM(AB54:AI54)</f>
        <v/>
      </c>
      <c r="S54" s="85" t="n">
        <v>0</v>
      </c>
      <c r="T54" s="85">
        <f>AM54</f>
        <v/>
      </c>
      <c r="U54" s="86" t="n"/>
      <c r="V54" s="86" t="n"/>
      <c r="W54" s="86" t="n"/>
      <c r="X54" s="86" t="n"/>
      <c r="Y54" s="85" t="n">
        <v>0</v>
      </c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</row>
    <row r="55">
      <c r="A55" s="83">
        <f>$D$21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INDEX($C$5:$C$8,MATCH(I55,$D$5:$D$8,0))</f>
        <v/>
      </c>
      <c r="E55" s="83">
        <f>INDEX($E$5:$E$8,MATCH(D55,$C$5:$C$8,0))</f>
        <v/>
      </c>
      <c r="F55" s="83">
        <f>INDEX($F$5:$F$8,MATCH(D55,$C$5:$C$8,0))</f>
        <v/>
      </c>
      <c r="G55" s="83">
        <f>INDEX($G$5:$G$8,MATCH(D55,$C$5:$C$8,0))</f>
        <v/>
      </c>
      <c r="H55" s="83" t="inlineStr">
        <is>
          <t>CL - 806-10</t>
        </is>
      </c>
      <c r="I55" s="83" t="inlineStr">
        <is>
          <t>2x1A_C</t>
        </is>
      </c>
      <c r="J55" s="84" t="n">
        <v>744</v>
      </c>
      <c r="K55" s="83" t="inlineStr">
        <is>
          <t>Vacant</t>
        </is>
      </c>
      <c r="L55" s="85" t="n">
        <v>1355</v>
      </c>
      <c r="M55" s="85">
        <f>Y55</f>
        <v/>
      </c>
      <c r="N55" s="86" t="n"/>
      <c r="O55" s="86" t="n"/>
      <c r="P55" s="86" t="n"/>
      <c r="Q55" s="86" t="n"/>
      <c r="R55" s="85">
        <f>SUM(AB55:AI55)</f>
        <v/>
      </c>
      <c r="S55" s="85" t="n">
        <v>0</v>
      </c>
      <c r="T55" s="85">
        <f>AM55</f>
        <v/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</row>
    <row r="56">
      <c r="A56" s="83">
        <f>$D$21</f>
        <v/>
      </c>
      <c r="B56" s="83">
        <f>B55+1</f>
        <v/>
      </c>
      <c r="C56" s="83">
        <f>IF(K56="Vacant","Vac",IF(K56="Model","Model",IF(K56="Admin","Admin",IF(K56="Down","Down",IF(K56="Super","Super","Occ")))))</f>
        <v/>
      </c>
      <c r="D56" s="83">
        <f>INDEX($C$5:$C$8,MATCH(I56,$D$5:$D$8,0))</f>
        <v/>
      </c>
      <c r="E56" s="83">
        <f>INDEX($E$5:$E$8,MATCH(D56,$C$5:$C$8,0))</f>
        <v/>
      </c>
      <c r="F56" s="83">
        <f>INDEX($F$5:$F$8,MATCH(D56,$C$5:$C$8,0))</f>
        <v/>
      </c>
      <c r="G56" s="83">
        <f>INDEX($G$5:$G$8,MATCH(D56,$C$5:$C$8,0))</f>
        <v/>
      </c>
      <c r="H56" s="83" t="inlineStr">
        <is>
          <t>CL - 806-11</t>
        </is>
      </c>
      <c r="I56" s="83" t="inlineStr">
        <is>
          <t>1x1A_C</t>
        </is>
      </c>
      <c r="J56" s="84" t="n">
        <v>720</v>
      </c>
      <c r="K56" s="83" t="inlineStr">
        <is>
          <t>Vacant</t>
        </is>
      </c>
      <c r="L56" s="85" t="n">
        <v>990</v>
      </c>
      <c r="M56" s="85">
        <f>Y56</f>
        <v/>
      </c>
      <c r="N56" s="86" t="n"/>
      <c r="O56" s="86" t="n"/>
      <c r="P56" s="86" t="n"/>
      <c r="Q56" s="86" t="n"/>
      <c r="R56" s="85">
        <f>SUM(AB56:AI56)</f>
        <v/>
      </c>
      <c r="S56" s="85" t="n">
        <v>0</v>
      </c>
      <c r="T56" s="85">
        <f>AM56</f>
        <v/>
      </c>
      <c r="U56" s="86" t="n"/>
      <c r="V56" s="86" t="n"/>
      <c r="W56" s="86" t="n"/>
      <c r="X56" s="86" t="n"/>
      <c r="Y56" s="85" t="n">
        <v>0</v>
      </c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CL - 806-12</t>
        </is>
      </c>
      <c r="I57" s="72" t="inlineStr">
        <is>
          <t>1x1A_C</t>
        </is>
      </c>
      <c r="J57" s="80" t="n">
        <v>656</v>
      </c>
      <c r="K57" s="72" t="inlineStr">
        <is>
          <t>Montgomery-Lewis, Jaylynne</t>
        </is>
      </c>
      <c r="L57" s="81" t="n">
        <v>1139</v>
      </c>
      <c r="M57" s="81">
        <f>Y57</f>
        <v/>
      </c>
      <c r="N57" s="82" t="n">
        <v>45863</v>
      </c>
      <c r="O57" s="82" t="n">
        <v>45863</v>
      </c>
      <c r="P57" s="82" t="n">
        <v>46227</v>
      </c>
      <c r="R57" s="81">
        <f>SUM(AB57:AI57)</f>
        <v/>
      </c>
      <c r="S57" s="81" t="n">
        <v>0</v>
      </c>
      <c r="T57" s="81">
        <f>AM57</f>
        <v/>
      </c>
      <c r="Y57" s="81" t="n">
        <v>1139</v>
      </c>
      <c r="AC57" s="81" t="n">
        <v>12</v>
      </c>
      <c r="AD57" s="81" t="n">
        <v>5</v>
      </c>
      <c r="AE57" s="81" t="n">
        <v>4</v>
      </c>
      <c r="AF57" s="81" t="n">
        <v>45</v>
      </c>
      <c r="AG57" s="81" t="n">
        <v>65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CL - 806-14</t>
        </is>
      </c>
      <c r="I58" s="72" t="inlineStr">
        <is>
          <t>1x1A_C</t>
        </is>
      </c>
      <c r="J58" s="80" t="n">
        <v>476</v>
      </c>
      <c r="K58" s="72" t="inlineStr">
        <is>
          <t>Von Hassell, Damontay</t>
        </is>
      </c>
      <c r="L58" s="81" t="n">
        <v>1049</v>
      </c>
      <c r="M58" s="81">
        <f>Y58</f>
        <v/>
      </c>
      <c r="N58" s="82" t="n">
        <v>45831</v>
      </c>
      <c r="O58" s="82" t="n">
        <v>45831</v>
      </c>
      <c r="P58" s="82" t="n">
        <v>46195</v>
      </c>
      <c r="R58" s="81">
        <f>SUM(AB58:AI58)</f>
        <v/>
      </c>
      <c r="S58" s="81" t="n">
        <v>0</v>
      </c>
      <c r="T58" s="81">
        <f>AM58</f>
        <v/>
      </c>
      <c r="Y58" s="81" t="n">
        <v>1099</v>
      </c>
      <c r="AC58" s="81" t="n">
        <v>12</v>
      </c>
      <c r="AD58" s="81" t="n">
        <v>5</v>
      </c>
      <c r="AE58" s="81" t="n">
        <v>4</v>
      </c>
      <c r="AF58" s="81" t="n">
        <v>45</v>
      </c>
      <c r="AG58" s="81" t="n">
        <v>65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CL - 806-15</t>
        </is>
      </c>
      <c r="I59" s="72" t="inlineStr">
        <is>
          <t>1x1A_C</t>
        </is>
      </c>
      <c r="J59" s="80" t="n">
        <v>723</v>
      </c>
      <c r="K59" s="72" t="inlineStr">
        <is>
          <t>Sorrells, Kashon</t>
        </is>
      </c>
      <c r="L59" s="81" t="n">
        <v>1164</v>
      </c>
      <c r="M59" s="81">
        <f>Y59</f>
        <v/>
      </c>
      <c r="N59" s="82" t="n">
        <v>44250</v>
      </c>
      <c r="O59" s="82" t="n">
        <v>46113</v>
      </c>
      <c r="R59" s="81">
        <f>SUM(AB59:AI59)</f>
        <v/>
      </c>
      <c r="S59" s="81" t="n">
        <v>0</v>
      </c>
      <c r="T59" s="81">
        <f>AM59</f>
        <v/>
      </c>
      <c r="Y59" s="81" t="n">
        <v>990</v>
      </c>
      <c r="AC59" s="81" t="n">
        <v>15</v>
      </c>
      <c r="AD59" s="81" t="n">
        <v>5</v>
      </c>
      <c r="AE59" s="81" t="n">
        <v>4</v>
      </c>
      <c r="AF59" s="81" t="n">
        <v>45</v>
      </c>
      <c r="AG59" s="81" t="n">
        <v>65</v>
      </c>
      <c r="AH59" s="81" t="n">
        <v>300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CL - 806-16</t>
        </is>
      </c>
      <c r="I60" s="72" t="inlineStr">
        <is>
          <t>1x1A_C</t>
        </is>
      </c>
      <c r="J60" s="80" t="n">
        <v>516</v>
      </c>
      <c r="K60" s="72" t="inlineStr">
        <is>
          <t>Pitvorec, Jeremy</t>
        </is>
      </c>
      <c r="L60" s="81" t="n">
        <v>1149</v>
      </c>
      <c r="M60" s="81">
        <f>Y60</f>
        <v/>
      </c>
      <c r="N60" s="82" t="n">
        <v>44621</v>
      </c>
      <c r="O60" s="82" t="n">
        <v>46082</v>
      </c>
      <c r="P60" s="82" t="n">
        <v>46538</v>
      </c>
      <c r="R60" s="81">
        <f>SUM(AB60:AI60)</f>
        <v/>
      </c>
      <c r="S60" s="81" t="n">
        <v>0</v>
      </c>
      <c r="T60" s="81">
        <f>AM60</f>
        <v/>
      </c>
      <c r="Y60" s="81" t="n">
        <v>1125</v>
      </c>
      <c r="AC60" s="81" t="n">
        <v>15</v>
      </c>
      <c r="AD60" s="81" t="n">
        <v>5</v>
      </c>
      <c r="AE60" s="81" t="n">
        <v>4</v>
      </c>
      <c r="AF60" s="81" t="n">
        <v>45</v>
      </c>
      <c r="AG60" s="81" t="n">
        <v>65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CL - 806-17</t>
        </is>
      </c>
      <c r="I61" s="72" t="inlineStr">
        <is>
          <t>1x1A_C</t>
        </is>
      </c>
      <c r="J61" s="80" t="n">
        <v>765</v>
      </c>
      <c r="K61" s="72" t="inlineStr">
        <is>
          <t>Quiroz, Espie</t>
        </is>
      </c>
      <c r="L61" s="81" t="n">
        <v>1179</v>
      </c>
      <c r="M61" s="81">
        <f>Y61</f>
        <v/>
      </c>
      <c r="N61" s="82" t="n">
        <v>45971</v>
      </c>
      <c r="O61" s="82" t="n">
        <v>45971</v>
      </c>
      <c r="P61" s="82" t="n">
        <v>46335</v>
      </c>
      <c r="R61" s="81">
        <f>SUM(AB61:AI61)</f>
        <v/>
      </c>
      <c r="S61" s="81" t="n">
        <v>0</v>
      </c>
      <c r="T61" s="81">
        <f>AM61</f>
        <v/>
      </c>
      <c r="Y61" s="81" t="n">
        <v>1179</v>
      </c>
      <c r="AC61" s="81" t="n">
        <v>15</v>
      </c>
      <c r="AD61" s="81" t="n">
        <v>5</v>
      </c>
      <c r="AE61" s="81" t="n">
        <v>4</v>
      </c>
      <c r="AF61" s="81" t="n">
        <v>45</v>
      </c>
      <c r="AG61" s="81" t="n">
        <v>65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CL - 806-18</t>
        </is>
      </c>
      <c r="I62" s="72" t="inlineStr">
        <is>
          <t>1x1A_C</t>
        </is>
      </c>
      <c r="J62" s="80" t="n">
        <v>765</v>
      </c>
      <c r="K62" s="72" t="inlineStr">
        <is>
          <t>Ostrander, Bradley</t>
        </is>
      </c>
      <c r="L62" s="81" t="n">
        <v>1124</v>
      </c>
      <c r="M62" s="81">
        <f>Y62</f>
        <v/>
      </c>
      <c r="N62" s="82" t="n">
        <v>45946</v>
      </c>
      <c r="O62" s="82" t="n">
        <v>45946</v>
      </c>
      <c r="P62" s="82" t="n">
        <v>46310</v>
      </c>
      <c r="R62" s="81">
        <f>SUM(AB62:AI62)</f>
        <v/>
      </c>
      <c r="S62" s="81" t="n">
        <v>0</v>
      </c>
      <c r="T62" s="81">
        <f>AM62</f>
        <v/>
      </c>
      <c r="Y62" s="81" t="n">
        <v>1124</v>
      </c>
      <c r="AC62" s="81" t="n">
        <v>15</v>
      </c>
      <c r="AD62" s="81" t="n">
        <v>5</v>
      </c>
      <c r="AE62" s="81" t="n">
        <v>4</v>
      </c>
      <c r="AF62" s="81" t="n">
        <v>45</v>
      </c>
      <c r="AG62" s="81" t="n">
        <v>65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CL - 806-19</t>
        </is>
      </c>
      <c r="I63" s="72" t="inlineStr">
        <is>
          <t>2x1A_C</t>
        </is>
      </c>
      <c r="J63" s="80" t="n">
        <v>781</v>
      </c>
      <c r="K63" s="72" t="inlineStr">
        <is>
          <t>Webb, Kennetha</t>
        </is>
      </c>
      <c r="L63" s="81" t="n">
        <v>1324</v>
      </c>
      <c r="M63" s="81">
        <f>Y63</f>
        <v/>
      </c>
      <c r="N63" s="82" t="n">
        <v>45926</v>
      </c>
      <c r="O63" s="82" t="n">
        <v>45926</v>
      </c>
      <c r="P63" s="82" t="n">
        <v>46381</v>
      </c>
      <c r="R63" s="81">
        <f>SUM(AB63:AI63)</f>
        <v/>
      </c>
      <c r="S63" s="81" t="n">
        <v>0</v>
      </c>
      <c r="T63" s="81">
        <f>AM63</f>
        <v/>
      </c>
      <c r="Y63" s="81" t="n">
        <v>1324</v>
      </c>
      <c r="AB63" s="81" t="n">
        <v>30</v>
      </c>
      <c r="AC63" s="81" t="n">
        <v>15</v>
      </c>
      <c r="AD63" s="81" t="n">
        <v>5</v>
      </c>
      <c r="AE63" s="81" t="n">
        <v>4</v>
      </c>
      <c r="AF63" s="81" t="n">
        <v>45</v>
      </c>
      <c r="AG63" s="81" t="n">
        <v>65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CL - 806-20</t>
        </is>
      </c>
      <c r="I64" s="72" t="inlineStr">
        <is>
          <t>1x1A_C</t>
        </is>
      </c>
      <c r="J64" s="80" t="n">
        <v>515</v>
      </c>
      <c r="K64" s="72" t="inlineStr">
        <is>
          <t>Keaton, Aniya</t>
        </is>
      </c>
      <c r="L64" s="81" t="n">
        <v>1114</v>
      </c>
      <c r="M64" s="81">
        <f>Y64</f>
        <v/>
      </c>
      <c r="N64" s="82" t="n">
        <v>45836</v>
      </c>
      <c r="O64" s="82" t="n">
        <v>45836</v>
      </c>
      <c r="P64" s="82" t="n">
        <v>46200</v>
      </c>
      <c r="R64" s="81">
        <f>SUM(AB64:AI64)</f>
        <v/>
      </c>
      <c r="S64" s="81" t="n">
        <v>0</v>
      </c>
      <c r="T64" s="81">
        <f>AM64</f>
        <v/>
      </c>
      <c r="Y64" s="81" t="n">
        <v>1114</v>
      </c>
      <c r="AC64" s="81" t="n">
        <v>12</v>
      </c>
      <c r="AD64" s="81" t="n">
        <v>5</v>
      </c>
      <c r="AE64" s="81" t="n">
        <v>4</v>
      </c>
      <c r="AF64" s="81" t="n">
        <v>45</v>
      </c>
      <c r="AG64" s="81" t="n">
        <v>65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CL - 806-21</t>
        </is>
      </c>
      <c r="I65" s="72" t="inlineStr">
        <is>
          <t>1x1A_C</t>
        </is>
      </c>
      <c r="J65" s="80" t="n">
        <v>515</v>
      </c>
      <c r="K65" s="72" t="inlineStr">
        <is>
          <t>Sanchez Hernandez, Jose Adolfo</t>
        </is>
      </c>
      <c r="L65" s="81" t="n">
        <v>1169</v>
      </c>
      <c r="M65" s="81">
        <f>Y65</f>
        <v/>
      </c>
      <c r="N65" s="82" t="n">
        <v>45623</v>
      </c>
      <c r="O65" s="82" t="n">
        <v>45988</v>
      </c>
      <c r="P65" s="82" t="n">
        <v>46352</v>
      </c>
      <c r="R65" s="81">
        <f>SUM(AB65:AI65)</f>
        <v/>
      </c>
      <c r="S65" s="81" t="n">
        <v>0</v>
      </c>
      <c r="T65" s="81">
        <f>AM65</f>
        <v/>
      </c>
      <c r="Y65" s="81" t="n">
        <v>1245</v>
      </c>
      <c r="AC65" s="81" t="n">
        <v>15</v>
      </c>
      <c r="AD65" s="81" t="n">
        <v>5</v>
      </c>
      <c r="AE65" s="81" t="n">
        <v>4</v>
      </c>
      <c r="AF65" s="81" t="n">
        <v>45</v>
      </c>
      <c r="AG65" s="81" t="n">
        <v>30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CL - 806-22</t>
        </is>
      </c>
      <c r="I66" s="72" t="inlineStr">
        <is>
          <t>1x1A_C</t>
        </is>
      </c>
      <c r="J66" s="80" t="n">
        <v>748</v>
      </c>
      <c r="K66" s="72" t="inlineStr">
        <is>
          <t>Sablas, Mary</t>
        </is>
      </c>
      <c r="L66" s="81" t="n">
        <v>1109</v>
      </c>
      <c r="M66" s="81">
        <f>Y66</f>
        <v/>
      </c>
      <c r="N66" s="82" t="n">
        <v>45308</v>
      </c>
      <c r="O66" s="82" t="n">
        <v>46039</v>
      </c>
      <c r="P66" s="82" t="n">
        <v>46493</v>
      </c>
      <c r="R66" s="81">
        <f>SUM(AB66:AI66)</f>
        <v/>
      </c>
      <c r="S66" s="81" t="n">
        <v>0</v>
      </c>
      <c r="T66" s="81">
        <f>AM66</f>
        <v/>
      </c>
      <c r="Y66" s="81" t="n">
        <v>1059</v>
      </c>
      <c r="AC66" s="81" t="n">
        <v>15</v>
      </c>
      <c r="AD66" s="81" t="n">
        <v>5</v>
      </c>
      <c r="AE66" s="81" t="n">
        <v>4</v>
      </c>
      <c r="AF66" s="81" t="n">
        <v>45</v>
      </c>
      <c r="AG66" s="81" t="n">
        <v>65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CL - 806-23</t>
        </is>
      </c>
      <c r="I67" s="72" t="inlineStr">
        <is>
          <t>2x1A_C</t>
        </is>
      </c>
      <c r="J67" s="80" t="n">
        <v>888</v>
      </c>
      <c r="K67" s="72" t="inlineStr">
        <is>
          <t>Sell, Miranda</t>
        </is>
      </c>
      <c r="L67" s="81" t="n">
        <v>1384</v>
      </c>
      <c r="M67" s="81">
        <f>Y67</f>
        <v/>
      </c>
      <c r="N67" s="82" t="n">
        <v>45990</v>
      </c>
      <c r="O67" s="82" t="n">
        <v>45990</v>
      </c>
      <c r="P67" s="82" t="n">
        <v>46354</v>
      </c>
      <c r="R67" s="81">
        <f>SUM(AB67:AI67)</f>
        <v/>
      </c>
      <c r="S67" s="81" t="n">
        <v>0</v>
      </c>
      <c r="T67" s="81">
        <f>AM67</f>
        <v/>
      </c>
      <c r="Y67" s="81" t="n">
        <v>1384</v>
      </c>
      <c r="AC67" s="81" t="n">
        <v>15</v>
      </c>
      <c r="AD67" s="81" t="n">
        <v>5</v>
      </c>
      <c r="AE67" s="81" t="n">
        <v>4</v>
      </c>
      <c r="AF67" s="81" t="n">
        <v>45</v>
      </c>
      <c r="AG67" s="81" t="n">
        <v>65</v>
      </c>
    </row>
    <row r="68">
      <c r="A68" s="83">
        <f>$D$21</f>
        <v/>
      </c>
      <c r="B68" s="83">
        <f>B67+1</f>
        <v/>
      </c>
      <c r="C68" s="83">
        <f>IF(K68="Vacant","Vac",IF(K68="Model","Model",IF(K68="Admin","Admin",IF(K68="Down","Down",IF(K68="Super","Super","Occ")))))</f>
        <v/>
      </c>
      <c r="D68" s="83">
        <f>INDEX($C$5:$C$8,MATCH(I68,$D$5:$D$8,0))</f>
        <v/>
      </c>
      <c r="E68" s="83">
        <f>INDEX($E$5:$E$8,MATCH(D68,$C$5:$C$8,0))</f>
        <v/>
      </c>
      <c r="F68" s="83">
        <f>INDEX($F$5:$F$8,MATCH(D68,$C$5:$C$8,0))</f>
        <v/>
      </c>
      <c r="G68" s="83">
        <f>INDEX($G$5:$G$8,MATCH(D68,$C$5:$C$8,0))</f>
        <v/>
      </c>
      <c r="H68" s="83" t="inlineStr">
        <is>
          <t>CL - 806-24</t>
        </is>
      </c>
      <c r="I68" s="83" t="inlineStr">
        <is>
          <t>2x1A_C</t>
        </is>
      </c>
      <c r="J68" s="84" t="n">
        <v>683</v>
      </c>
      <c r="K68" s="83" t="inlineStr">
        <is>
          <t>Vacant</t>
        </is>
      </c>
      <c r="L68" s="85" t="n">
        <v>1355</v>
      </c>
      <c r="M68" s="85">
        <f>Y68</f>
        <v/>
      </c>
      <c r="N68" s="86" t="n"/>
      <c r="O68" s="86" t="n"/>
      <c r="P68" s="86" t="n"/>
      <c r="Q68" s="86" t="n"/>
      <c r="R68" s="85">
        <f>SUM(AB68:AI68)</f>
        <v/>
      </c>
      <c r="S68" s="85" t="n">
        <v>0</v>
      </c>
      <c r="T68" s="85">
        <f>AM68</f>
        <v/>
      </c>
      <c r="U68" s="86" t="n"/>
      <c r="V68" s="86" t="n"/>
      <c r="W68" s="86" t="n"/>
      <c r="X68" s="86" t="n"/>
      <c r="Y68" s="85" t="n">
        <v>0</v>
      </c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CL - 806-25</t>
        </is>
      </c>
      <c r="I69" s="72" t="inlineStr">
        <is>
          <t>2x1A_C</t>
        </is>
      </c>
      <c r="J69" s="80" t="n">
        <v>781</v>
      </c>
      <c r="K69" s="72" t="inlineStr">
        <is>
          <t>Williams, Andre</t>
        </is>
      </c>
      <c r="L69" s="81" t="n">
        <v>1314</v>
      </c>
      <c r="M69" s="81">
        <f>Y69</f>
        <v/>
      </c>
      <c r="N69" s="82" t="n">
        <v>45717</v>
      </c>
      <c r="O69" s="82" t="n">
        <v>46082</v>
      </c>
      <c r="P69" s="82" t="n">
        <v>46446</v>
      </c>
      <c r="R69" s="81">
        <f>SUM(AB69:AI69)</f>
        <v/>
      </c>
      <c r="S69" s="81" t="n">
        <v>0</v>
      </c>
      <c r="T69" s="81">
        <f>AM69</f>
        <v/>
      </c>
      <c r="Y69" s="81" t="n">
        <v>1184</v>
      </c>
      <c r="AB69" s="81" t="n">
        <v>35</v>
      </c>
      <c r="AC69" s="81" t="n">
        <v>15</v>
      </c>
      <c r="AD69" s="81" t="n">
        <v>5</v>
      </c>
      <c r="AE69" s="81" t="n">
        <v>4</v>
      </c>
      <c r="AF69" s="81" t="n">
        <v>45</v>
      </c>
      <c r="AG69" s="81" t="n">
        <v>65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CL - 806-26</t>
        </is>
      </c>
      <c r="I70" s="72" t="inlineStr">
        <is>
          <t>2x1A_C</t>
        </is>
      </c>
      <c r="J70" s="80" t="n">
        <v>685</v>
      </c>
      <c r="K70" s="72" t="inlineStr">
        <is>
          <t>Hausley, Isaiah</t>
        </is>
      </c>
      <c r="L70" s="81" t="n">
        <v>1364</v>
      </c>
      <c r="M70" s="81">
        <f>Y70</f>
        <v/>
      </c>
      <c r="N70" s="82" t="n">
        <v>44909</v>
      </c>
      <c r="O70" s="82" t="n">
        <v>46039</v>
      </c>
      <c r="P70" s="82" t="n">
        <v>46403</v>
      </c>
      <c r="R70" s="81">
        <f>SUM(AB70:AI70)</f>
        <v/>
      </c>
      <c r="S70" s="81" t="n">
        <v>0</v>
      </c>
      <c r="T70" s="81">
        <f>AM70</f>
        <v/>
      </c>
      <c r="Y70" s="81" t="n">
        <v>1255</v>
      </c>
      <c r="AC70" s="81" t="n">
        <v>15</v>
      </c>
      <c r="AD70" s="81" t="n">
        <v>5</v>
      </c>
      <c r="AE70" s="81" t="n">
        <v>4</v>
      </c>
      <c r="AF70" s="81" t="n">
        <v>45</v>
      </c>
      <c r="AG70" s="81" t="n">
        <v>65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CL - 806-27</t>
        </is>
      </c>
      <c r="I71" s="72" t="inlineStr">
        <is>
          <t>1x1A_C</t>
        </is>
      </c>
      <c r="J71" s="80" t="n">
        <v>516</v>
      </c>
      <c r="K71" s="72" t="inlineStr">
        <is>
          <t>West, Brayden</t>
        </is>
      </c>
      <c r="L71" s="81" t="n">
        <v>1149</v>
      </c>
      <c r="M71" s="81">
        <f>Y71</f>
        <v/>
      </c>
      <c r="N71" s="82" t="n">
        <v>45869</v>
      </c>
      <c r="O71" s="82" t="n">
        <v>45869</v>
      </c>
      <c r="P71" s="82" t="n">
        <v>46233</v>
      </c>
      <c r="R71" s="81">
        <f>SUM(AB71:AI71)</f>
        <v/>
      </c>
      <c r="S71" s="81" t="n">
        <v>0</v>
      </c>
      <c r="T71" s="81">
        <f>AM71</f>
        <v/>
      </c>
      <c r="Y71" s="81" t="n">
        <v>1149</v>
      </c>
      <c r="AC71" s="81" t="n">
        <v>15</v>
      </c>
      <c r="AD71" s="81" t="n">
        <v>5</v>
      </c>
      <c r="AE71" s="81" t="n">
        <v>4</v>
      </c>
      <c r="AF71" s="81" t="n">
        <v>45</v>
      </c>
      <c r="AG71" s="81" t="n">
        <v>65</v>
      </c>
    </row>
    <row r="72">
      <c r="A72" s="83">
        <f>$D$21</f>
        <v/>
      </c>
      <c r="B72" s="83">
        <f>B71+1</f>
        <v/>
      </c>
      <c r="C72" s="83">
        <f>IF(K72="Vacant","Vac",IF(K72="Model","Model",IF(K72="Admin","Admin",IF(K72="Down","Down",IF(K72="Super","Super","Occ")))))</f>
        <v/>
      </c>
      <c r="D72" s="83">
        <f>INDEX($C$5:$C$8,MATCH(I72,$D$5:$D$8,0))</f>
        <v/>
      </c>
      <c r="E72" s="83">
        <f>INDEX($E$5:$E$8,MATCH(D72,$C$5:$C$8,0))</f>
        <v/>
      </c>
      <c r="F72" s="83">
        <f>INDEX($F$5:$F$8,MATCH(D72,$C$5:$C$8,0))</f>
        <v/>
      </c>
      <c r="G72" s="83">
        <f>INDEX($G$5:$G$8,MATCH(D72,$C$5:$C$8,0))</f>
        <v/>
      </c>
      <c r="H72" s="83" t="inlineStr">
        <is>
          <t>CL - 806-28</t>
        </is>
      </c>
      <c r="I72" s="83" t="inlineStr">
        <is>
          <t>2x1A_C</t>
        </is>
      </c>
      <c r="J72" s="84" t="n">
        <v>775</v>
      </c>
      <c r="K72" s="83" t="inlineStr">
        <is>
          <t>Vacant</t>
        </is>
      </c>
      <c r="L72" s="85" t="n">
        <v>1355</v>
      </c>
      <c r="M72" s="85">
        <f>Y72</f>
        <v/>
      </c>
      <c r="N72" s="86" t="n"/>
      <c r="O72" s="86" t="n"/>
      <c r="P72" s="86" t="n"/>
      <c r="Q72" s="86" t="n"/>
      <c r="R72" s="85">
        <f>SUM(AB72:AI72)</f>
        <v/>
      </c>
      <c r="S72" s="85" t="n">
        <v>0</v>
      </c>
      <c r="T72" s="85">
        <f>AM72</f>
        <v/>
      </c>
      <c r="U72" s="86" t="n"/>
      <c r="V72" s="86" t="n"/>
      <c r="W72" s="86" t="n"/>
      <c r="X72" s="86" t="n"/>
      <c r="Y72" s="85" t="n">
        <v>0</v>
      </c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CL - 806-29</t>
        </is>
      </c>
      <c r="I73" s="72" t="inlineStr">
        <is>
          <t>2x1A_C</t>
        </is>
      </c>
      <c r="J73" s="80" t="n">
        <v>712</v>
      </c>
      <c r="K73" s="72" t="inlineStr">
        <is>
          <t>Ndiaye, Omar</t>
        </is>
      </c>
      <c r="L73" s="81" t="n">
        <v>1349</v>
      </c>
      <c r="M73" s="81">
        <f>Y73</f>
        <v/>
      </c>
      <c r="N73" s="82" t="n">
        <v>45120</v>
      </c>
      <c r="O73" s="82" t="n">
        <v>45851</v>
      </c>
      <c r="P73" s="82" t="n">
        <v>46215</v>
      </c>
      <c r="R73" s="81">
        <f>SUM(AB73:AI73)</f>
        <v/>
      </c>
      <c r="S73" s="81" t="n">
        <v>0</v>
      </c>
      <c r="T73" s="81">
        <f>AM73</f>
        <v/>
      </c>
      <c r="Y73" s="81" t="n">
        <v>1330</v>
      </c>
      <c r="AC73" s="81" t="n">
        <v>12</v>
      </c>
      <c r="AD73" s="81" t="n">
        <v>5</v>
      </c>
      <c r="AE73" s="81" t="n">
        <v>4</v>
      </c>
      <c r="AF73" s="81" t="n">
        <v>45</v>
      </c>
      <c r="AG73" s="81" t="n">
        <v>30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CL - 806-30</t>
        </is>
      </c>
      <c r="I74" s="72" t="inlineStr">
        <is>
          <t>1x1A_C</t>
        </is>
      </c>
      <c r="J74" s="80" t="n">
        <v>712</v>
      </c>
      <c r="K74" s="72" t="inlineStr">
        <is>
          <t>Ogundipe, Eniola</t>
        </is>
      </c>
      <c r="L74" s="81" t="n">
        <v>1124</v>
      </c>
      <c r="M74" s="81">
        <f>Y74</f>
        <v/>
      </c>
      <c r="N74" s="82" t="n">
        <v>45077</v>
      </c>
      <c r="O74" s="82" t="n">
        <v>45808</v>
      </c>
      <c r="P74" s="82" t="n">
        <v>46172</v>
      </c>
      <c r="R74" s="81">
        <f>SUM(AB74:AI74)</f>
        <v/>
      </c>
      <c r="S74" s="81" t="n">
        <v>0</v>
      </c>
      <c r="T74" s="81">
        <f>AM74</f>
        <v/>
      </c>
      <c r="Y74" s="81" t="n">
        <v>1185</v>
      </c>
      <c r="AB74" s="81" t="n">
        <v>35</v>
      </c>
      <c r="AC74" s="81" t="n">
        <v>12</v>
      </c>
      <c r="AD74" s="81" t="n">
        <v>5</v>
      </c>
      <c r="AE74" s="81" t="n">
        <v>4</v>
      </c>
      <c r="AF74" s="81" t="n">
        <v>45</v>
      </c>
      <c r="AG74" s="81" t="n">
        <v>30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CL - 806-31</t>
        </is>
      </c>
      <c r="I75" s="72" t="inlineStr">
        <is>
          <t>2x1A_C</t>
        </is>
      </c>
      <c r="J75" s="80" t="n">
        <v>781</v>
      </c>
      <c r="K75" s="72" t="inlineStr">
        <is>
          <t>HUTZELL, LILLIAN</t>
        </is>
      </c>
      <c r="L75" s="81" t="n">
        <v>1349</v>
      </c>
      <c r="M75" s="81">
        <f>Y75</f>
        <v/>
      </c>
      <c r="N75" s="82" t="n">
        <v>44678</v>
      </c>
      <c r="O75" s="82" t="n">
        <v>46139</v>
      </c>
      <c r="P75" s="82" t="n">
        <v>46503</v>
      </c>
      <c r="R75" s="81">
        <f>SUM(AB75:AI75)</f>
        <v/>
      </c>
      <c r="S75" s="81" t="n">
        <v>0</v>
      </c>
      <c r="T75" s="81">
        <f>AM75</f>
        <v/>
      </c>
      <c r="Y75" s="81" t="n">
        <v>1355</v>
      </c>
      <c r="AB75" s="81" t="n">
        <v>35</v>
      </c>
      <c r="AC75" s="81" t="n">
        <v>15</v>
      </c>
      <c r="AD75" s="81" t="n">
        <v>5</v>
      </c>
      <c r="AE75" s="81" t="n">
        <v>4</v>
      </c>
      <c r="AF75" s="81" t="n">
        <v>45</v>
      </c>
      <c r="AG75" s="81" t="n">
        <v>65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CL - 806-32</t>
        </is>
      </c>
      <c r="I76" s="72" t="inlineStr">
        <is>
          <t>2x1A_C</t>
        </is>
      </c>
      <c r="J76" s="80" t="n">
        <v>686</v>
      </c>
      <c r="K76" s="72" t="inlineStr">
        <is>
          <t>La Flower, Michael</t>
        </is>
      </c>
      <c r="L76" s="81" t="n">
        <v>1334</v>
      </c>
      <c r="M76" s="81">
        <f>Y76</f>
        <v/>
      </c>
      <c r="N76" s="82" t="n">
        <v>45898</v>
      </c>
      <c r="O76" s="82" t="n">
        <v>45898</v>
      </c>
      <c r="P76" s="82" t="n">
        <v>46262</v>
      </c>
      <c r="R76" s="81">
        <f>SUM(AB76:AI76)</f>
        <v/>
      </c>
      <c r="S76" s="81" t="n">
        <v>0</v>
      </c>
      <c r="T76" s="81">
        <f>AM76</f>
        <v/>
      </c>
      <c r="Y76" s="81" t="n">
        <v>1334</v>
      </c>
      <c r="AC76" s="81" t="n">
        <v>15</v>
      </c>
      <c r="AD76" s="81" t="n">
        <v>5</v>
      </c>
      <c r="AE76" s="81" t="n">
        <v>4</v>
      </c>
      <c r="AF76" s="81" t="n">
        <v>45</v>
      </c>
      <c r="AG76" s="81" t="n">
        <v>65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CL - 806-33</t>
        </is>
      </c>
      <c r="I77" s="72" t="inlineStr">
        <is>
          <t>1x1A_C</t>
        </is>
      </c>
      <c r="J77" s="80" t="n">
        <v>516</v>
      </c>
      <c r="K77" s="72" t="inlineStr">
        <is>
          <t>Bowman, Katherine</t>
        </is>
      </c>
      <c r="L77" s="81" t="n">
        <v>1124</v>
      </c>
      <c r="M77" s="81">
        <f>Y77</f>
        <v/>
      </c>
      <c r="N77" s="82" t="n">
        <v>45821</v>
      </c>
      <c r="O77" s="82" t="n">
        <v>45821</v>
      </c>
      <c r="P77" s="82" t="n">
        <v>46186</v>
      </c>
      <c r="R77" s="81">
        <f>SUM(AB77:AI77)</f>
        <v/>
      </c>
      <c r="S77" s="81" t="n">
        <v>0</v>
      </c>
      <c r="T77" s="81">
        <f>AM77</f>
        <v/>
      </c>
      <c r="Y77" s="81" t="n">
        <v>1124</v>
      </c>
      <c r="AC77" s="81" t="n">
        <v>12</v>
      </c>
      <c r="AD77" s="81" t="n">
        <v>5</v>
      </c>
      <c r="AE77" s="81" t="n">
        <v>4</v>
      </c>
      <c r="AF77" s="81" t="n">
        <v>45</v>
      </c>
      <c r="AG77" s="81" t="n">
        <v>65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CL - 806-34</t>
        </is>
      </c>
      <c r="I78" s="72" t="inlineStr">
        <is>
          <t>2x1A_C</t>
        </is>
      </c>
      <c r="J78" s="80" t="n">
        <v>748</v>
      </c>
      <c r="K78" s="72" t="inlineStr">
        <is>
          <t>Asher, Derrick</t>
        </is>
      </c>
      <c r="L78" s="81" t="n">
        <v>1334</v>
      </c>
      <c r="M78" s="81">
        <f>Y78</f>
        <v/>
      </c>
      <c r="N78" s="82" t="n">
        <v>45855</v>
      </c>
      <c r="O78" s="82" t="n">
        <v>45855</v>
      </c>
      <c r="P78" s="82" t="n">
        <v>46219</v>
      </c>
      <c r="R78" s="81">
        <f>SUM(AB78:AI78)</f>
        <v/>
      </c>
      <c r="S78" s="81" t="n">
        <v>0</v>
      </c>
      <c r="T78" s="81">
        <f>AM78</f>
        <v/>
      </c>
      <c r="Y78" s="81" t="n">
        <v>1334</v>
      </c>
      <c r="AC78" s="81" t="n">
        <v>12</v>
      </c>
      <c r="AD78" s="81" t="n">
        <v>5</v>
      </c>
      <c r="AE78" s="81" t="n">
        <v>4</v>
      </c>
      <c r="AF78" s="81" t="n">
        <v>45</v>
      </c>
      <c r="AG78" s="81" t="n">
        <v>65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CL - 806-35</t>
        </is>
      </c>
      <c r="I79" s="72" t="inlineStr">
        <is>
          <t>2x1A_C</t>
        </is>
      </c>
      <c r="J79" s="80" t="n">
        <v>1078</v>
      </c>
      <c r="K79" s="72" t="inlineStr">
        <is>
          <t>Mack, Morgan</t>
        </is>
      </c>
      <c r="L79" s="81" t="n">
        <v>1394</v>
      </c>
      <c r="M79" s="81">
        <f>Y79</f>
        <v/>
      </c>
      <c r="N79" s="82" t="n">
        <v>46112</v>
      </c>
      <c r="O79" s="82" t="n">
        <v>46112</v>
      </c>
      <c r="P79" s="82" t="n">
        <v>46476</v>
      </c>
      <c r="R79" s="81">
        <f>SUM(AB79:AI79)</f>
        <v/>
      </c>
      <c r="S79" s="81" t="n">
        <v>0</v>
      </c>
      <c r="T79" s="81">
        <f>AM79</f>
        <v/>
      </c>
      <c r="Y79" s="81" t="n">
        <v>1394</v>
      </c>
      <c r="AC79" s="81" t="n">
        <v>15</v>
      </c>
      <c r="AD79" s="81" t="n">
        <v>5</v>
      </c>
      <c r="AE79" s="81" t="n">
        <v>4</v>
      </c>
      <c r="AF79" s="81" t="n">
        <v>45</v>
      </c>
      <c r="AG79" s="81" t="n">
        <v>65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CL - 816-1</t>
        </is>
      </c>
      <c r="I80" s="72" t="inlineStr">
        <is>
          <t>1x1A_C</t>
        </is>
      </c>
      <c r="J80" s="80" t="n">
        <v>540</v>
      </c>
      <c r="K80" s="72" t="inlineStr">
        <is>
          <t>Miller, Brian</t>
        </is>
      </c>
      <c r="L80" s="81" t="n">
        <v>1189</v>
      </c>
      <c r="M80" s="81">
        <f>Y80</f>
        <v/>
      </c>
      <c r="N80" s="82" t="n">
        <v>45595</v>
      </c>
      <c r="O80" s="82" t="n">
        <v>45960</v>
      </c>
      <c r="P80" s="82" t="n">
        <v>46416</v>
      </c>
      <c r="R80" s="81">
        <f>SUM(AB80:AI80)</f>
        <v/>
      </c>
      <c r="S80" s="81" t="n">
        <v>0</v>
      </c>
      <c r="T80" s="81">
        <f>AM80</f>
        <v/>
      </c>
      <c r="Y80" s="81" t="n">
        <v>1300</v>
      </c>
      <c r="AC80" s="81" t="n">
        <v>15</v>
      </c>
      <c r="AD80" s="81" t="n">
        <v>5</v>
      </c>
      <c r="AE80" s="81" t="n">
        <v>4</v>
      </c>
      <c r="AF80" s="81" t="n">
        <v>45</v>
      </c>
      <c r="AG80" s="81" t="n">
        <v>65</v>
      </c>
      <c r="AI80" s="81" t="n">
        <v>150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CL - 816-2</t>
        </is>
      </c>
      <c r="I81" s="72" t="inlineStr">
        <is>
          <t>1x1A_C</t>
        </is>
      </c>
      <c r="J81" s="80" t="n">
        <v>775</v>
      </c>
      <c r="K81" s="72" t="inlineStr">
        <is>
          <t>Holbrook, Kendrick</t>
        </is>
      </c>
      <c r="L81" s="81" t="n">
        <v>1189</v>
      </c>
      <c r="M81" s="81">
        <f>Y81</f>
        <v/>
      </c>
      <c r="N81" s="82" t="n">
        <v>45456</v>
      </c>
      <c r="O81" s="82" t="n">
        <v>45821</v>
      </c>
      <c r="P81" s="82" t="n">
        <v>46185</v>
      </c>
      <c r="R81" s="81">
        <f>SUM(AB81:AI81)</f>
        <v/>
      </c>
      <c r="S81" s="81" t="n">
        <v>0</v>
      </c>
      <c r="T81" s="81">
        <f>AM81</f>
        <v/>
      </c>
      <c r="Y81" s="81" t="n">
        <v>1145</v>
      </c>
      <c r="AB81" s="81" t="n">
        <v>65</v>
      </c>
      <c r="AC81" s="81" t="n">
        <v>12</v>
      </c>
      <c r="AD81" s="81" t="n">
        <v>5</v>
      </c>
      <c r="AE81" s="81" t="n">
        <v>4</v>
      </c>
      <c r="AF81" s="81" t="n">
        <v>45</v>
      </c>
      <c r="AG81" s="81" t="n">
        <v>30</v>
      </c>
      <c r="AI81" s="81" t="n">
        <v>150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CL - 816-3</t>
        </is>
      </c>
      <c r="I82" s="72" t="inlineStr">
        <is>
          <t>1x1A_C</t>
        </is>
      </c>
      <c r="J82" s="80" t="n">
        <v>775</v>
      </c>
      <c r="K82" s="72" t="inlineStr">
        <is>
          <t>Bariff, Mae</t>
        </is>
      </c>
      <c r="L82" s="81" t="n">
        <v>1189</v>
      </c>
      <c r="M82" s="81">
        <f>Y82</f>
        <v/>
      </c>
      <c r="N82" s="82" t="n">
        <v>45838</v>
      </c>
      <c r="O82" s="82" t="n">
        <v>45838</v>
      </c>
      <c r="P82" s="82" t="n">
        <v>46232</v>
      </c>
      <c r="R82" s="81">
        <f>SUM(AB82:AI82)</f>
        <v/>
      </c>
      <c r="S82" s="81" t="n">
        <v>0</v>
      </c>
      <c r="T82" s="81">
        <f>AM82</f>
        <v/>
      </c>
      <c r="Y82" s="81" t="n">
        <v>1189</v>
      </c>
      <c r="AC82" s="81" t="n">
        <v>15</v>
      </c>
      <c r="AD82" s="81" t="n">
        <v>5</v>
      </c>
      <c r="AE82" s="81" t="n">
        <v>4</v>
      </c>
      <c r="AF82" s="81" t="n">
        <v>45</v>
      </c>
      <c r="AG82" s="81" t="n">
        <v>65</v>
      </c>
      <c r="AI82" s="81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2026-07-01T18:24:13Z</dcterms:created>
  <dcterms:modified xmlns:dcterms="http://purl.org/dc/terms/" xmlns:xsi="http://www.w3.org/2001/XMLSchema-instance" xsi:type="dcterms:W3CDTF">2026-07-01T18:24:13Z</dcterms:modified>
</cp:coreProperties>
</file>