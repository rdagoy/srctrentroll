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1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7" t="inlineStr">
        <is>
          <t>1 BD / 1 BA</t>
        </is>
      </c>
      <c r="F6" s="8" t="n">
        <v>9</v>
      </c>
      <c r="G6" s="9" t="n">
        <v>9</v>
      </c>
      <c r="H6" s="10" t="n">
        <v>6038</v>
      </c>
      <c r="I6" s="10" t="n">
        <v>670.8888888888889</v>
      </c>
      <c r="J6" s="11" t="n">
        <v>10986</v>
      </c>
      <c r="K6" s="11" t="n">
        <v>1220.666666666667</v>
      </c>
      <c r="L6" s="12" t="n">
        <v>1.819476647896654</v>
      </c>
      <c r="M6" s="11" t="n">
        <v>10885.3</v>
      </c>
      <c r="N6" s="11" t="n">
        <v>1209.477777777778</v>
      </c>
      <c r="O6" s="12" t="n">
        <v>1.802798940046373</v>
      </c>
      <c r="P6" s="11" t="n">
        <v>1325</v>
      </c>
      <c r="Q6" s="11" t="n">
        <v>1197</v>
      </c>
      <c r="S6" s="10" t="n">
        <v>6038</v>
      </c>
    </row>
    <row r="7">
      <c r="D7" s="7" t="inlineStr">
        <is>
          <t>Maven @ 806</t>
        </is>
      </c>
      <c r="E7" s="7" t="inlineStr">
        <is>
          <t>2 BD / 2 BA</t>
        </is>
      </c>
      <c r="F7" s="8" t="n">
        <v>1</v>
      </c>
      <c r="G7" s="9" t="n">
        <v>5</v>
      </c>
      <c r="H7" s="10" t="n">
        <v>5194</v>
      </c>
      <c r="I7" s="10" t="n">
        <v>1038.8</v>
      </c>
      <c r="J7" s="11" t="n">
        <v>8795</v>
      </c>
      <c r="K7" s="11" t="n">
        <v>1759</v>
      </c>
      <c r="L7" s="12" t="n">
        <v>1.693299961494032</v>
      </c>
      <c r="M7" s="11" t="n">
        <v>1799</v>
      </c>
      <c r="N7" s="11" t="n">
        <v>1799</v>
      </c>
      <c r="O7" s="12" t="n">
        <v>2.131516587677725</v>
      </c>
      <c r="P7" s="11" t="n">
        <v>1799</v>
      </c>
      <c r="Q7" s="11" t="n">
        <v>5164</v>
      </c>
      <c r="S7" s="10" t="n">
        <v>844</v>
      </c>
    </row>
    <row r="8">
      <c r="C8" s="13" t="inlineStr">
        <is>
          <t>Total/Wtd Average</t>
        </is>
      </c>
      <c r="D8" s="13" t="n"/>
      <c r="E8" s="13" t="n"/>
      <c r="F8" s="14" t="n">
        <v>10</v>
      </c>
      <c r="G8" s="15" t="n">
        <v>14</v>
      </c>
      <c r="H8" s="16" t="n">
        <v>11232</v>
      </c>
      <c r="I8" s="16" t="n">
        <v>802.2857142857143</v>
      </c>
      <c r="J8" s="17" t="n">
        <v>19781</v>
      </c>
      <c r="K8" s="17" t="n">
        <v>1412.928571428571</v>
      </c>
      <c r="L8" s="18" t="n">
        <v>1.761128917378917</v>
      </c>
      <c r="M8" s="17" t="n">
        <v>12684.3</v>
      </c>
      <c r="N8" s="17" t="n">
        <v>1268.43</v>
      </c>
      <c r="O8" s="18" t="n">
        <v>1.843112467306016</v>
      </c>
      <c r="P8" s="17" t="n">
        <v>1494.285714285714</v>
      </c>
      <c r="Q8" s="17" t="n">
        <v>6361</v>
      </c>
      <c r="S8" s="16" t="n">
        <v>6882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14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10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0.7142857142857143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11232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6882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0.6127136752136753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237372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152211.6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14</v>
      </c>
    </row>
    <row r="43">
      <c r="U43" s="26" t="inlineStr">
        <is>
          <t>Occ Units</t>
        </is>
      </c>
      <c r="W43" s="27" t="n">
        <v>10</v>
      </c>
    </row>
    <row r="44">
      <c r="U44" s="26" t="inlineStr">
        <is>
          <t>Unit %Occ</t>
        </is>
      </c>
      <c r="W44" s="28" t="n">
        <v>0.7142857142857143</v>
      </c>
    </row>
    <row r="45">
      <c r="U45" s="26" t="inlineStr">
        <is>
          <t>Net Sq Ft</t>
        </is>
      </c>
      <c r="W45" s="27" t="n">
        <v>11232</v>
      </c>
    </row>
    <row r="46">
      <c r="U46" s="26" t="inlineStr">
        <is>
          <t>SF Occ</t>
        </is>
      </c>
      <c r="W46" s="27" t="n">
        <v>6882</v>
      </c>
    </row>
    <row r="47">
      <c r="U47" s="26" t="inlineStr">
        <is>
          <t>% SF Occ</t>
        </is>
      </c>
      <c r="W47" s="28" t="n">
        <v>0.6127136752136753</v>
      </c>
    </row>
    <row r="48">
      <c r="U48" s="26" t="inlineStr">
        <is>
          <t>Mkt Rent</t>
        </is>
      </c>
      <c r="W48" s="27" t="n">
        <v>19781</v>
      </c>
    </row>
    <row r="49">
      <c r="U49" s="26" t="inlineStr">
        <is>
          <t>Cont Rent</t>
        </is>
      </c>
      <c r="W49" s="27" t="n">
        <v>12684.3</v>
      </c>
    </row>
    <row r="50">
      <c r="U50" s="26" t="inlineStr">
        <is>
          <t>Conc</t>
        </is>
      </c>
      <c r="W50" s="27" t="n">
        <v>-374.7</v>
      </c>
    </row>
    <row r="51">
      <c r="U51" s="26" t="inlineStr">
        <is>
          <t>Other Inc</t>
        </is>
      </c>
      <c r="W51" s="27" t="n">
        <v>6361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Maven @ 806</t>
        </is>
      </c>
      <c r="Y3" s="30" t="n">
        <v>46157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Maven @ 806</t>
        </is>
      </c>
      <c r="E7" s="36" t="inlineStr">
        <is>
          <t>1 BD / 1 BA</t>
        </is>
      </c>
      <c r="F7" s="37" t="n">
        <v>9</v>
      </c>
      <c r="G7" s="9" t="n">
        <v>9</v>
      </c>
      <c r="H7" s="10" t="n">
        <v>6038</v>
      </c>
      <c r="I7" s="10" t="n">
        <v>670.8888888888889</v>
      </c>
      <c r="J7" s="11" t="n">
        <v>1220.666666666667</v>
      </c>
      <c r="K7" s="38" t="n">
        <v>1220.666666666667</v>
      </c>
      <c r="L7" s="11" t="n">
        <v>1209.477777777778</v>
      </c>
      <c r="M7" s="39" t="n">
        <v>0.9908337884580374</v>
      </c>
      <c r="N7" s="38" t="n">
        <v>1173.46</v>
      </c>
      <c r="O7" s="40" t="n">
        <v>5</v>
      </c>
      <c r="P7" s="11" t="n">
        <v>1173.46</v>
      </c>
      <c r="Q7" s="40" t="n">
        <v>5</v>
      </c>
      <c r="R7" s="11" t="n">
        <v>1173.46</v>
      </c>
      <c r="S7" s="40" t="n">
        <v>5</v>
      </c>
      <c r="T7" s="11" t="n">
        <v>1173.46</v>
      </c>
      <c r="U7" s="40" t="n">
        <v>5</v>
      </c>
      <c r="V7" s="11" t="n">
        <v>1234.5</v>
      </c>
      <c r="W7" s="40" t="n">
        <v>2</v>
      </c>
    </row>
    <row r="8">
      <c r="D8" s="36" t="inlineStr">
        <is>
          <t>Maven @ 806</t>
        </is>
      </c>
      <c r="E8" s="36" t="inlineStr">
        <is>
          <t>2 BD / 2 BA</t>
        </is>
      </c>
      <c r="F8" s="37" t="n">
        <v>1</v>
      </c>
      <c r="G8" s="9" t="n">
        <v>5</v>
      </c>
      <c r="H8" s="10" t="n">
        <v>5194</v>
      </c>
      <c r="I8" s="10" t="n">
        <v>1038.8</v>
      </c>
      <c r="J8" s="11" t="n">
        <v>1759</v>
      </c>
      <c r="K8" s="38" t="n">
        <v>1599</v>
      </c>
      <c r="L8" s="11" t="n">
        <v>1799</v>
      </c>
      <c r="M8" s="39" t="n">
        <v>1.125078173858662</v>
      </c>
      <c r="N8" s="38" t="n">
        <v>1799</v>
      </c>
      <c r="O8" s="40" t="n">
        <v>1</v>
      </c>
      <c r="P8" s="11" t="inlineStr">
        <is>
          <t>n/a</t>
        </is>
      </c>
      <c r="Q8" s="40" t="n">
        <v>0</v>
      </c>
      <c r="R8" s="11" t="inlineStr">
        <is>
          <t>n/a</t>
        </is>
      </c>
      <c r="S8" s="40" t="n">
        <v>0</v>
      </c>
      <c r="T8" s="11" t="inlineStr">
        <is>
          <t>n/a</t>
        </is>
      </c>
      <c r="U8" s="40" t="n">
        <v>0</v>
      </c>
      <c r="V8" s="11" t="inlineStr">
        <is>
          <t>n/a</t>
        </is>
      </c>
      <c r="W8" s="40" t="n">
        <v>0</v>
      </c>
    </row>
    <row r="9">
      <c r="C9" s="13" t="inlineStr">
        <is>
          <t>Total/Wtd Average</t>
        </is>
      </c>
      <c r="D9" s="41" t="n"/>
      <c r="E9" s="41" t="n"/>
      <c r="F9" s="15" t="n">
        <v>10</v>
      </c>
      <c r="G9" s="15" t="n">
        <v>14</v>
      </c>
      <c r="H9" s="16" t="n">
        <v>11232</v>
      </c>
      <c r="I9" s="16" t="n">
        <v>802.2857142857143</v>
      </c>
      <c r="J9" s="17" t="n">
        <v>1412.928571428571</v>
      </c>
      <c r="K9" s="42" t="n">
        <v>1258.5</v>
      </c>
      <c r="L9" s="17" t="n">
        <v>1268.43</v>
      </c>
      <c r="M9" s="43" t="n">
        <v>1.007890345649583</v>
      </c>
      <c r="N9" s="42" t="inlineStr">
        <is>
          <t>n/a</t>
        </is>
      </c>
      <c r="O9" s="44" t="n">
        <v>6</v>
      </c>
      <c r="P9" s="17" t="inlineStr">
        <is>
          <t>n/a</t>
        </is>
      </c>
      <c r="Q9" s="44" t="n">
        <v>5</v>
      </c>
      <c r="R9" s="17" t="inlineStr">
        <is>
          <t>n/a</t>
        </is>
      </c>
      <c r="S9" s="44" t="n">
        <v>5</v>
      </c>
      <c r="T9" s="17" t="inlineStr">
        <is>
          <t>n/a</t>
        </is>
      </c>
      <c r="U9" s="44" t="n">
        <v>5</v>
      </c>
      <c r="V9" s="17" t="inlineStr">
        <is>
          <t>n/a</t>
        </is>
      </c>
      <c r="W9" s="45" t="n">
        <v>2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14</v>
      </c>
    </row>
    <row r="60">
      <c r="Z60" s="26" t="inlineStr">
        <is>
          <t>Occ Units</t>
        </is>
      </c>
      <c r="AB60" s="27" t="n">
        <v>10</v>
      </c>
    </row>
    <row r="61">
      <c r="Z61" s="26" t="inlineStr">
        <is>
          <t>Unit %Occ</t>
        </is>
      </c>
      <c r="AB61" s="28" t="n">
        <v>0.7142857142857143</v>
      </c>
    </row>
    <row r="62">
      <c r="Z62" s="26" t="inlineStr">
        <is>
          <t>Net Sq Ft</t>
        </is>
      </c>
      <c r="AB62" s="27" t="n">
        <v>11232</v>
      </c>
    </row>
    <row r="63">
      <c r="Z63" s="26" t="inlineStr">
        <is>
          <t>SF Occ</t>
        </is>
      </c>
      <c r="AB63" s="27" t="n">
        <v>6882</v>
      </c>
    </row>
    <row r="64">
      <c r="Z64" s="26" t="inlineStr">
        <is>
          <t>% SF Occ</t>
        </is>
      </c>
      <c r="AB64" s="28" t="n">
        <v>0.6127136752136753</v>
      </c>
    </row>
    <row r="65">
      <c r="Z65" s="26" t="inlineStr">
        <is>
          <t>Mkt Rent</t>
        </is>
      </c>
      <c r="AB65" s="27" t="n">
        <v>19781</v>
      </c>
    </row>
    <row r="66">
      <c r="Z66" s="26" t="inlineStr">
        <is>
          <t>Cont Rent</t>
        </is>
      </c>
      <c r="AB66" s="27" t="n">
        <v>12684.3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46" t="n">
        <v>1</v>
      </c>
      <c r="F6" s="8" t="n">
        <v>9</v>
      </c>
      <c r="G6" s="9" t="n">
        <v>9</v>
      </c>
      <c r="H6" s="10" t="n">
        <v>6038</v>
      </c>
      <c r="I6" s="10" t="n">
        <v>670.8888888888889</v>
      </c>
      <c r="J6" s="11" t="n">
        <v>10986</v>
      </c>
      <c r="K6" s="11" t="n">
        <v>1220.666666666667</v>
      </c>
      <c r="L6" s="12" t="n">
        <v>1.819476647896654</v>
      </c>
      <c r="M6" s="11" t="n">
        <v>10885.3</v>
      </c>
      <c r="N6" s="11" t="n">
        <v>1209.477777777778</v>
      </c>
      <c r="O6" s="12" t="n">
        <v>1.802798940046373</v>
      </c>
      <c r="P6" s="11" t="n">
        <v>1325</v>
      </c>
      <c r="Q6" s="11" t="n">
        <v>1197</v>
      </c>
      <c r="S6" s="10" t="n">
        <v>6038</v>
      </c>
    </row>
    <row r="7">
      <c r="D7" s="7" t="inlineStr">
        <is>
          <t>Maven @ 806</t>
        </is>
      </c>
      <c r="E7" s="46" t="n">
        <v>2</v>
      </c>
      <c r="F7" s="8" t="n">
        <v>1</v>
      </c>
      <c r="G7" s="9" t="n">
        <v>5</v>
      </c>
      <c r="H7" s="10" t="n">
        <v>5194</v>
      </c>
      <c r="I7" s="10" t="n">
        <v>1038.8</v>
      </c>
      <c r="J7" s="11" t="n">
        <v>8795</v>
      </c>
      <c r="K7" s="11" t="n">
        <v>1759</v>
      </c>
      <c r="L7" s="12" t="n">
        <v>1.693299961494032</v>
      </c>
      <c r="M7" s="11" t="n">
        <v>1799</v>
      </c>
      <c r="N7" s="11" t="n">
        <v>1799</v>
      </c>
      <c r="O7" s="12" t="n">
        <v>2.131516587677725</v>
      </c>
      <c r="P7" s="11" t="n">
        <v>1799</v>
      </c>
      <c r="Q7" s="11" t="n">
        <v>5164</v>
      </c>
      <c r="S7" s="10" t="n">
        <v>844</v>
      </c>
    </row>
    <row r="8">
      <c r="C8" s="13" t="inlineStr">
        <is>
          <t>Total/Wtd Average</t>
        </is>
      </c>
      <c r="D8" s="13" t="n"/>
      <c r="E8" s="13" t="n"/>
      <c r="F8" s="14" t="n">
        <v>10</v>
      </c>
      <c r="G8" s="15" t="n">
        <v>14</v>
      </c>
      <c r="H8" s="16" t="n">
        <v>11232</v>
      </c>
      <c r="I8" s="16" t="n">
        <v>802.2857142857143</v>
      </c>
      <c r="J8" s="17" t="n">
        <v>19781</v>
      </c>
      <c r="K8" s="17" t="n">
        <v>1412.928571428571</v>
      </c>
      <c r="L8" s="18" t="n">
        <v>1.761128917378917</v>
      </c>
      <c r="M8" s="17" t="n">
        <v>12684.3</v>
      </c>
      <c r="N8" s="17" t="n">
        <v>1268.43</v>
      </c>
      <c r="O8" s="18" t="n">
        <v>1.843112467306016</v>
      </c>
      <c r="P8" s="17" t="inlineStr">
        <is>
          <t>N/A</t>
        </is>
      </c>
      <c r="Q8" s="17" t="n">
        <v>6361</v>
      </c>
      <c r="S8" s="16" t="n">
        <v>6882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14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10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0.7142857142857143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11232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6882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0.6127136752136753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237372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152211.6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Maven @ 806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Maven @ 806</t>
        </is>
      </c>
      <c r="E8" s="54" t="inlineStr">
        <is>
          <t>800-1A</t>
        </is>
      </c>
      <c r="F8" s="54" t="inlineStr">
        <is>
          <t>1x1B_C</t>
        </is>
      </c>
      <c r="G8" s="54" t="inlineStr">
        <is>
          <t>1 BD / 1 BA</t>
        </is>
      </c>
      <c r="K8" s="36" t="inlineStr">
        <is>
          <t>HiSmith, Darwin</t>
        </is>
      </c>
      <c r="L8" s="55" t="n">
        <v>817</v>
      </c>
      <c r="M8" s="56" t="n">
        <v>1</v>
      </c>
      <c r="N8" s="56" t="n">
        <v>1</v>
      </c>
      <c r="Q8" s="57" t="inlineStr">
        <is>
          <t>Occ</t>
        </is>
      </c>
      <c r="U8" s="58" t="n">
        <v>1234</v>
      </c>
      <c r="V8" s="58" t="n">
        <v>1285</v>
      </c>
      <c r="W8" s="58" t="n">
        <v>0</v>
      </c>
      <c r="X8" s="58" t="n">
        <v>0</v>
      </c>
      <c r="Y8" s="58" t="n">
        <v>169</v>
      </c>
      <c r="Z8" s="59" t="n">
        <v>45380</v>
      </c>
      <c r="AA8" s="59" t="n">
        <v>46110</v>
      </c>
      <c r="AB8" s="59" t="n">
        <v>46474</v>
      </c>
    </row>
    <row r="9">
      <c r="D9" s="36" t="inlineStr">
        <is>
          <t>Maven @ 806</t>
        </is>
      </c>
      <c r="E9" s="54" t="inlineStr">
        <is>
          <t>800-1AU</t>
        </is>
      </c>
      <c r="F9" s="54" t="inlineStr">
        <is>
          <t>1x1B_C</t>
        </is>
      </c>
      <c r="G9" s="54" t="inlineStr">
        <is>
          <t>1 BD / 1 BA</t>
        </is>
      </c>
      <c r="K9" s="36" t="inlineStr">
        <is>
          <t>Rental, Meraki Rentals</t>
        </is>
      </c>
      <c r="L9" s="55" t="n">
        <v>745</v>
      </c>
      <c r="M9" s="56" t="n">
        <v>1</v>
      </c>
      <c r="N9" s="56" t="n">
        <v>1</v>
      </c>
      <c r="Q9" s="57" t="inlineStr">
        <is>
          <t>Occ</t>
        </is>
      </c>
      <c r="U9" s="58" t="n">
        <v>1159</v>
      </c>
      <c r="V9" s="58" t="n">
        <v>1229</v>
      </c>
      <c r="W9" s="58" t="n">
        <v>0</v>
      </c>
      <c r="X9" s="58" t="n">
        <v>0</v>
      </c>
      <c r="Y9" s="58" t="n">
        <v>96</v>
      </c>
      <c r="Z9" s="59" t="n">
        <v>45000</v>
      </c>
      <c r="AA9" s="59" t="n">
        <v>45792</v>
      </c>
      <c r="AB9" s="59" t="n">
        <v>46248</v>
      </c>
    </row>
    <row r="10">
      <c r="D10" s="36" t="inlineStr">
        <is>
          <t>Maven @ 806</t>
        </is>
      </c>
      <c r="E10" s="54" t="inlineStr">
        <is>
          <t>800-1B</t>
        </is>
      </c>
      <c r="F10" s="54" t="inlineStr">
        <is>
          <t>1x1B_C</t>
        </is>
      </c>
      <c r="G10" s="54" t="inlineStr">
        <is>
          <t>1 BD / 1 BA</t>
        </is>
      </c>
      <c r="K10" s="36" t="inlineStr">
        <is>
          <t>Bhutia, Tshering</t>
        </is>
      </c>
      <c r="L10" s="55" t="n">
        <v>745</v>
      </c>
      <c r="M10" s="56" t="n">
        <v>1</v>
      </c>
      <c r="N10" s="56" t="n">
        <v>1</v>
      </c>
      <c r="Q10" s="57" t="inlineStr">
        <is>
          <t>Occ</t>
        </is>
      </c>
      <c r="U10" s="58" t="n">
        <v>1249</v>
      </c>
      <c r="V10" s="58" t="n">
        <v>1249</v>
      </c>
      <c r="W10" s="58" t="n">
        <v>0</v>
      </c>
      <c r="X10" s="58" t="n">
        <v>0</v>
      </c>
      <c r="Y10" s="58" t="n">
        <v>134</v>
      </c>
      <c r="Z10" s="59" t="n">
        <v>46143</v>
      </c>
      <c r="AA10" s="59" t="n">
        <v>46143</v>
      </c>
      <c r="AB10" s="59" t="n">
        <v>46507</v>
      </c>
    </row>
    <row r="11">
      <c r="D11" s="36" t="inlineStr">
        <is>
          <t>Maven @ 806</t>
        </is>
      </c>
      <c r="E11" s="54" t="inlineStr">
        <is>
          <t>800-1BU</t>
        </is>
      </c>
      <c r="F11" s="54" t="inlineStr">
        <is>
          <t>1x1B_C</t>
        </is>
      </c>
      <c r="G11" s="54" t="inlineStr">
        <is>
          <t>1 BD / 1 BA</t>
        </is>
      </c>
      <c r="K11" s="36" t="inlineStr">
        <is>
          <t>Brooks, Heidi</t>
        </is>
      </c>
      <c r="L11" s="55" t="n">
        <v>641</v>
      </c>
      <c r="M11" s="56" t="n">
        <v>1</v>
      </c>
      <c r="N11" s="56" t="n">
        <v>1</v>
      </c>
      <c r="Q11" s="57" t="inlineStr">
        <is>
          <t>Occ</t>
        </is>
      </c>
      <c r="U11" s="58" t="n">
        <v>1159</v>
      </c>
      <c r="V11" s="58" t="n">
        <v>1239</v>
      </c>
      <c r="W11" s="58" t="n">
        <v>0</v>
      </c>
      <c r="X11" s="58" t="n">
        <v>0</v>
      </c>
      <c r="Y11" s="58" t="n">
        <v>134</v>
      </c>
      <c r="Z11" s="59" t="n">
        <v>46115</v>
      </c>
      <c r="AA11" s="59" t="n">
        <v>46115</v>
      </c>
      <c r="AB11" s="59" t="n">
        <v>46328</v>
      </c>
    </row>
    <row r="12">
      <c r="D12" s="36" t="inlineStr">
        <is>
          <t>Maven @ 806</t>
        </is>
      </c>
      <c r="E12" s="54" t="inlineStr">
        <is>
          <t>800-1C</t>
        </is>
      </c>
      <c r="F12" s="54" t="inlineStr">
        <is>
          <t>1x1B_C</t>
        </is>
      </c>
      <c r="G12" s="54" t="inlineStr">
        <is>
          <t>1 BD / 1 BA</t>
        </is>
      </c>
      <c r="K12" s="36" t="inlineStr">
        <is>
          <t>Olmstead, Emma</t>
        </is>
      </c>
      <c r="L12" s="55" t="n">
        <v>622</v>
      </c>
      <c r="M12" s="56" t="n">
        <v>1</v>
      </c>
      <c r="N12" s="56" t="n">
        <v>1</v>
      </c>
      <c r="Q12" s="57" t="inlineStr">
        <is>
          <t>Occ</t>
        </is>
      </c>
      <c r="U12" s="58" t="n">
        <v>1234</v>
      </c>
      <c r="V12" s="58" t="n">
        <v>1220</v>
      </c>
      <c r="W12" s="58" t="n">
        <v>0</v>
      </c>
      <c r="X12" s="58" t="n">
        <v>0</v>
      </c>
      <c r="Y12" s="58" t="n">
        <v>134</v>
      </c>
      <c r="Z12" s="59" t="n">
        <v>45047</v>
      </c>
      <c r="AA12" s="59" t="n">
        <v>46143</v>
      </c>
      <c r="AB12" s="59" t="n">
        <v>46507</v>
      </c>
    </row>
    <row r="13">
      <c r="D13" s="36" t="inlineStr">
        <is>
          <t>Maven @ 806</t>
        </is>
      </c>
      <c r="E13" s="54" t="inlineStr">
        <is>
          <t>800-1D</t>
        </is>
      </c>
      <c r="F13" s="54" t="inlineStr">
        <is>
          <t>1x1B_C</t>
        </is>
      </c>
      <c r="G13" s="54" t="inlineStr">
        <is>
          <t>1 BD / 1 BA</t>
        </is>
      </c>
      <c r="K13" s="36" t="inlineStr">
        <is>
          <t>Calvert, Savannah</t>
        </is>
      </c>
      <c r="L13" s="55" t="n">
        <v>622</v>
      </c>
      <c r="M13" s="56" t="n">
        <v>1</v>
      </c>
      <c r="N13" s="56" t="n">
        <v>1</v>
      </c>
      <c r="Q13" s="57" t="inlineStr">
        <is>
          <t>Occ</t>
        </is>
      </c>
      <c r="U13" s="58" t="n">
        <v>1234</v>
      </c>
      <c r="V13" s="58" t="n">
        <v>1234</v>
      </c>
      <c r="W13" s="58" t="n">
        <v>0</v>
      </c>
      <c r="X13" s="58" t="n">
        <v>0</v>
      </c>
      <c r="Y13" s="58" t="n">
        <v>134</v>
      </c>
      <c r="Z13" s="59" t="n">
        <v>45863</v>
      </c>
      <c r="AA13" s="59" t="n">
        <v>45863</v>
      </c>
      <c r="AB13" s="59" t="n">
        <v>46319</v>
      </c>
    </row>
    <row r="14">
      <c r="D14" s="36" t="inlineStr">
        <is>
          <t>Maven @ 806</t>
        </is>
      </c>
      <c r="E14" s="54" t="inlineStr">
        <is>
          <t>800-2A</t>
        </is>
      </c>
      <c r="F14" s="54" t="inlineStr">
        <is>
          <t>2x2B_C</t>
        </is>
      </c>
      <c r="G14" s="54" t="inlineStr">
        <is>
          <t>2 BD / 2 BA</t>
        </is>
      </c>
      <c r="K14" s="36" t="inlineStr">
        <is>
          <t>-- Vacant --</t>
        </is>
      </c>
      <c r="L14" s="55" t="n">
        <v>1253</v>
      </c>
      <c r="M14" s="56" t="n">
        <v>2</v>
      </c>
      <c r="N14" s="56" t="n">
        <v>2</v>
      </c>
      <c r="Q14" s="57" t="inlineStr">
        <is>
          <t>Vac</t>
        </is>
      </c>
      <c r="U14" s="58" t="n">
        <v>1799</v>
      </c>
      <c r="V14" s="58" t="n">
        <v>0</v>
      </c>
      <c r="W14" s="58" t="n">
        <v>0</v>
      </c>
      <c r="X14" s="58" t="n">
        <v>0</v>
      </c>
      <c r="Y14" s="58" t="n">
        <v>0</v>
      </c>
    </row>
    <row r="15">
      <c r="D15" s="36" t="inlineStr">
        <is>
          <t>Maven @ 806</t>
        </is>
      </c>
      <c r="E15" s="54" t="inlineStr">
        <is>
          <t>800-2B</t>
        </is>
      </c>
      <c r="F15" s="54" t="inlineStr">
        <is>
          <t>1x1B_C</t>
        </is>
      </c>
      <c r="G15" s="54" t="inlineStr">
        <is>
          <t>1 BD / 1 BA</t>
        </is>
      </c>
      <c r="K15" s="36" t="inlineStr">
        <is>
          <t>Rental, Meraki Rentals</t>
        </is>
      </c>
      <c r="L15" s="55" t="n">
        <v>622</v>
      </c>
      <c r="M15" s="56" t="n">
        <v>1</v>
      </c>
      <c r="N15" s="56" t="n">
        <v>1</v>
      </c>
      <c r="Q15" s="57" t="inlineStr">
        <is>
          <t>Occ</t>
        </is>
      </c>
      <c r="U15" s="58" t="n">
        <v>1234</v>
      </c>
      <c r="V15" s="58" t="n">
        <v>1230</v>
      </c>
      <c r="W15" s="58" t="n">
        <v>0</v>
      </c>
      <c r="X15" s="58" t="n">
        <v>0</v>
      </c>
      <c r="Y15" s="58" t="n">
        <v>96</v>
      </c>
      <c r="Z15" s="59" t="n">
        <v>45331</v>
      </c>
      <c r="AA15" s="59" t="n">
        <v>45786</v>
      </c>
      <c r="AB15" s="59" t="n">
        <v>46242</v>
      </c>
    </row>
    <row r="16">
      <c r="D16" s="36" t="inlineStr">
        <is>
          <t>Maven @ 806</t>
        </is>
      </c>
      <c r="E16" s="54" t="inlineStr">
        <is>
          <t>800-2C</t>
        </is>
      </c>
      <c r="F16" s="54" t="inlineStr">
        <is>
          <t>1x1B_C</t>
        </is>
      </c>
      <c r="G16" s="54" t="inlineStr">
        <is>
          <t>1 BD / 1 BA</t>
        </is>
      </c>
      <c r="K16" s="36" t="inlineStr">
        <is>
          <t>Dobbs, Warren</t>
        </is>
      </c>
      <c r="L16" s="55" t="n">
        <v>745</v>
      </c>
      <c r="M16" s="56" t="n">
        <v>1</v>
      </c>
      <c r="N16" s="56" t="n">
        <v>1</v>
      </c>
      <c r="Q16" s="57" t="inlineStr">
        <is>
          <t>Occ</t>
        </is>
      </c>
      <c r="U16" s="58" t="n">
        <v>1249</v>
      </c>
      <c r="V16" s="58" t="n">
        <v>1249</v>
      </c>
      <c r="W16" s="58" t="n">
        <v>-374.7</v>
      </c>
      <c r="X16" s="58" t="n">
        <v>0</v>
      </c>
      <c r="Y16" s="58" t="n">
        <v>134</v>
      </c>
      <c r="Z16" s="59" t="n">
        <v>46108</v>
      </c>
      <c r="AA16" s="59" t="n">
        <v>46108</v>
      </c>
      <c r="AB16" s="59" t="n">
        <v>46472</v>
      </c>
    </row>
    <row r="17">
      <c r="D17" s="36" t="inlineStr">
        <is>
          <t>Maven @ 806</t>
        </is>
      </c>
      <c r="E17" s="54" t="inlineStr">
        <is>
          <t>800-2D</t>
        </is>
      </c>
      <c r="F17" s="54" t="inlineStr">
        <is>
          <t>1x1B_C</t>
        </is>
      </c>
      <c r="G17" s="54" t="inlineStr">
        <is>
          <t>1 BD / 1 BA</t>
        </is>
      </c>
      <c r="K17" s="36" t="inlineStr">
        <is>
          <t>Filbeck, Daniel</t>
        </is>
      </c>
      <c r="L17" s="55" t="n">
        <v>479</v>
      </c>
      <c r="M17" s="56" t="n">
        <v>1</v>
      </c>
      <c r="N17" s="56" t="n">
        <v>1</v>
      </c>
      <c r="Q17" s="57" t="inlineStr">
        <is>
          <t>Occ</t>
        </is>
      </c>
      <c r="U17" s="58" t="n">
        <v>1234</v>
      </c>
      <c r="V17" s="58" t="n">
        <v>1325</v>
      </c>
      <c r="W17" s="58" t="n">
        <v>0</v>
      </c>
      <c r="X17" s="58" t="n">
        <v>0</v>
      </c>
      <c r="Y17" s="58" t="n">
        <v>166</v>
      </c>
      <c r="Z17" s="59" t="n">
        <v>45057</v>
      </c>
      <c r="AA17" s="59" t="n">
        <v>45788</v>
      </c>
      <c r="AB17" s="59" t="n">
        <v>46244</v>
      </c>
    </row>
    <row r="18">
      <c r="D18" s="36" t="inlineStr">
        <is>
          <t>Maven @ 806</t>
        </is>
      </c>
      <c r="E18" s="54" t="inlineStr">
        <is>
          <t>800-3A</t>
        </is>
      </c>
      <c r="F18" s="54" t="inlineStr">
        <is>
          <t>2x2B_C</t>
        </is>
      </c>
      <c r="G18" s="54" t="inlineStr">
        <is>
          <t>2 BD / 2 BA</t>
        </is>
      </c>
      <c r="K18" s="36" t="inlineStr">
        <is>
          <t>-- Vacant --</t>
        </is>
      </c>
      <c r="L18" s="55" t="n">
        <v>1153</v>
      </c>
      <c r="M18" s="56" t="n">
        <v>2</v>
      </c>
      <c r="N18" s="56" t="n">
        <v>2</v>
      </c>
      <c r="Q18" s="57" t="inlineStr">
        <is>
          <t>Vac</t>
        </is>
      </c>
      <c r="U18" s="58" t="n">
        <v>1799</v>
      </c>
      <c r="V18" s="58" t="n">
        <v>0</v>
      </c>
      <c r="W18" s="58" t="n">
        <v>0</v>
      </c>
      <c r="X18" s="58" t="n">
        <v>0</v>
      </c>
      <c r="Y18" s="58" t="n">
        <v>0</v>
      </c>
    </row>
    <row r="19">
      <c r="D19" s="36" t="inlineStr">
        <is>
          <t>Maven @ 806</t>
        </is>
      </c>
      <c r="E19" s="54" t="inlineStr">
        <is>
          <t>800-3B</t>
        </is>
      </c>
      <c r="F19" s="54" t="inlineStr">
        <is>
          <t>2x2B_C</t>
        </is>
      </c>
      <c r="G19" s="54" t="inlineStr">
        <is>
          <t>2 BD / 2 BA</t>
        </is>
      </c>
      <c r="K19" s="36" t="inlineStr">
        <is>
          <t>Castillo, Jamie</t>
        </is>
      </c>
      <c r="L19" s="55" t="n">
        <v>844</v>
      </c>
      <c r="M19" s="56" t="n">
        <v>2</v>
      </c>
      <c r="N19" s="56" t="n">
        <v>2</v>
      </c>
      <c r="Q19" s="57" t="inlineStr">
        <is>
          <t>Occ</t>
        </is>
      </c>
      <c r="U19" s="58" t="n">
        <v>1599</v>
      </c>
      <c r="V19" s="58" t="n">
        <v>1799</v>
      </c>
      <c r="W19" s="58" t="n">
        <v>0</v>
      </c>
      <c r="X19" s="58" t="n">
        <v>0</v>
      </c>
      <c r="Y19" s="58" t="n">
        <v>134</v>
      </c>
      <c r="Z19" s="59" t="n">
        <v>46032</v>
      </c>
      <c r="AA19" s="59" t="n">
        <v>46032</v>
      </c>
      <c r="AB19" s="59" t="n">
        <v>46396</v>
      </c>
    </row>
    <row r="20">
      <c r="D20" s="36" t="inlineStr">
        <is>
          <t>Maven @ 806</t>
        </is>
      </c>
      <c r="E20" s="54" t="inlineStr">
        <is>
          <t>800-3C</t>
        </is>
      </c>
      <c r="F20" s="54" t="inlineStr">
        <is>
          <t>2x2B_C</t>
        </is>
      </c>
      <c r="G20" s="54" t="inlineStr">
        <is>
          <t>2 BD / 2 BA</t>
        </is>
      </c>
      <c r="K20" s="36" t="inlineStr">
        <is>
          <t>-- Vacant --</t>
        </is>
      </c>
      <c r="L20" s="55" t="n">
        <v>972</v>
      </c>
      <c r="M20" s="56" t="n">
        <v>2</v>
      </c>
      <c r="N20" s="56" t="n">
        <v>2</v>
      </c>
      <c r="Q20" s="57" t="inlineStr">
        <is>
          <t>Vac</t>
        </is>
      </c>
      <c r="U20" s="58" t="n">
        <v>1799</v>
      </c>
      <c r="V20" s="58" t="n">
        <v>0</v>
      </c>
      <c r="W20" s="58" t="n">
        <v>0</v>
      </c>
      <c r="X20" s="58" t="n">
        <v>0</v>
      </c>
      <c r="Y20" s="58" t="n">
        <v>0</v>
      </c>
    </row>
    <row r="21">
      <c r="D21" s="36" t="inlineStr">
        <is>
          <t>Maven @ 806</t>
        </is>
      </c>
      <c r="E21" s="54" t="inlineStr">
        <is>
          <t>800-3D</t>
        </is>
      </c>
      <c r="F21" s="54" t="inlineStr">
        <is>
          <t>2x2B_C</t>
        </is>
      </c>
      <c r="G21" s="54" t="inlineStr">
        <is>
          <t>2 BD / 2 BA</t>
        </is>
      </c>
      <c r="K21" s="36" t="inlineStr">
        <is>
          <t>-- Vacant --</t>
        </is>
      </c>
      <c r="L21" s="55" t="n">
        <v>972</v>
      </c>
      <c r="M21" s="56" t="n">
        <v>2</v>
      </c>
      <c r="N21" s="56" t="n">
        <v>2</v>
      </c>
      <c r="Q21" s="57" t="inlineStr">
        <is>
          <t>Vac</t>
        </is>
      </c>
      <c r="U21" s="58" t="n">
        <v>1799</v>
      </c>
      <c r="V21" s="58" t="n">
        <v>0</v>
      </c>
      <c r="W21" s="58" t="n">
        <v>0</v>
      </c>
      <c r="X21" s="58" t="n">
        <v>0</v>
      </c>
      <c r="Y21" s="58" t="n">
        <v>5030</v>
      </c>
    </row>
    <row r="22">
      <c r="C22" s="60" t="inlineStr">
        <is>
          <t>Total / Wtd. Average</t>
        </is>
      </c>
      <c r="D22" s="61" t="n"/>
      <c r="E22" s="61" t="n"/>
      <c r="F22" s="61" t="n"/>
      <c r="G22" s="62" t="n">
        <v>14</v>
      </c>
      <c r="H22" s="61" t="n"/>
      <c r="I22" s="61" t="n"/>
      <c r="J22" s="61" t="n"/>
      <c r="K22" s="61" t="n"/>
      <c r="L22" s="63" t="n">
        <v>11232</v>
      </c>
      <c r="M22" s="61" t="n"/>
      <c r="N22" s="61" t="n"/>
      <c r="O22" s="61" t="n"/>
      <c r="P22" s="61" t="n"/>
      <c r="Q22" s="61" t="n"/>
      <c r="R22" s="61" t="n"/>
      <c r="S22" s="61" t="n"/>
      <c r="T22" s="61" t="n"/>
      <c r="U22" s="64" t="n">
        <v>19781</v>
      </c>
      <c r="V22" s="64" t="n">
        <v>12684.3</v>
      </c>
      <c r="W22" s="64" t="n">
        <v>-374.7</v>
      </c>
      <c r="X22" s="64" t="n">
        <v>0</v>
      </c>
      <c r="Y22" s="64" t="n">
        <v>6361</v>
      </c>
      <c r="Z22" s="61" t="n"/>
      <c r="AA22" s="61" t="n"/>
      <c r="AB22" s="61" t="n"/>
      <c r="AC22" s="61" t="n"/>
      <c r="AD22" s="61" t="n"/>
      <c r="AE22" s="65" t="n">
        <v>0</v>
      </c>
      <c r="AF22" s="65" t="n">
        <v>0</v>
      </c>
      <c r="AG22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S45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1x1B_C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COUNTIFS($D$32:$D$45,$C5)</f>
        <v/>
      </c>
      <c r="I5" s="75">
        <f>COUNTIFS($D$32:$D$45,$C5,$C$32:$C$45,"Occ")+COUNTIFS($D$32:$D$45,$C5,$C$32:$C$45,"Admin")+COUNTIFS($D$32:$D$45,$C5,$C$32:$C$45,"Down")+COUNTIFS($D$32:$D$45,$C5,$C$32:$C$45,"Super")+COUNTIFS($D$32:$D$45,$C5,$C$32:$C$45,"Model")</f>
        <v/>
      </c>
      <c r="J5" s="75">
        <f>COUNTIFS($D$32:$D$45,$C5,$C$32:$C$45,"Vac")</f>
        <v/>
      </c>
      <c r="K5" s="75">
        <f>IFERROR(AVERAGEIFS($J$32:$J$45,$D$32:$D$45,$C5),"n/a")</f>
        <v/>
      </c>
      <c r="L5" s="75">
        <f>SUMIFS($J$32:$J$45,$D$32:$D$45,$C5)</f>
        <v/>
      </c>
      <c r="M5" s="75">
        <f>SUMIFS($J$32:$J$45,$D$32:$D$45,$C5,$C$32:$C$45,"Occ")+SUMIFS($J$32:$J$45,$D$32:$D$45,$C5,$C$32:$C$45,"Admin")+SUMIFS($J$32:$J$45,$D$32:$D$45,$C5,$C$32:$C$45,"Down")+SUMIFS($J$32:$J$45,$D$32:$D$45,$C5,$C$32:$C$45,"Super")+SUMIFS($J$32:$J$45,$D$32:$D$45,$C5,$C$32:$C$45,"Model")</f>
        <v/>
      </c>
      <c r="N5" s="75">
        <f>SUMIFS($J$32:$J$45,$D$32:$D$45,$C5,$C$32:$C$45,"Vac")</f>
        <v/>
      </c>
      <c r="O5" s="75">
        <f>SUMIFS($L$32:$L$45,$D$32:$D$45,$C5)</f>
        <v/>
      </c>
      <c r="P5" s="75">
        <f>SUMIFS($M$32:$M$45,$D$32:$D$45,$C5)</f>
        <v/>
      </c>
      <c r="Q5" s="75">
        <f>SUMIFS($R$32:$R$45,$D$32:$D$45,$C5)</f>
        <v/>
      </c>
      <c r="R5" s="75">
        <f>SUMIFS($S$32:$S$45,$D$32:$D$45,$C5)</f>
        <v/>
      </c>
      <c r="S5" s="75">
        <f>SUMIFS($T$32:$T$45,$D$32:$D$45,$C5)</f>
        <v/>
      </c>
    </row>
    <row r="6">
      <c r="C6" s="71" t="inlineStr">
        <is>
          <t>2 BD / 2 BA</t>
        </is>
      </c>
      <c r="D6" s="72" t="inlineStr">
        <is>
          <t>2x2B_C</t>
        </is>
      </c>
      <c r="E6" s="73" t="n">
        <v>2</v>
      </c>
      <c r="F6" s="74" t="n">
        <v>2</v>
      </c>
      <c r="G6" s="73" t="inlineStr">
        <is>
          <t>No</t>
        </is>
      </c>
      <c r="H6" s="75">
        <f>COUNTIFS($D$32:$D$45,$C6)</f>
        <v/>
      </c>
      <c r="I6" s="75">
        <f>COUNTIFS($D$32:$D$45,$C6,$C$32:$C$45,"Occ")+COUNTIFS($D$32:$D$45,$C6,$C$32:$C$45,"Admin")+COUNTIFS($D$32:$D$45,$C6,$C$32:$C$45,"Down")+COUNTIFS($D$32:$D$45,$C6,$C$32:$C$45,"Super")+COUNTIFS($D$32:$D$45,$C6,$C$32:$C$45,"Model")</f>
        <v/>
      </c>
      <c r="J6" s="75">
        <f>COUNTIFS($D$32:$D$45,$C6,$C$32:$C$45,"Vac")</f>
        <v/>
      </c>
      <c r="K6" s="75">
        <f>IFERROR(AVERAGEIFS($J$32:$J$45,$D$32:$D$45,$C6),"n/a")</f>
        <v/>
      </c>
      <c r="L6" s="75">
        <f>SUMIFS($J$32:$J$45,$D$32:$D$45,$C6)</f>
        <v/>
      </c>
      <c r="M6" s="75">
        <f>SUMIFS($J$32:$J$45,$D$32:$D$45,$C6,$C$32:$C$45,"Occ")+SUMIFS($J$32:$J$45,$D$32:$D$45,$C6,$C$32:$C$45,"Admin")+SUMIFS($J$32:$J$45,$D$32:$D$45,$C6,$C$32:$C$45,"Down")+SUMIFS($J$32:$J$45,$D$32:$D$45,$C6,$C$32:$C$45,"Super")+SUMIFS($J$32:$J$45,$D$32:$D$45,$C6,$C$32:$C$45,"Model")</f>
        <v/>
      </c>
      <c r="N6" s="75">
        <f>SUMIFS($J$32:$J$45,$D$32:$D$45,$C6,$C$32:$C$45,"Vac")</f>
        <v/>
      </c>
      <c r="O6" s="75">
        <f>SUMIFS($L$32:$L$45,$D$32:$D$45,$C6)</f>
        <v/>
      </c>
      <c r="P6" s="75">
        <f>SUMIFS($M$32:$M$45,$D$32:$D$45,$C6)</f>
        <v/>
      </c>
      <c r="Q6" s="75">
        <f>SUMIFS($R$32:$R$45,$D$32:$D$45,$C6)</f>
        <v/>
      </c>
      <c r="R6" s="75">
        <f>SUMIFS($S$32:$S$45,$D$32:$D$45,$C6)</f>
        <v/>
      </c>
      <c r="S6" s="75">
        <f>SUMIFS($T$32:$T$45,$D$32:$D$45,$C6)</f>
        <v/>
      </c>
    </row>
    <row r="7">
      <c r="C7" s="68" t="inlineStr">
        <is>
          <t>Totals</t>
        </is>
      </c>
      <c r="H7" s="76">
        <f>SUM(H5:H6)</f>
        <v/>
      </c>
      <c r="I7" s="76">
        <f>SUM(I5:I6)</f>
        <v/>
      </c>
      <c r="J7" s="76">
        <f>SUM(J5:J6)</f>
        <v/>
      </c>
      <c r="L7" s="76">
        <f>SUM(L5:L6)</f>
        <v/>
      </c>
      <c r="M7" s="76">
        <f>SUM(M5:M6)</f>
        <v/>
      </c>
      <c r="N7" s="76">
        <f>SUM(N5:N6)</f>
        <v/>
      </c>
      <c r="O7" s="76">
        <f>SUM(O5:O6)</f>
        <v/>
      </c>
      <c r="P7" s="76">
        <f>SUM(P5:P6)</f>
        <v/>
      </c>
      <c r="Q7" s="76">
        <f>SUM(Q5:Q6)</f>
        <v/>
      </c>
      <c r="R7" s="76">
        <f>SUM(R5:R6)</f>
        <v/>
      </c>
      <c r="S7" s="76">
        <f>SUM(S5:S6)</f>
        <v/>
      </c>
    </row>
    <row r="8">
      <c r="C8" s="68" t="inlineStr">
        <is>
          <t>%</t>
        </is>
      </c>
      <c r="I8" s="77">
        <f>I7/$H$7</f>
        <v/>
      </c>
      <c r="J8" s="77">
        <f>J7/$H$7</f>
        <v/>
      </c>
      <c r="M8" s="77">
        <f>IFERROR(M7/$L$7,"n/a")</f>
        <v/>
      </c>
      <c r="N8" s="77">
        <f>IFERROR(N7/$L$7,"n/a")</f>
        <v/>
      </c>
    </row>
    <row r="12">
      <c r="C12" s="78" t="inlineStr">
        <is>
          <t>Notes:</t>
        </is>
      </c>
    </row>
    <row r="13">
      <c r="C13" s="78" t="inlineStr">
        <is>
          <t>1. Vacant units market rent is the per-unit market/asking rent from the source.</t>
        </is>
      </c>
    </row>
    <row r="14">
      <c r="C14" s="78" t="inlineStr">
        <is>
          <t>2. BD/BA count is from the Unit Type mapping above (edit the yellow cells to adjust).</t>
        </is>
      </c>
    </row>
    <row r="19">
      <c r="C19" s="78" t="inlineStr">
        <is>
          <t>Property Name</t>
        </is>
      </c>
      <c r="D19" s="78" t="inlineStr">
        <is>
          <t>Maven @ 806</t>
        </is>
      </c>
    </row>
    <row r="20">
      <c r="C20" s="78" t="inlineStr">
        <is>
          <t>Rent Roll Date</t>
        </is>
      </c>
      <c r="D20" s="79" t="n">
        <v>46157</v>
      </c>
    </row>
    <row r="30">
      <c r="Y30" s="67" t="inlineStr">
        <is>
          <t>Rent</t>
        </is>
      </c>
      <c r="AB30" s="67" t="inlineStr">
        <is>
          <t>Other Income</t>
        </is>
      </c>
      <c r="AM30" s="67" t="inlineStr">
        <is>
          <t>Concessions</t>
        </is>
      </c>
      <c r="AS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 Fee</t>
        </is>
      </c>
      <c r="AC31" s="67" t="inlineStr">
        <is>
          <t>Laundry Income</t>
        </is>
      </c>
      <c r="AM31" s="67" t="inlineStr">
        <is>
          <t>Model</t>
        </is>
      </c>
      <c r="AS31" s="67" t="inlineStr">
        <is>
          <t>Employee Rent Credit</t>
        </is>
      </c>
    </row>
    <row r="32">
      <c r="A32" s="72">
        <f>$D$19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INDEX($C$5:$C$6,MATCH(I32,$D$5:$D$6,0))</f>
        <v/>
      </c>
      <c r="E32" s="72">
        <f>INDEX($E$5:$E$6,MATCH(D32,$C$5:$C$6,0))</f>
        <v/>
      </c>
      <c r="F32" s="72">
        <f>INDEX($F$5:$F$6,MATCH(D32,$C$5:$C$6,0))</f>
        <v/>
      </c>
      <c r="G32" s="72">
        <f>INDEX($G$5:$G$6,MATCH(D32,$C$5:$C$6,0))</f>
        <v/>
      </c>
      <c r="H32" s="72" t="inlineStr">
        <is>
          <t>800-1A</t>
        </is>
      </c>
      <c r="I32" s="72" t="inlineStr">
        <is>
          <t>1x1B_C</t>
        </is>
      </c>
      <c r="J32" s="80" t="n">
        <v>817</v>
      </c>
      <c r="K32" s="72" t="inlineStr">
        <is>
          <t>HiSmith, Darwin</t>
        </is>
      </c>
      <c r="L32" s="81" t="n">
        <v>1234</v>
      </c>
      <c r="M32" s="81">
        <f>Y32</f>
        <v/>
      </c>
      <c r="N32" s="82" t="n">
        <v>45380</v>
      </c>
      <c r="O32" s="82" t="n">
        <v>46110</v>
      </c>
      <c r="P32" s="82" t="n">
        <v>46474</v>
      </c>
      <c r="R32" s="81">
        <f>SUM(AB32:AK32)</f>
        <v/>
      </c>
      <c r="S32" s="81">
        <f>SUM(AM32:AQ32)</f>
        <v/>
      </c>
      <c r="T32" s="81">
        <f>SUM(AS32:AW32)</f>
        <v/>
      </c>
      <c r="Y32" s="81" t="n">
        <v>1285</v>
      </c>
    </row>
    <row r="33">
      <c r="A33" s="72">
        <f>$D$19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INDEX($C$5:$C$6,MATCH(I33,$D$5:$D$6,0))</f>
        <v/>
      </c>
      <c r="E33" s="72">
        <f>INDEX($E$5:$E$6,MATCH(D33,$C$5:$C$6,0))</f>
        <v/>
      </c>
      <c r="F33" s="72">
        <f>INDEX($F$5:$F$6,MATCH(D33,$C$5:$C$6,0))</f>
        <v/>
      </c>
      <c r="G33" s="72">
        <f>INDEX($G$5:$G$6,MATCH(D33,$C$5:$C$6,0))</f>
        <v/>
      </c>
      <c r="H33" s="72" t="inlineStr">
        <is>
          <t>800-1AU</t>
        </is>
      </c>
      <c r="I33" s="72" t="inlineStr">
        <is>
          <t>1x1B_C</t>
        </is>
      </c>
      <c r="J33" s="80" t="n">
        <v>745</v>
      </c>
      <c r="K33" s="72" t="inlineStr">
        <is>
          <t>Rental, Meraki Rentals</t>
        </is>
      </c>
      <c r="L33" s="81" t="n">
        <v>1159</v>
      </c>
      <c r="M33" s="81">
        <f>Y33</f>
        <v/>
      </c>
      <c r="N33" s="82" t="n">
        <v>45000</v>
      </c>
      <c r="O33" s="82" t="n">
        <v>45792</v>
      </c>
      <c r="P33" s="82" t="n">
        <v>46248</v>
      </c>
      <c r="R33" s="81">
        <f>SUM(AB33:AK33)</f>
        <v/>
      </c>
      <c r="S33" s="81">
        <f>SUM(AM33:AQ33)</f>
        <v/>
      </c>
      <c r="T33" s="81">
        <f>SUM(AS33:AW33)</f>
        <v/>
      </c>
      <c r="Y33" s="81" t="n">
        <v>1229</v>
      </c>
    </row>
    <row r="34">
      <c r="A34" s="72">
        <f>$D$19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INDEX($C$5:$C$6,MATCH(I34,$D$5:$D$6,0))</f>
        <v/>
      </c>
      <c r="E34" s="72">
        <f>INDEX($E$5:$E$6,MATCH(D34,$C$5:$C$6,0))</f>
        <v/>
      </c>
      <c r="F34" s="72">
        <f>INDEX($F$5:$F$6,MATCH(D34,$C$5:$C$6,0))</f>
        <v/>
      </c>
      <c r="G34" s="72">
        <f>INDEX($G$5:$G$6,MATCH(D34,$C$5:$C$6,0))</f>
        <v/>
      </c>
      <c r="H34" s="72" t="inlineStr">
        <is>
          <t>800-1B</t>
        </is>
      </c>
      <c r="I34" s="72" t="inlineStr">
        <is>
          <t>1x1B_C</t>
        </is>
      </c>
      <c r="J34" s="80" t="n">
        <v>745</v>
      </c>
      <c r="K34" s="72" t="inlineStr">
        <is>
          <t>Bhutia, Tshering</t>
        </is>
      </c>
      <c r="L34" s="81" t="n">
        <v>1249</v>
      </c>
      <c r="M34" s="81">
        <f>Y34</f>
        <v/>
      </c>
      <c r="N34" s="82" t="n">
        <v>46143</v>
      </c>
      <c r="O34" s="82" t="n">
        <v>46143</v>
      </c>
      <c r="P34" s="82" t="n">
        <v>46507</v>
      </c>
      <c r="R34" s="81">
        <f>SUM(AB34:AK34)</f>
        <v/>
      </c>
      <c r="S34" s="81">
        <f>SUM(AM34:AQ34)</f>
        <v/>
      </c>
      <c r="T34" s="81">
        <f>SUM(AS34:AW34)</f>
        <v/>
      </c>
      <c r="Y34" s="81" t="n">
        <v>1249</v>
      </c>
    </row>
    <row r="35">
      <c r="A35" s="72">
        <f>$D$19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INDEX($C$5:$C$6,MATCH(I35,$D$5:$D$6,0))</f>
        <v/>
      </c>
      <c r="E35" s="72">
        <f>INDEX($E$5:$E$6,MATCH(D35,$C$5:$C$6,0))</f>
        <v/>
      </c>
      <c r="F35" s="72">
        <f>INDEX($F$5:$F$6,MATCH(D35,$C$5:$C$6,0))</f>
        <v/>
      </c>
      <c r="G35" s="72">
        <f>INDEX($G$5:$G$6,MATCH(D35,$C$5:$C$6,0))</f>
        <v/>
      </c>
      <c r="H35" s="72" t="inlineStr">
        <is>
          <t>800-1BU</t>
        </is>
      </c>
      <c r="I35" s="72" t="inlineStr">
        <is>
          <t>1x1B_C</t>
        </is>
      </c>
      <c r="J35" s="80" t="n">
        <v>641</v>
      </c>
      <c r="K35" s="72" t="inlineStr">
        <is>
          <t>Brooks, Heidi</t>
        </is>
      </c>
      <c r="L35" s="81" t="n">
        <v>1159</v>
      </c>
      <c r="M35" s="81">
        <f>Y35</f>
        <v/>
      </c>
      <c r="N35" s="82" t="n">
        <v>46115</v>
      </c>
      <c r="O35" s="82" t="n">
        <v>46115</v>
      </c>
      <c r="P35" s="82" t="n">
        <v>46328</v>
      </c>
      <c r="R35" s="81">
        <f>SUM(AB35:AK35)</f>
        <v/>
      </c>
      <c r="S35" s="81">
        <f>SUM(AM35:AQ35)</f>
        <v/>
      </c>
      <c r="T35" s="81">
        <f>SUM(AS35:AW35)</f>
        <v/>
      </c>
      <c r="Y35" s="81" t="n">
        <v>1239</v>
      </c>
    </row>
    <row r="36">
      <c r="A36" s="72">
        <f>$D$19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INDEX($C$5:$C$6,MATCH(I36,$D$5:$D$6,0))</f>
        <v/>
      </c>
      <c r="E36" s="72">
        <f>INDEX($E$5:$E$6,MATCH(D36,$C$5:$C$6,0))</f>
        <v/>
      </c>
      <c r="F36" s="72">
        <f>INDEX($F$5:$F$6,MATCH(D36,$C$5:$C$6,0))</f>
        <v/>
      </c>
      <c r="G36" s="72">
        <f>INDEX($G$5:$G$6,MATCH(D36,$C$5:$C$6,0))</f>
        <v/>
      </c>
      <c r="H36" s="72" t="inlineStr">
        <is>
          <t>800-1C</t>
        </is>
      </c>
      <c r="I36" s="72" t="inlineStr">
        <is>
          <t>1x1B_C</t>
        </is>
      </c>
      <c r="J36" s="80" t="n">
        <v>622</v>
      </c>
      <c r="K36" s="72" t="inlineStr">
        <is>
          <t>Olmstead, Emma</t>
        </is>
      </c>
      <c r="L36" s="81" t="n">
        <v>1234</v>
      </c>
      <c r="M36" s="81">
        <f>Y36</f>
        <v/>
      </c>
      <c r="N36" s="82" t="n">
        <v>45047</v>
      </c>
      <c r="O36" s="82" t="n">
        <v>46143</v>
      </c>
      <c r="P36" s="82" t="n">
        <v>46507</v>
      </c>
      <c r="R36" s="81">
        <f>SUM(AB36:AK36)</f>
        <v/>
      </c>
      <c r="S36" s="81">
        <f>SUM(AM36:AQ36)</f>
        <v/>
      </c>
      <c r="T36" s="81">
        <f>SUM(AS36:AW36)</f>
        <v/>
      </c>
      <c r="Y36" s="81" t="n">
        <v>1220</v>
      </c>
    </row>
    <row r="37">
      <c r="A37" s="72">
        <f>$D$19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INDEX($C$5:$C$6,MATCH(I37,$D$5:$D$6,0))</f>
        <v/>
      </c>
      <c r="E37" s="72">
        <f>INDEX($E$5:$E$6,MATCH(D37,$C$5:$C$6,0))</f>
        <v/>
      </c>
      <c r="F37" s="72">
        <f>INDEX($F$5:$F$6,MATCH(D37,$C$5:$C$6,0))</f>
        <v/>
      </c>
      <c r="G37" s="72">
        <f>INDEX($G$5:$G$6,MATCH(D37,$C$5:$C$6,0))</f>
        <v/>
      </c>
      <c r="H37" s="72" t="inlineStr">
        <is>
          <t>800-1D</t>
        </is>
      </c>
      <c r="I37" s="72" t="inlineStr">
        <is>
          <t>1x1B_C</t>
        </is>
      </c>
      <c r="J37" s="80" t="n">
        <v>622</v>
      </c>
      <c r="K37" s="72" t="inlineStr">
        <is>
          <t>Calvert, Savannah</t>
        </is>
      </c>
      <c r="L37" s="81" t="n">
        <v>1234</v>
      </c>
      <c r="M37" s="81">
        <f>Y37</f>
        <v/>
      </c>
      <c r="N37" s="82" t="n">
        <v>45863</v>
      </c>
      <c r="O37" s="82" t="n">
        <v>45863</v>
      </c>
      <c r="P37" s="82" t="n">
        <v>46319</v>
      </c>
      <c r="R37" s="81">
        <f>SUM(AB37:AK37)</f>
        <v/>
      </c>
      <c r="S37" s="81">
        <f>SUM(AM37:AQ37)</f>
        <v/>
      </c>
      <c r="T37" s="81">
        <f>SUM(AS37:AW37)</f>
        <v/>
      </c>
      <c r="Y37" s="81" t="n">
        <v>1234</v>
      </c>
    </row>
    <row r="38">
      <c r="A38" s="72">
        <f>$D$19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INDEX($C$5:$C$6,MATCH(I38,$D$5:$D$6,0))</f>
        <v/>
      </c>
      <c r="E38" s="72">
        <f>INDEX($E$5:$E$6,MATCH(D38,$C$5:$C$6,0))</f>
        <v/>
      </c>
      <c r="F38" s="72">
        <f>INDEX($F$5:$F$6,MATCH(D38,$C$5:$C$6,0))</f>
        <v/>
      </c>
      <c r="G38" s="72">
        <f>INDEX($G$5:$G$6,MATCH(D38,$C$5:$C$6,0))</f>
        <v/>
      </c>
      <c r="H38" s="72" t="inlineStr">
        <is>
          <t>800-2A</t>
        </is>
      </c>
      <c r="I38" s="72" t="inlineStr">
        <is>
          <t>2x2B_C</t>
        </is>
      </c>
      <c r="J38" s="80" t="n">
        <v>1253</v>
      </c>
      <c r="K38" s="72" t="inlineStr">
        <is>
          <t>-- Vacant --</t>
        </is>
      </c>
      <c r="L38" s="81" t="n">
        <v>1799</v>
      </c>
      <c r="M38" s="81">
        <f>Y38</f>
        <v/>
      </c>
      <c r="R38" s="81">
        <f>SUM(AB38:AK38)</f>
        <v/>
      </c>
      <c r="S38" s="81">
        <f>SUM(AM38:AQ38)</f>
        <v/>
      </c>
      <c r="T38" s="81">
        <f>SUM(AS38:AW38)</f>
        <v/>
      </c>
      <c r="Y38" s="81" t="n">
        <v>0</v>
      </c>
    </row>
    <row r="39">
      <c r="A39" s="72">
        <f>$D$19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INDEX($C$5:$C$6,MATCH(I39,$D$5:$D$6,0))</f>
        <v/>
      </c>
      <c r="E39" s="72">
        <f>INDEX($E$5:$E$6,MATCH(D39,$C$5:$C$6,0))</f>
        <v/>
      </c>
      <c r="F39" s="72">
        <f>INDEX($F$5:$F$6,MATCH(D39,$C$5:$C$6,0))</f>
        <v/>
      </c>
      <c r="G39" s="72">
        <f>INDEX($G$5:$G$6,MATCH(D39,$C$5:$C$6,0))</f>
        <v/>
      </c>
      <c r="H39" s="72" t="inlineStr">
        <is>
          <t>800-2B</t>
        </is>
      </c>
      <c r="I39" s="72" t="inlineStr">
        <is>
          <t>1x1B_C</t>
        </is>
      </c>
      <c r="J39" s="80" t="n">
        <v>622</v>
      </c>
      <c r="K39" s="72" t="inlineStr">
        <is>
          <t>Rental, Meraki Rentals</t>
        </is>
      </c>
      <c r="L39" s="81" t="n">
        <v>1234</v>
      </c>
      <c r="M39" s="81">
        <f>Y39</f>
        <v/>
      </c>
      <c r="N39" s="82" t="n">
        <v>45331</v>
      </c>
      <c r="O39" s="82" t="n">
        <v>45786</v>
      </c>
      <c r="P39" s="82" t="n">
        <v>46242</v>
      </c>
      <c r="R39" s="81">
        <f>SUM(AB39:AK39)</f>
        <v/>
      </c>
      <c r="S39" s="81">
        <f>SUM(AM39:AQ39)</f>
        <v/>
      </c>
      <c r="T39" s="81">
        <f>SUM(AS39:AW39)</f>
        <v/>
      </c>
      <c r="Y39" s="81" t="n">
        <v>1230</v>
      </c>
    </row>
    <row r="40">
      <c r="A40" s="72">
        <f>$D$19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INDEX($C$5:$C$6,MATCH(I40,$D$5:$D$6,0))</f>
        <v/>
      </c>
      <c r="E40" s="72">
        <f>INDEX($E$5:$E$6,MATCH(D40,$C$5:$C$6,0))</f>
        <v/>
      </c>
      <c r="F40" s="72">
        <f>INDEX($F$5:$F$6,MATCH(D40,$C$5:$C$6,0))</f>
        <v/>
      </c>
      <c r="G40" s="72">
        <f>INDEX($G$5:$G$6,MATCH(D40,$C$5:$C$6,0))</f>
        <v/>
      </c>
      <c r="H40" s="72" t="inlineStr">
        <is>
          <t>800-2C</t>
        </is>
      </c>
      <c r="I40" s="72" t="inlineStr">
        <is>
          <t>1x1B_C</t>
        </is>
      </c>
      <c r="J40" s="80" t="n">
        <v>745</v>
      </c>
      <c r="K40" s="72" t="inlineStr">
        <is>
          <t>Dobbs, Warren</t>
        </is>
      </c>
      <c r="L40" s="81" t="n">
        <v>1249</v>
      </c>
      <c r="M40" s="81">
        <f>Y40</f>
        <v/>
      </c>
      <c r="N40" s="82" t="n">
        <v>46108</v>
      </c>
      <c r="O40" s="82" t="n">
        <v>46108</v>
      </c>
      <c r="P40" s="82" t="n">
        <v>46472</v>
      </c>
      <c r="R40" s="81">
        <f>SUM(AB40:AK40)</f>
        <v/>
      </c>
      <c r="S40" s="81">
        <f>SUM(AM40:AQ40)</f>
        <v/>
      </c>
      <c r="T40" s="81">
        <f>SUM(AS40:AW40)</f>
        <v/>
      </c>
      <c r="Y40" s="81" t="n">
        <v>1249</v>
      </c>
      <c r="AM40" s="81" t="n">
        <v>-374.7</v>
      </c>
    </row>
    <row r="41">
      <c r="A41" s="72">
        <f>$D$19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INDEX($C$5:$C$6,MATCH(I41,$D$5:$D$6,0))</f>
        <v/>
      </c>
      <c r="E41" s="72">
        <f>INDEX($E$5:$E$6,MATCH(D41,$C$5:$C$6,0))</f>
        <v/>
      </c>
      <c r="F41" s="72">
        <f>INDEX($F$5:$F$6,MATCH(D41,$C$5:$C$6,0))</f>
        <v/>
      </c>
      <c r="G41" s="72">
        <f>INDEX($G$5:$G$6,MATCH(D41,$C$5:$C$6,0))</f>
        <v/>
      </c>
      <c r="H41" s="72" t="inlineStr">
        <is>
          <t>800-2D</t>
        </is>
      </c>
      <c r="I41" s="72" t="inlineStr">
        <is>
          <t>1x1B_C</t>
        </is>
      </c>
      <c r="J41" s="80" t="n">
        <v>479</v>
      </c>
      <c r="K41" s="72" t="inlineStr">
        <is>
          <t>Filbeck, Daniel</t>
        </is>
      </c>
      <c r="L41" s="81" t="n">
        <v>1234</v>
      </c>
      <c r="M41" s="81">
        <f>Y41</f>
        <v/>
      </c>
      <c r="N41" s="82" t="n">
        <v>45057</v>
      </c>
      <c r="O41" s="82" t="n">
        <v>45788</v>
      </c>
      <c r="P41" s="82" t="n">
        <v>46244</v>
      </c>
      <c r="R41" s="81">
        <f>SUM(AB41:AK41)</f>
        <v/>
      </c>
      <c r="S41" s="81">
        <f>SUM(AM41:AQ41)</f>
        <v/>
      </c>
      <c r="T41" s="81">
        <f>SUM(AS41:AW41)</f>
        <v/>
      </c>
      <c r="Y41" s="81" t="n">
        <v>1325</v>
      </c>
    </row>
    <row r="42">
      <c r="A42" s="72">
        <f>$D$19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INDEX($C$5:$C$6,MATCH(I42,$D$5:$D$6,0))</f>
        <v/>
      </c>
      <c r="E42" s="72">
        <f>INDEX($E$5:$E$6,MATCH(D42,$C$5:$C$6,0))</f>
        <v/>
      </c>
      <c r="F42" s="72">
        <f>INDEX($F$5:$F$6,MATCH(D42,$C$5:$C$6,0))</f>
        <v/>
      </c>
      <c r="G42" s="72">
        <f>INDEX($G$5:$G$6,MATCH(D42,$C$5:$C$6,0))</f>
        <v/>
      </c>
      <c r="H42" s="72" t="inlineStr">
        <is>
          <t>800-3A</t>
        </is>
      </c>
      <c r="I42" s="72" t="inlineStr">
        <is>
          <t>2x2B_C</t>
        </is>
      </c>
      <c r="J42" s="80" t="n">
        <v>1153</v>
      </c>
      <c r="K42" s="72" t="inlineStr">
        <is>
          <t>-- Vacant --</t>
        </is>
      </c>
      <c r="L42" s="81" t="n">
        <v>1799</v>
      </c>
      <c r="M42" s="81">
        <f>Y42</f>
        <v/>
      </c>
      <c r="R42" s="81">
        <f>SUM(AB42:AK42)</f>
        <v/>
      </c>
      <c r="S42" s="81">
        <f>SUM(AM42:AQ42)</f>
        <v/>
      </c>
      <c r="T42" s="81">
        <f>SUM(AS42:AW42)</f>
        <v/>
      </c>
      <c r="Y42" s="81" t="n">
        <v>0</v>
      </c>
    </row>
    <row r="43">
      <c r="A43" s="72">
        <f>$D$19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INDEX($C$5:$C$6,MATCH(I43,$D$5:$D$6,0))</f>
        <v/>
      </c>
      <c r="E43" s="72">
        <f>INDEX($E$5:$E$6,MATCH(D43,$C$5:$C$6,0))</f>
        <v/>
      </c>
      <c r="F43" s="72">
        <f>INDEX($F$5:$F$6,MATCH(D43,$C$5:$C$6,0))</f>
        <v/>
      </c>
      <c r="G43" s="72">
        <f>INDEX($G$5:$G$6,MATCH(D43,$C$5:$C$6,0))</f>
        <v/>
      </c>
      <c r="H43" s="72" t="inlineStr">
        <is>
          <t>800-3B</t>
        </is>
      </c>
      <c r="I43" s="72" t="inlineStr">
        <is>
          <t>2x2B_C</t>
        </is>
      </c>
      <c r="J43" s="80" t="n">
        <v>844</v>
      </c>
      <c r="K43" s="72" t="inlineStr">
        <is>
          <t>Castillo, Jamie</t>
        </is>
      </c>
      <c r="L43" s="81" t="n">
        <v>1599</v>
      </c>
      <c r="M43" s="81">
        <f>Y43</f>
        <v/>
      </c>
      <c r="N43" s="82" t="n">
        <v>46032</v>
      </c>
      <c r="O43" s="82" t="n">
        <v>46032</v>
      </c>
      <c r="P43" s="82" t="n">
        <v>46396</v>
      </c>
      <c r="R43" s="81">
        <f>SUM(AB43:AK43)</f>
        <v/>
      </c>
      <c r="S43" s="81">
        <f>SUM(AM43:AQ43)</f>
        <v/>
      </c>
      <c r="T43" s="81">
        <f>SUM(AS43:AW43)</f>
        <v/>
      </c>
      <c r="Y43" s="81" t="n">
        <v>1799</v>
      </c>
    </row>
    <row r="44">
      <c r="A44" s="72">
        <f>$D$19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INDEX($C$5:$C$6,MATCH(I44,$D$5:$D$6,0))</f>
        <v/>
      </c>
      <c r="E44" s="72">
        <f>INDEX($E$5:$E$6,MATCH(D44,$C$5:$C$6,0))</f>
        <v/>
      </c>
      <c r="F44" s="72">
        <f>INDEX($F$5:$F$6,MATCH(D44,$C$5:$C$6,0))</f>
        <v/>
      </c>
      <c r="G44" s="72">
        <f>INDEX($G$5:$G$6,MATCH(D44,$C$5:$C$6,0))</f>
        <v/>
      </c>
      <c r="H44" s="72" t="inlineStr">
        <is>
          <t>800-3C</t>
        </is>
      </c>
      <c r="I44" s="72" t="inlineStr">
        <is>
          <t>2x2B_C</t>
        </is>
      </c>
      <c r="J44" s="80" t="n">
        <v>972</v>
      </c>
      <c r="K44" s="72" t="inlineStr">
        <is>
          <t>-- Vacant --</t>
        </is>
      </c>
      <c r="L44" s="81" t="n">
        <v>1799</v>
      </c>
      <c r="M44" s="81">
        <f>Y44</f>
        <v/>
      </c>
      <c r="R44" s="81">
        <f>SUM(AB44:AK44)</f>
        <v/>
      </c>
      <c r="S44" s="81">
        <f>SUM(AM44:AQ44)</f>
        <v/>
      </c>
      <c r="T44" s="81">
        <f>SUM(AS44:AW44)</f>
        <v/>
      </c>
      <c r="Y44" s="81" t="n">
        <v>0</v>
      </c>
    </row>
    <row r="45">
      <c r="A45" s="72">
        <f>$D$19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INDEX($C$5:$C$6,MATCH(I45,$D$5:$D$6,0))</f>
        <v/>
      </c>
      <c r="E45" s="72">
        <f>INDEX($E$5:$E$6,MATCH(D45,$C$5:$C$6,0))</f>
        <v/>
      </c>
      <c r="F45" s="72">
        <f>INDEX($F$5:$F$6,MATCH(D45,$C$5:$C$6,0))</f>
        <v/>
      </c>
      <c r="G45" s="72">
        <f>INDEX($G$5:$G$6,MATCH(D45,$C$5:$C$6,0))</f>
        <v/>
      </c>
      <c r="H45" s="72" t="inlineStr">
        <is>
          <t>800-3D</t>
        </is>
      </c>
      <c r="I45" s="72" t="inlineStr">
        <is>
          <t>2x2B_C</t>
        </is>
      </c>
      <c r="J45" s="80" t="n">
        <v>972</v>
      </c>
      <c r="K45" s="72" t="inlineStr">
        <is>
          <t>-- Vacant --</t>
        </is>
      </c>
      <c r="L45" s="81" t="n">
        <v>1799</v>
      </c>
      <c r="M45" s="81">
        <f>Y45</f>
        <v/>
      </c>
      <c r="R45" s="81">
        <f>SUM(AB45:AK45)</f>
        <v/>
      </c>
      <c r="S45" s="81">
        <f>SUM(AM45:AQ45)</f>
        <v/>
      </c>
      <c r="T45" s="81">
        <f>SUM(AS45:AW45)</f>
        <v/>
      </c>
      <c r="Y45" s="8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2026-07-01T16:45:04Z</dcterms:created>
  <dcterms:modified xmlns:dcterms="http://purl.org/dc/terms/" xmlns:xsi="http://www.w3.org/2001/XMLSchema-instance" xsi:type="dcterms:W3CDTF">2026-07-01T16:45:05Z</dcterms:modified>
</cp:coreProperties>
</file>