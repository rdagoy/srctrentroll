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 Mix &amp; RR Summary" sheetId="1" state="visible" r:id="rId1"/>
    <sheet name="Recent Leases" sheetId="2" state="visible" r:id="rId2"/>
    <sheet name="Unit Mix based on # of Beds" sheetId="3" state="visible" r:id="rId3"/>
    <sheet name="Pres. Rent Roll" sheetId="4" state="visible" r:id="rId4"/>
    <sheet name="OneLineRR" sheetId="5" state="visible" r:id="rId5"/>
    <sheet name="Sour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8">
    <numFmt numFmtId="164" formatCode="#0\ &quot;Units&quot;"/>
    <numFmt numFmtId="165" formatCode="#\ &quot;Units&quot;"/>
    <numFmt numFmtId="166" formatCode="#,##0\ &quot;SF&quot;"/>
    <numFmt numFmtId="167" formatCode="&quot;$&quot;#,##0"/>
    <numFmt numFmtId="168" formatCode="&quot;$&quot;#,##0.00"/>
    <numFmt numFmtId="169" formatCode="#,##0\ &quot;Units&quot;"/>
    <numFmt numFmtId="170" formatCode="0.0%"/>
    <numFmt numFmtId="171" formatCode="yyyy-mm-dd"/>
    <numFmt numFmtId="172" formatCode="#\ &quot;Days&quot;"/>
    <numFmt numFmtId="173" formatCode="#0\ &quot;Bed/s&quot;"/>
    <numFmt numFmtId="174" formatCode="0.#"/>
    <numFmt numFmtId="175" formatCode="&quot;$&quot;#,##0_);[Red]\(&quot;$&quot;#,##0\)"/>
    <numFmt numFmtId="176" formatCode="mm\/dd\/yyyy"/>
    <numFmt numFmtId="177" formatCode="0.0"/>
    <numFmt numFmtId="178" formatCode="_(* #,##0_);_(* \(#,##0\);_(* &quot;-&quot;??_);_(@_)"/>
    <numFmt numFmtId="179" formatCode="#,##0.00;[Red]#,##0.00"/>
    <numFmt numFmtId="180" formatCode="#,##0.00;\(#,##0.00\)"/>
    <numFmt numFmtId="181" formatCode="yyyy-mm-dd h:mm:ss"/>
  </numFmts>
  <fonts count="12">
    <font>
      <name val="Calibri"/>
      <family val="2"/>
      <color theme="1"/>
      <sz val="11"/>
      <scheme val="minor"/>
    </font>
    <font>
      <b val="1"/>
      <color theme="3"/>
      <sz val="15"/>
    </font>
    <font>
      <b val="1"/>
      <color rgb="FF808080"/>
      <sz val="15"/>
    </font>
    <font>
      <b val="1"/>
      <color theme="0"/>
      <sz val="11"/>
    </font>
    <font>
      <color theme="1"/>
      <sz val="11"/>
    </font>
    <font>
      <b val="1"/>
      <color theme="1"/>
      <sz val="11"/>
    </font>
    <font>
      <b val="1"/>
      <sz val="11"/>
    </font>
    <font>
      <b val="1"/>
      <color theme="0"/>
      <sz val="12"/>
    </font>
    <font>
      <b val="1"/>
      <color theme="0"/>
      <sz val="10"/>
    </font>
    <font>
      <b val="1"/>
      <sz val="10"/>
    </font>
    <font>
      <sz val="10"/>
    </font>
    <font>
      <color rgb="FF0000FF"/>
      <sz val="10"/>
    </font>
  </fonts>
  <fills count="6">
    <fill>
      <patternFill/>
    </fill>
    <fill>
      <patternFill patternType="gray125"/>
    </fill>
    <fill>
      <patternFill patternType="solid">
        <fgColor theme="4" tint="-0.25"/>
      </patternFill>
    </fill>
    <fill>
      <patternFill patternType="solid">
        <fgColor theme="8" tint="0.8"/>
      </patternFill>
    </fill>
    <fill>
      <patternFill patternType="solid">
        <fgColor theme="0" tint="-0.05"/>
      </patternFill>
    </fill>
    <fill>
      <patternFill patternType="solid">
        <fgColor rgb="FFFFFF00"/>
      </patternFill>
    </fill>
  </fills>
  <borders count="5">
    <border>
      <left/>
      <right/>
      <top/>
      <bottom/>
      <diagonal/>
    </border>
    <border>
      <bottom style="thick"/>
    </border>
    <border>
      <left style="dashDot"/>
      <right style="dashDot"/>
      <top style="dashDot"/>
      <bottom style="dashDot"/>
    </border>
    <border>
      <left style="dotted"/>
      <right/>
      <top/>
      <bottom/>
    </border>
    <border>
      <top style="thin"/>
    </border>
  </borders>
  <cellStyleXfs count="1">
    <xf numFmtId="0" fontId="0" fillId="0" borderId="0"/>
  </cellStyleXfs>
  <cellXfs count="92">
    <xf numFmtId="0" fontId="0" fillId="0" borderId="0" pivotButton="0" quotePrefix="0" xfId="0"/>
    <xf numFmtId="0" fontId="1" fillId="0" borderId="1" pivotButton="0" quotePrefix="0" xfId="0"/>
    <xf numFmtId="0" fontId="2" fillId="0" borderId="0" applyAlignment="1" pivotButton="0" quotePrefix="0" xfId="0">
      <alignment horizontal="right"/>
    </xf>
    <xf numFmtId="0" fontId="0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168" fontId="4" fillId="0" borderId="0" applyAlignment="1" pivotButton="0" quotePrefix="0" xfId="0">
      <alignment horizontal="right" vertical="center"/>
    </xf>
    <xf numFmtId="0" fontId="5" fillId="3" borderId="0" applyAlignment="1" pivotButton="0" quotePrefix="0" xfId="0">
      <alignment horizontal="left" vertical="center"/>
    </xf>
    <xf numFmtId="165" fontId="5" fillId="3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right" vertical="center"/>
    </xf>
    <xf numFmtId="166" fontId="5" fillId="3" borderId="0" applyAlignment="1" pivotButton="0" quotePrefix="0" xfId="0">
      <alignment horizontal="right" vertical="center"/>
    </xf>
    <xf numFmtId="167" fontId="5" fillId="3" borderId="0" applyAlignment="1" pivotButton="0" quotePrefix="0" xfId="0">
      <alignment horizontal="right" vertical="center"/>
    </xf>
    <xf numFmtId="168" fontId="5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left"/>
    </xf>
    <xf numFmtId="0" fontId="0" fillId="4" borderId="0" pivotButton="0" quotePrefix="0" xfId="0"/>
    <xf numFmtId="169" fontId="5" fillId="4" borderId="0" applyAlignment="1" pivotButton="0" quotePrefix="0" xfId="0">
      <alignment horizontal="right"/>
    </xf>
    <xf numFmtId="170" fontId="5" fillId="4" borderId="0" applyAlignment="1" pivotButton="0" quotePrefix="0" xfId="0">
      <alignment horizontal="right"/>
    </xf>
    <xf numFmtId="166" fontId="5" fillId="4" borderId="0" applyAlignment="1" pivotButton="0" quotePrefix="0" xfId="0">
      <alignment horizontal="right"/>
    </xf>
    <xf numFmtId="167" fontId="5" fillId="4" borderId="0" applyAlignment="1" pivotButton="0" quotePrefix="0" xfId="0">
      <alignment horizontal="right"/>
    </xf>
    <xf numFmtId="0" fontId="5" fillId="0" borderId="0" pivotButton="0" quotePrefix="0" xfId="0"/>
    <xf numFmtId="0" fontId="4" fillId="0" borderId="0" pivotButton="0" quotePrefix="0" xfId="0"/>
    <xf numFmtId="3" fontId="4" fillId="0" borderId="0" applyAlignment="1" pivotButton="0" quotePrefix="0" xfId="0">
      <alignment horizontal="right"/>
    </xf>
    <xf numFmtId="170" fontId="4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right"/>
    </xf>
    <xf numFmtId="14" fontId="6" fillId="0" borderId="2" applyAlignment="1" pivotButton="0" quotePrefix="0" xfId="0">
      <alignment horizontal="center"/>
    </xf>
    <xf numFmtId="0" fontId="3" fillId="2" borderId="0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Continuous" vertical="center"/>
    </xf>
    <xf numFmtId="0" fontId="3" fillId="2" borderId="3" applyAlignment="1" pivotButton="0" quotePrefix="0" xfId="0">
      <alignment horizontal="center" vertical="center"/>
    </xf>
    <xf numFmtId="172" fontId="3" fillId="2" borderId="3" applyAlignment="1" pivotButton="0" quotePrefix="0" xfId="0">
      <alignment horizontal="center" vertical="center"/>
    </xf>
    <xf numFmtId="172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right" vertical="center"/>
    </xf>
    <xf numFmtId="167" fontId="4" fillId="0" borderId="3" applyAlignment="1" pivotButton="0" quotePrefix="0" xfId="0">
      <alignment horizontal="right" vertical="center"/>
    </xf>
    <xf numFmtId="17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0" fillId="3" borderId="0" pivotButton="0" quotePrefix="0" xfId="0"/>
    <xf numFmtId="167" fontId="5" fillId="3" borderId="3" applyAlignment="1" pivotButton="0" quotePrefix="0" xfId="0">
      <alignment horizontal="right" vertical="center"/>
    </xf>
    <xf numFmtId="170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right" vertical="center"/>
    </xf>
    <xf numFmtId="3" fontId="5" fillId="3" borderId="0" applyAlignment="1" pivotButton="0" quotePrefix="0" xfId="0">
      <alignment horizontal="center" vertical="center"/>
    </xf>
    <xf numFmtId="173" fontId="4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center"/>
    </xf>
    <xf numFmtId="0" fontId="1" fillId="0" borderId="0" pivotButton="0" quotePrefix="0" xfId="0"/>
    <xf numFmtId="0" fontId="7" fillId="2" borderId="0" applyAlignment="1" pivotButton="0" quotePrefix="0" xfId="0">
      <alignment horizontal="centerContinuous" vertical="center"/>
    </xf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0" applyAlignment="1" pivotButton="0" quotePrefix="0" xfId="0">
      <alignment horizontal="right"/>
    </xf>
    <xf numFmtId="174" fontId="4" fillId="0" borderId="0" applyAlignment="1" pivotButton="0" quotePrefix="0" xfId="0">
      <alignment horizontal="center"/>
    </xf>
    <xf numFmtId="3" fontId="4" fillId="0" borderId="0" applyAlignment="1" pivotButton="0" quotePrefix="0" xfId="0">
      <alignment horizontal="center"/>
    </xf>
    <xf numFmtId="175" fontId="4" fillId="0" borderId="0" applyAlignment="1" pivotButton="0" quotePrefix="0" xfId="0">
      <alignment horizontal="right"/>
    </xf>
    <xf numFmtId="176" fontId="4" fillId="0" borderId="0" applyAlignment="1" pivotButton="0" quotePrefix="0" xfId="0">
      <alignment horizontal="right"/>
    </xf>
    <xf numFmtId="14" fontId="5" fillId="0" borderId="0" applyAlignment="1" pivotButton="0" quotePrefix="0" xfId="0">
      <alignment horizontal="left"/>
    </xf>
    <xf numFmtId="0" fontId="0" fillId="0" borderId="4" pivotButton="0" quotePrefix="0" xfId="0"/>
    <xf numFmtId="169" fontId="5" fillId="0" borderId="4" applyAlignment="1" pivotButton="0" quotePrefix="0" xfId="0">
      <alignment horizontal="center"/>
    </xf>
    <xf numFmtId="166" fontId="5" fillId="0" borderId="4" applyAlignment="1" pivotButton="0" quotePrefix="0" xfId="0">
      <alignment horizontal="right"/>
    </xf>
    <xf numFmtId="175" fontId="5" fillId="0" borderId="4" applyAlignment="1" pivotButton="0" quotePrefix="0" xfId="0">
      <alignment horizontal="right"/>
    </xf>
    <xf numFmtId="167" fontId="4" fillId="0" borderId="4" applyAlignment="1" pivotButton="0" quotePrefix="0" xfId="0">
      <alignment horizontal="center"/>
    </xf>
    <xf numFmtId="10" fontId="4" fillId="0" borderId="4" applyAlignment="1" pivotButton="0" quotePrefix="0" xfId="0">
      <alignment horizontal="center"/>
    </xf>
    <xf numFmtId="0" fontId="9" fillId="0" borderId="0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right"/>
    </xf>
    <xf numFmtId="0" fontId="10" fillId="5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5" borderId="0" applyAlignment="1" pivotButton="0" quotePrefix="0" xfId="0">
      <alignment horizontal="center"/>
    </xf>
    <xf numFmtId="177" fontId="10" fillId="5" borderId="0" applyAlignment="1" pivotButton="0" quotePrefix="0" xfId="0">
      <alignment horizontal="center"/>
    </xf>
    <xf numFmtId="3" fontId="10" fillId="0" borderId="0" applyAlignment="1" pivotButton="0" quotePrefix="0" xfId="0">
      <alignment horizontal="right"/>
    </xf>
    <xf numFmtId="3" fontId="9" fillId="0" borderId="0" applyAlignment="1" pivotButton="0" quotePrefix="0" xfId="0">
      <alignment horizontal="right"/>
    </xf>
    <xf numFmtId="170" fontId="9" fillId="0" borderId="0" applyAlignment="1" pivotButton="0" quotePrefix="0" xfId="0">
      <alignment horizontal="right"/>
    </xf>
    <xf numFmtId="0" fontId="10" fillId="0" borderId="0" pivotButton="0" quotePrefix="0" xfId="0"/>
    <xf numFmtId="14" fontId="9" fillId="0" borderId="0" applyAlignment="1" pivotButton="0" quotePrefix="0" xfId="0">
      <alignment horizontal="left"/>
    </xf>
    <xf numFmtId="0" fontId="11" fillId="5" borderId="0" applyAlignment="1" pivotButton="0" quotePrefix="0" xfId="0">
      <alignment horizontal="left"/>
    </xf>
    <xf numFmtId="178" fontId="11" fillId="5" borderId="0" pivotButton="0" quotePrefix="0" xfId="0"/>
    <xf numFmtId="4" fontId="11" fillId="5" borderId="0" applyAlignment="1" pivotButton="0" quotePrefix="0" xfId="0">
      <alignment horizontal="right"/>
    </xf>
    <xf numFmtId="0" fontId="11" fillId="5" borderId="0" pivotButton="0" quotePrefix="0" xfId="0"/>
    <xf numFmtId="178" fontId="10" fillId="0" borderId="0" pivotButton="0" quotePrefix="0" xfId="0"/>
    <xf numFmtId="4" fontId="10" fillId="0" borderId="0" applyAlignment="1" pivotButton="0" quotePrefix="0" xfId="0">
      <alignment horizontal="right"/>
    </xf>
    <xf numFmtId="176" fontId="10" fillId="0" borderId="0" applyAlignment="1" pivotButton="0" quotePrefix="0" xfId="0">
      <alignment horizontal="right"/>
    </xf>
    <xf numFmtId="179" fontId="0" fillId="0" borderId="0" pivotButton="0" quotePrefix="0" xfId="0"/>
    <xf numFmtId="180" fontId="0" fillId="0" borderId="0" pivotButton="0" quotePrefix="0" xfId="0"/>
    <xf numFmtId="14" fontId="0" fillId="0" borderId="0" pivotButton="0" quotePrefix="0" xfId="0"/>
    <xf numFmtId="1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W51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29.6" customWidth="1" min="4" max="4"/>
    <col width="2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Lyndon Crossings</t>
        </is>
      </c>
    </row>
    <row r="5">
      <c r="C5" s="3" t="n"/>
      <c r="D5" s="4" t="inlineStr">
        <is>
          <t>Property Name</t>
        </is>
      </c>
      <c r="E5" s="4" t="inlineStr">
        <is>
          <t>Floor Plan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Lyndon Crossings</t>
        </is>
      </c>
      <c r="E6" s="7" t="inlineStr">
        <is>
          <t>2x2-Gentry</t>
        </is>
      </c>
      <c r="F6" s="8" t="n">
        <v>17</v>
      </c>
      <c r="G6" s="9" t="n">
        <v>20</v>
      </c>
      <c r="H6" s="10" t="n">
        <v>17200</v>
      </c>
      <c r="I6" s="10" t="n">
        <v>860</v>
      </c>
      <c r="J6" s="11" t="n">
        <v>23392</v>
      </c>
      <c r="K6" s="11" t="n">
        <v>1169.6</v>
      </c>
      <c r="L6" s="12" t="n">
        <v>1.36</v>
      </c>
      <c r="M6" s="11" t="n">
        <v>19610</v>
      </c>
      <c r="N6" s="11" t="n">
        <v>1153.529411764706</v>
      </c>
      <c r="O6" s="12" t="n">
        <v>1.341313269493844</v>
      </c>
      <c r="P6" s="11" t="n">
        <v>1222</v>
      </c>
      <c r="Q6" s="11" t="n">
        <v>0</v>
      </c>
      <c r="S6" s="10" t="n">
        <v>14620</v>
      </c>
    </row>
    <row r="7">
      <c r="D7" s="7" t="inlineStr">
        <is>
          <t>Lyndon Crossings</t>
        </is>
      </c>
      <c r="E7" s="7" t="inlineStr">
        <is>
          <t>2x2-Parkwood</t>
        </is>
      </c>
      <c r="F7" s="8" t="n">
        <v>38</v>
      </c>
      <c r="G7" s="9" t="n">
        <v>40</v>
      </c>
      <c r="H7" s="10" t="n">
        <v>38560</v>
      </c>
      <c r="I7" s="10" t="n">
        <v>964</v>
      </c>
      <c r="J7" s="11" t="n">
        <v>48669</v>
      </c>
      <c r="K7" s="11" t="n">
        <v>1216.725</v>
      </c>
      <c r="L7" s="12" t="n">
        <v>1.262162863070539</v>
      </c>
      <c r="M7" s="11" t="n">
        <v>44912</v>
      </c>
      <c r="N7" s="11" t="n">
        <v>1181.894736842105</v>
      </c>
      <c r="O7" s="12" t="n">
        <v>1.226031884690981</v>
      </c>
      <c r="P7" s="11" t="n">
        <v>1299</v>
      </c>
      <c r="Q7" s="11" t="n">
        <v>0</v>
      </c>
      <c r="S7" s="10" t="n">
        <v>36632</v>
      </c>
    </row>
    <row r="8">
      <c r="C8" s="13" t="inlineStr">
        <is>
          <t>Total/Wtd Average</t>
        </is>
      </c>
      <c r="D8" s="13" t="n"/>
      <c r="E8" s="13" t="n"/>
      <c r="F8" s="14" t="n">
        <v>55</v>
      </c>
      <c r="G8" s="15" t="n">
        <v>60</v>
      </c>
      <c r="H8" s="16" t="n">
        <v>55760</v>
      </c>
      <c r="I8" s="16" t="n">
        <v>929.3333333333334</v>
      </c>
      <c r="J8" s="17" t="n">
        <v>72061</v>
      </c>
      <c r="K8" s="17" t="n">
        <v>1201.016666666667</v>
      </c>
      <c r="L8" s="18" t="n">
        <v>1.292342180774749</v>
      </c>
      <c r="M8" s="17" t="n">
        <v>64522</v>
      </c>
      <c r="N8" s="17" t="n">
        <v>1173.127272727273</v>
      </c>
      <c r="O8" s="18" t="n">
        <v>1.258916725200968</v>
      </c>
      <c r="P8" s="17" t="n">
        <v>1273.333333333333</v>
      </c>
      <c r="Q8" s="17" t="n">
        <v>0</v>
      </c>
      <c r="S8" s="16" t="n">
        <v>51252</v>
      </c>
    </row>
    <row r="10">
      <c r="C10" s="19" t="inlineStr">
        <is>
          <t>Total Units</t>
        </is>
      </c>
      <c r="D10" s="20" t="n"/>
      <c r="E10" s="20" t="n"/>
      <c r="F10" s="20" t="n"/>
      <c r="G10" s="21" t="n">
        <v>60</v>
      </c>
    </row>
    <row r="11">
      <c r="C11" s="19" t="inlineStr">
        <is>
          <t>Occupied Units</t>
        </is>
      </c>
      <c r="D11" s="20" t="n"/>
      <c r="E11" s="20" t="n"/>
      <c r="F11" s="20" t="n"/>
      <c r="G11" s="21" t="n">
        <v>55</v>
      </c>
    </row>
    <row r="12">
      <c r="C12" s="19" t="inlineStr">
        <is>
          <t>Unit Occupancy</t>
        </is>
      </c>
      <c r="D12" s="20" t="n"/>
      <c r="E12" s="20" t="n"/>
      <c r="F12" s="20" t="n"/>
      <c r="G12" s="22" t="n">
        <v>0.9166666666666666</v>
      </c>
    </row>
    <row r="13">
      <c r="C13" s="19" t="inlineStr">
        <is>
          <t>Total Square Feet</t>
        </is>
      </c>
      <c r="D13" s="20" t="n"/>
      <c r="E13" s="20" t="n"/>
      <c r="F13" s="20" t="n"/>
      <c r="G13" s="23" t="n">
        <v>55760</v>
      </c>
    </row>
    <row r="14">
      <c r="C14" s="19" t="inlineStr">
        <is>
          <t>Occupied Square Feet</t>
        </is>
      </c>
      <c r="D14" s="20" t="n"/>
      <c r="E14" s="20" t="n"/>
      <c r="F14" s="20" t="n"/>
      <c r="G14" s="23" t="n">
        <v>51252</v>
      </c>
    </row>
    <row r="15">
      <c r="C15" s="19" t="inlineStr">
        <is>
          <t>Square Feet Occupancy</t>
        </is>
      </c>
      <c r="D15" s="20" t="n"/>
      <c r="E15" s="20" t="n"/>
      <c r="F15" s="20" t="n"/>
      <c r="G15" s="22" t="n">
        <v>0.9191535150645624</v>
      </c>
    </row>
    <row r="17">
      <c r="C17" s="19" t="inlineStr">
        <is>
          <t>Market Rent Annualized</t>
        </is>
      </c>
      <c r="D17" s="20" t="n"/>
      <c r="E17" s="20" t="n"/>
      <c r="F17" s="20" t="n"/>
      <c r="G17" s="24" t="n">
        <v>864732</v>
      </c>
    </row>
    <row r="18">
      <c r="C18" s="19" t="inlineStr">
        <is>
          <t>In-Place Rent Annualized</t>
        </is>
      </c>
      <c r="D18" s="20" t="n"/>
      <c r="E18" s="20" t="n"/>
      <c r="F18" s="20" t="n"/>
      <c r="G18" s="24" t="n">
        <v>774264</v>
      </c>
    </row>
    <row r="19">
      <c r="C19" s="19" t="inlineStr">
        <is>
          <t>Other Income Annualized</t>
        </is>
      </c>
      <c r="D19" s="20" t="n"/>
      <c r="E19" s="20" t="n"/>
      <c r="F19" s="20" t="n"/>
      <c r="G19" s="24" t="n">
        <v>0</v>
      </c>
    </row>
    <row r="41">
      <c r="U41" s="25" t="inlineStr">
        <is>
          <t>Links from source data:</t>
        </is>
      </c>
    </row>
    <row r="42">
      <c r="U42" s="26" t="inlineStr">
        <is>
          <t>Total # units</t>
        </is>
      </c>
      <c r="W42" s="27" t="n">
        <v>60</v>
      </c>
    </row>
    <row r="43">
      <c r="U43" s="26" t="inlineStr">
        <is>
          <t>Occ Units</t>
        </is>
      </c>
      <c r="W43" s="27" t="n">
        <v>55</v>
      </c>
    </row>
    <row r="44">
      <c r="U44" s="26" t="inlineStr">
        <is>
          <t>Unit %Occ</t>
        </is>
      </c>
      <c r="W44" s="28" t="n">
        <v>0.9166666666666666</v>
      </c>
    </row>
    <row r="45">
      <c r="U45" s="26" t="inlineStr">
        <is>
          <t>Net Sq Ft</t>
        </is>
      </c>
      <c r="W45" s="27" t="n">
        <v>55760</v>
      </c>
    </row>
    <row r="46">
      <c r="U46" s="26" t="inlineStr">
        <is>
          <t>SF Occ</t>
        </is>
      </c>
      <c r="W46" s="27" t="n">
        <v>51252</v>
      </c>
    </row>
    <row r="47">
      <c r="U47" s="26" t="inlineStr">
        <is>
          <t>% SF Occ</t>
        </is>
      </c>
      <c r="W47" s="28" t="n">
        <v>0.9191535150645624</v>
      </c>
    </row>
    <row r="48">
      <c r="U48" s="26" t="inlineStr">
        <is>
          <t>Mkt Rent</t>
        </is>
      </c>
      <c r="W48" s="27" t="n">
        <v>72061</v>
      </c>
    </row>
    <row r="49">
      <c r="U49" s="26" t="inlineStr">
        <is>
          <t>Cont Rent</t>
        </is>
      </c>
      <c r="W49" s="27" t="n">
        <v>64522</v>
      </c>
    </row>
    <row r="50">
      <c r="U50" s="26" t="inlineStr">
        <is>
          <t>Conc</t>
        </is>
      </c>
      <c r="W50" s="27" t="n">
        <v>0</v>
      </c>
    </row>
    <row r="51">
      <c r="U51" s="26" t="inlineStr">
        <is>
          <t>Other Inc</t>
        </is>
      </c>
      <c r="W51" s="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C3:AB66"/>
  <sheetViews>
    <sheetView showGridLines="0" workbookViewId="0">
      <selection activeCell="A1" sqref="A1"/>
    </sheetView>
  </sheetViews>
  <sheetFormatPr baseColWidth="8" defaultRowHeight="15"/>
  <cols>
    <col width="0.6" customWidth="1" min="1" max="1"/>
    <col width="0.6" customWidth="1" min="3" max="3"/>
    <col width="28.4" customWidth="1" min="4" max="4"/>
    <col width="20.1" customWidth="1" min="5" max="5"/>
    <col width="13.6" customWidth="1" min="6" max="6"/>
    <col width="15.4" customWidth="1" min="7" max="7"/>
    <col width="13.6" customWidth="1" min="8" max="8"/>
    <col width="13.1" customWidth="1" min="9" max="9"/>
    <col width="15.4" customWidth="1" min="10" max="10"/>
    <col width="12.1" customWidth="1" min="11" max="11"/>
    <col width="14.4" customWidth="1" min="12" max="12"/>
    <col width="12.1" customWidth="1" min="14" max="14"/>
    <col width="9.6" customWidth="1" min="15" max="15"/>
    <col width="12.1" customWidth="1" min="16" max="16"/>
    <col width="9.6" customWidth="1" min="17" max="17"/>
    <col width="12.1" customWidth="1" min="18" max="18"/>
    <col width="9.6" customWidth="1" min="19" max="19"/>
    <col width="12.1" customWidth="1" min="20" max="20"/>
    <col width="9.6" customWidth="1" min="21" max="21"/>
    <col width="12.1" customWidth="1" min="22" max="22"/>
    <col width="9.6" customWidth="1" min="23" max="23"/>
    <col width="0.6" customWidth="1" min="24" max="24"/>
    <col width="16.4" customWidth="1" min="25" max="25"/>
    <col width="17.4" customWidth="1" min="26" max="26"/>
    <col width="9.4" customWidth="1" min="27" max="27"/>
  </cols>
  <sheetData>
    <row r="3">
      <c r="C3" s="1" t="inlineStr">
        <is>
          <t>RECENT LEASE SUMMARY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29" t="inlineStr">
        <is>
          <t>Lyndon Crossings</t>
        </is>
      </c>
      <c r="Y3" s="30" t="n">
        <v>46265</v>
      </c>
      <c r="Z3" s="26" t="inlineStr">
        <is>
          <t>&lt;---- RR Date</t>
        </is>
      </c>
    </row>
    <row r="5">
      <c r="C5" s="31" t="inlineStr">
        <is>
          <t>All Units</t>
        </is>
      </c>
      <c r="D5" s="31" t="n"/>
      <c r="E5" s="31" t="n"/>
      <c r="F5" s="31" t="n"/>
      <c r="G5" s="31" t="n"/>
      <c r="H5" s="31" t="n"/>
      <c r="I5" s="31" t="n"/>
      <c r="J5" s="31" t="n"/>
      <c r="K5" s="32" t="inlineStr">
        <is>
          <t>Occupied Units</t>
        </is>
      </c>
      <c r="L5" s="31" t="n"/>
      <c r="M5" s="31" t="n"/>
      <c r="N5" s="32" t="inlineStr">
        <is>
          <t>Recent Leases</t>
        </is>
      </c>
      <c r="O5" s="31" t="n"/>
      <c r="P5" s="31" t="n"/>
      <c r="Q5" s="31" t="n"/>
      <c r="R5" s="31" t="n"/>
      <c r="S5" s="31" t="n"/>
      <c r="T5" s="31" t="n"/>
      <c r="U5" s="31" t="n"/>
      <c r="V5" s="31" t="n"/>
      <c r="W5" s="31" t="n"/>
    </row>
    <row r="6">
      <c r="C6" s="3" t="n"/>
      <c r="D6" s="4" t="inlineStr">
        <is>
          <t>Property Name</t>
        </is>
      </c>
      <c r="E6" s="4" t="inlineStr">
        <is>
          <t>Floor Plan</t>
        </is>
      </c>
      <c r="F6" s="5" t="inlineStr">
        <is>
          <t>Occ Units</t>
        </is>
      </c>
      <c r="G6" s="5" t="inlineStr">
        <is>
          <t>Tot Units</t>
        </is>
      </c>
      <c r="H6" s="5" t="inlineStr">
        <is>
          <t>Sq. Ft</t>
        </is>
      </c>
      <c r="I6" s="5" t="inlineStr">
        <is>
          <t>Avg SF</t>
        </is>
      </c>
      <c r="J6" s="5" t="inlineStr">
        <is>
          <t>Market Rent</t>
        </is>
      </c>
      <c r="K6" s="33" t="inlineStr">
        <is>
          <t>Market Rent</t>
        </is>
      </c>
      <c r="L6" s="5" t="inlineStr">
        <is>
          <t>In-Place Rent</t>
        </is>
      </c>
      <c r="M6" s="5" t="inlineStr">
        <is>
          <t>% of Market</t>
        </is>
      </c>
      <c r="N6" s="34" t="inlineStr">
        <is>
          <t>180 Days</t>
        </is>
      </c>
      <c r="O6" s="5" t="inlineStr">
        <is>
          <t># Leases</t>
        </is>
      </c>
      <c r="P6" s="35" t="inlineStr">
        <is>
          <t>120 Days</t>
        </is>
      </c>
      <c r="Q6" s="5" t="inlineStr">
        <is>
          <t># Leases</t>
        </is>
      </c>
      <c r="R6" s="35" t="inlineStr">
        <is>
          <t>90 Days</t>
        </is>
      </c>
      <c r="S6" s="5" t="inlineStr">
        <is>
          <t># Leases</t>
        </is>
      </c>
      <c r="T6" s="35" t="inlineStr">
        <is>
          <t>60 Days</t>
        </is>
      </c>
      <c r="U6" s="5" t="inlineStr">
        <is>
          <t># Leases</t>
        </is>
      </c>
      <c r="V6" s="35" t="inlineStr">
        <is>
          <t>30 Days</t>
        </is>
      </c>
      <c r="W6" s="5" t="inlineStr">
        <is>
          <t># Leases</t>
        </is>
      </c>
    </row>
    <row r="7">
      <c r="D7" s="36" t="inlineStr">
        <is>
          <t>Lyndon Crossings</t>
        </is>
      </c>
      <c r="E7" s="36" t="inlineStr">
        <is>
          <t>2x2-Gentry</t>
        </is>
      </c>
      <c r="F7" s="37" t="n">
        <v>17</v>
      </c>
      <c r="G7" s="9" t="n">
        <v>20</v>
      </c>
      <c r="H7" s="10" t="n">
        <v>17200</v>
      </c>
      <c r="I7" s="10" t="n">
        <v>860</v>
      </c>
      <c r="J7" s="11" t="n">
        <v>1169.6</v>
      </c>
      <c r="K7" s="38" t="n">
        <v>1168.470588235294</v>
      </c>
      <c r="L7" s="11" t="n">
        <v>1153.529411764706</v>
      </c>
      <c r="M7" s="39" t="n">
        <v>0.9872130487313733</v>
      </c>
      <c r="N7" s="38" t="n">
        <v>1176.272727272727</v>
      </c>
      <c r="O7" s="40" t="n">
        <v>11</v>
      </c>
      <c r="P7" s="11" t="n">
        <v>1177.666666666667</v>
      </c>
      <c r="Q7" s="40" t="n">
        <v>9</v>
      </c>
      <c r="R7" s="11" t="n">
        <v>1188.857142857143</v>
      </c>
      <c r="S7" s="40" t="n">
        <v>7</v>
      </c>
      <c r="T7" s="11" t="n">
        <v>1203.333333333333</v>
      </c>
      <c r="U7" s="40" t="n">
        <v>3</v>
      </c>
      <c r="V7" s="11" t="n">
        <v>1176</v>
      </c>
      <c r="W7" s="40" t="n">
        <v>1</v>
      </c>
    </row>
    <row r="8">
      <c r="D8" s="36" t="inlineStr">
        <is>
          <t>Lyndon Crossings</t>
        </is>
      </c>
      <c r="E8" s="36" t="inlineStr">
        <is>
          <t>2x2-Parkwood</t>
        </is>
      </c>
      <c r="F8" s="37" t="n">
        <v>38</v>
      </c>
      <c r="G8" s="9" t="n">
        <v>40</v>
      </c>
      <c r="H8" s="10" t="n">
        <v>38560</v>
      </c>
      <c r="I8" s="10" t="n">
        <v>964</v>
      </c>
      <c r="J8" s="11" t="n">
        <v>1216.725</v>
      </c>
      <c r="K8" s="38" t="n">
        <v>1212.447368421053</v>
      </c>
      <c r="L8" s="11" t="n">
        <v>1181.894736842105</v>
      </c>
      <c r="M8" s="39" t="n">
        <v>0.9748008595055672</v>
      </c>
      <c r="N8" s="38" t="n">
        <v>1206.318181818182</v>
      </c>
      <c r="O8" s="40" t="n">
        <v>22</v>
      </c>
      <c r="P8" s="11" t="n">
        <v>1213.0625</v>
      </c>
      <c r="Q8" s="40" t="n">
        <v>16</v>
      </c>
      <c r="R8" s="11" t="n">
        <v>1222.461538461539</v>
      </c>
      <c r="S8" s="40" t="n">
        <v>13</v>
      </c>
      <c r="T8" s="11" t="n">
        <v>1240.625</v>
      </c>
      <c r="U8" s="40" t="n">
        <v>8</v>
      </c>
      <c r="V8" s="11" t="n">
        <v>1254.5</v>
      </c>
      <c r="W8" s="40" t="n">
        <v>6</v>
      </c>
    </row>
    <row r="9">
      <c r="C9" s="13" t="inlineStr">
        <is>
          <t>Total/Wtd Average</t>
        </is>
      </c>
      <c r="D9" s="41" t="n"/>
      <c r="E9" s="41" t="n"/>
      <c r="F9" s="15" t="n">
        <v>55</v>
      </c>
      <c r="G9" s="15" t="n">
        <v>60</v>
      </c>
      <c r="H9" s="16" t="n">
        <v>55760</v>
      </c>
      <c r="I9" s="16" t="n">
        <v>929.3333333333334</v>
      </c>
      <c r="J9" s="17" t="n">
        <v>1201.016666666667</v>
      </c>
      <c r="K9" s="42" t="n">
        <v>1198.854545454545</v>
      </c>
      <c r="L9" s="17" t="n">
        <v>1173.127272727273</v>
      </c>
      <c r="M9" s="43" t="n">
        <v>0.9785401216312543</v>
      </c>
      <c r="N9" s="42" t="inlineStr">
        <is>
          <t>n/a</t>
        </is>
      </c>
      <c r="O9" s="44" t="n">
        <v>33</v>
      </c>
      <c r="P9" s="17" t="inlineStr">
        <is>
          <t>n/a</t>
        </is>
      </c>
      <c r="Q9" s="44" t="n">
        <v>25</v>
      </c>
      <c r="R9" s="17" t="inlineStr">
        <is>
          <t>n/a</t>
        </is>
      </c>
      <c r="S9" s="44" t="n">
        <v>20</v>
      </c>
      <c r="T9" s="17" t="inlineStr">
        <is>
          <t>n/a</t>
        </is>
      </c>
      <c r="U9" s="44" t="n">
        <v>11</v>
      </c>
      <c r="V9" s="17" t="inlineStr">
        <is>
          <t>n/a</t>
        </is>
      </c>
      <c r="W9" s="45" t="n">
        <v>7</v>
      </c>
    </row>
    <row r="58">
      <c r="Z58" s="25" t="inlineStr">
        <is>
          <t>Links from source data:</t>
        </is>
      </c>
    </row>
    <row r="59">
      <c r="Z59" s="26" t="inlineStr">
        <is>
          <t>Total # units</t>
        </is>
      </c>
      <c r="AB59" s="27" t="n">
        <v>60</v>
      </c>
    </row>
    <row r="60">
      <c r="Z60" s="26" t="inlineStr">
        <is>
          <t>Occ Units</t>
        </is>
      </c>
      <c r="AB60" s="27" t="n">
        <v>55</v>
      </c>
    </row>
    <row r="61">
      <c r="Z61" s="26" t="inlineStr">
        <is>
          <t>Unit %Occ</t>
        </is>
      </c>
      <c r="AB61" s="28" t="n">
        <v>0.9166666666666666</v>
      </c>
    </row>
    <row r="62">
      <c r="Z62" s="26" t="inlineStr">
        <is>
          <t>Net Sq Ft</t>
        </is>
      </c>
      <c r="AB62" s="27" t="n">
        <v>55760</v>
      </c>
    </row>
    <row r="63">
      <c r="Z63" s="26" t="inlineStr">
        <is>
          <t>SF Occ</t>
        </is>
      </c>
      <c r="AB63" s="27" t="n">
        <v>51252</v>
      </c>
    </row>
    <row r="64">
      <c r="Z64" s="26" t="inlineStr">
        <is>
          <t>% SF Occ</t>
        </is>
      </c>
      <c r="AB64" s="28" t="n">
        <v>0.9191535150645624</v>
      </c>
    </row>
    <row r="65">
      <c r="Z65" s="26" t="inlineStr">
        <is>
          <t>Mkt Rent</t>
        </is>
      </c>
      <c r="AB65" s="27" t="n">
        <v>72061</v>
      </c>
    </row>
    <row r="66">
      <c r="Z66" s="26" t="inlineStr">
        <is>
          <t>Cont Rent</t>
        </is>
      </c>
      <c r="AB66" s="27" t="n">
        <v>64522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C3:S18"/>
  <sheetViews>
    <sheetView showGridLines="0" workbookViewId="0">
      <selection activeCell="A1" sqref="A1"/>
    </sheetView>
  </sheetViews>
  <sheetFormatPr baseColWidth="8" defaultRowHeight="15"/>
  <cols>
    <col width="0.9" customWidth="1" min="1" max="1"/>
    <col width="0.9" customWidth="1" min="3" max="3"/>
    <col width="40" customWidth="1" min="4" max="4"/>
    <col width="18" customWidth="1" min="5" max="5"/>
    <col width="15.4" customWidth="1" min="6" max="6"/>
    <col width="14.1" customWidth="1" min="7" max="7"/>
    <col width="15.4" customWidth="1" min="8" max="8"/>
    <col width="13.9" customWidth="1" min="9" max="9"/>
    <col width="12.1" customWidth="1" min="10" max="10"/>
    <col width="12.4" customWidth="1" min="11" max="11"/>
    <col width="14.4" customWidth="1" min="12" max="12"/>
    <col width="12.4" customWidth="1" min="13" max="13"/>
    <col width="15" customWidth="1" min="14" max="14"/>
    <col width="13.1" customWidth="1" min="15" max="15"/>
    <col width="12.4" customWidth="1" min="17" max="17"/>
    <col width="0.9" customWidth="1" min="18" max="18"/>
    <col width="13.4" customWidth="1" min="19" max="19"/>
    <col width="9.4" customWidth="1" min="20" max="20"/>
    <col width="7.1" customWidth="1" min="21" max="21"/>
    <col width="9.4" customWidth="1" min="22" max="22"/>
    <col width="9.4" customWidth="1" min="23" max="23"/>
  </cols>
  <sheetData>
    <row r="3">
      <c r="C3" s="1" t="inlineStr">
        <is>
          <t>UNIT MIX &amp; RENT ROLL SUMMARY (Based on # of beds only)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2" t="inlineStr">
        <is>
          <t>Lyndon Crossings</t>
        </is>
      </c>
    </row>
    <row r="5">
      <c r="C5" s="3" t="n"/>
      <c r="D5" s="4" t="inlineStr">
        <is>
          <t>Property Name</t>
        </is>
      </c>
      <c r="E5" s="4" t="inlineStr">
        <is>
          <t>Bed</t>
        </is>
      </c>
      <c r="F5" s="5" t="inlineStr">
        <is>
          <t>Occ Units</t>
        </is>
      </c>
      <c r="G5" s="5" t="inlineStr">
        <is>
          <t>Tot Units</t>
        </is>
      </c>
      <c r="H5" s="5" t="inlineStr">
        <is>
          <t>Sq. Ft</t>
        </is>
      </c>
      <c r="I5" s="5" t="inlineStr">
        <is>
          <t>Avg SF</t>
        </is>
      </c>
      <c r="J5" s="5" t="inlineStr">
        <is>
          <t>Mkt Rent</t>
        </is>
      </c>
      <c r="K5" s="5" t="inlineStr">
        <is>
          <t>Avg Mkt/Unit</t>
        </is>
      </c>
      <c r="L5" s="5" t="inlineStr">
        <is>
          <t>AvgMkt/SF</t>
        </is>
      </c>
      <c r="M5" s="5" t="inlineStr">
        <is>
          <t>Cont Rent</t>
        </is>
      </c>
      <c r="N5" s="5" t="inlineStr">
        <is>
          <t>Avg Cont/Unit</t>
        </is>
      </c>
      <c r="O5" s="5" t="inlineStr">
        <is>
          <t>AvgCont/SF</t>
        </is>
      </c>
      <c r="P5" s="5" t="inlineStr">
        <is>
          <t>Max Rent</t>
        </is>
      </c>
      <c r="Q5" s="5" t="inlineStr">
        <is>
          <t>Other Inc.</t>
        </is>
      </c>
      <c r="S5" s="6" t="inlineStr">
        <is>
          <t>Sq. Ft. (Occ)</t>
        </is>
      </c>
    </row>
    <row r="6">
      <c r="D6" s="7" t="inlineStr">
        <is>
          <t>Lyndon Crossings</t>
        </is>
      </c>
      <c r="E6" s="46" t="n">
        <v>2</v>
      </c>
      <c r="F6" s="8" t="n">
        <v>55</v>
      </c>
      <c r="G6" s="9" t="n">
        <v>60</v>
      </c>
      <c r="H6" s="10" t="n">
        <v>55760</v>
      </c>
      <c r="I6" s="10" t="n">
        <v>929.3333333333334</v>
      </c>
      <c r="J6" s="11" t="n">
        <v>72061</v>
      </c>
      <c r="K6" s="11" t="n">
        <v>1201.016666666667</v>
      </c>
      <c r="L6" s="12" t="n">
        <v>1.292342180774749</v>
      </c>
      <c r="M6" s="11" t="n">
        <v>64522</v>
      </c>
      <c r="N6" s="11" t="n">
        <v>1173.127272727273</v>
      </c>
      <c r="O6" s="12" t="n">
        <v>1.258916725200968</v>
      </c>
      <c r="P6" s="11" t="n">
        <v>1299</v>
      </c>
      <c r="Q6" s="11" t="n">
        <v>0</v>
      </c>
      <c r="S6" s="10" t="n">
        <v>51252</v>
      </c>
    </row>
    <row r="7">
      <c r="C7" s="13" t="inlineStr">
        <is>
          <t>Total/Wtd Average</t>
        </is>
      </c>
      <c r="D7" s="13" t="n"/>
      <c r="E7" s="13" t="n"/>
      <c r="F7" s="14" t="n">
        <v>55</v>
      </c>
      <c r="G7" s="15" t="n">
        <v>60</v>
      </c>
      <c r="H7" s="16" t="n">
        <v>55760</v>
      </c>
      <c r="I7" s="16" t="n">
        <v>929.3333333333334</v>
      </c>
      <c r="J7" s="17" t="n">
        <v>72061</v>
      </c>
      <c r="K7" s="17" t="n">
        <v>1201.016666666667</v>
      </c>
      <c r="L7" s="18" t="n">
        <v>1.292342180774749</v>
      </c>
      <c r="M7" s="17" t="n">
        <v>64522</v>
      </c>
      <c r="N7" s="17" t="n">
        <v>1173.127272727273</v>
      </c>
      <c r="O7" s="18" t="n">
        <v>1.258916725200968</v>
      </c>
      <c r="P7" s="17" t="inlineStr">
        <is>
          <t>N/A</t>
        </is>
      </c>
      <c r="Q7" s="17" t="n">
        <v>0</v>
      </c>
      <c r="S7" s="16" t="n">
        <v>51252</v>
      </c>
    </row>
    <row r="9">
      <c r="C9" s="19" t="inlineStr">
        <is>
          <t>Total Units</t>
        </is>
      </c>
      <c r="D9" s="20" t="n"/>
      <c r="E9" s="20" t="n"/>
      <c r="F9" s="20" t="n"/>
      <c r="G9" s="21" t="n">
        <v>60</v>
      </c>
    </row>
    <row r="10">
      <c r="C10" s="19" t="inlineStr">
        <is>
          <t>Occupied Units</t>
        </is>
      </c>
      <c r="D10" s="20" t="n"/>
      <c r="E10" s="20" t="n"/>
      <c r="F10" s="20" t="n"/>
      <c r="G10" s="21" t="n">
        <v>55</v>
      </c>
    </row>
    <row r="11">
      <c r="C11" s="19" t="inlineStr">
        <is>
          <t>Unit Occupancy</t>
        </is>
      </c>
      <c r="D11" s="20" t="n"/>
      <c r="E11" s="20" t="n"/>
      <c r="F11" s="20" t="n"/>
      <c r="G11" s="22" t="n">
        <v>0.9166666666666666</v>
      </c>
    </row>
    <row r="12">
      <c r="C12" s="19" t="inlineStr">
        <is>
          <t>Total Square Feet</t>
        </is>
      </c>
      <c r="D12" s="20" t="n"/>
      <c r="E12" s="20" t="n"/>
      <c r="F12" s="20" t="n"/>
      <c r="G12" s="23" t="n">
        <v>55760</v>
      </c>
    </row>
    <row r="13">
      <c r="C13" s="19" t="inlineStr">
        <is>
          <t>Occupied Square Feet</t>
        </is>
      </c>
      <c r="D13" s="20" t="n"/>
      <c r="E13" s="20" t="n"/>
      <c r="F13" s="20" t="n"/>
      <c r="G13" s="23" t="n">
        <v>51252</v>
      </c>
    </row>
    <row r="14">
      <c r="C14" s="19" t="inlineStr">
        <is>
          <t>Square Feet Occupancy</t>
        </is>
      </c>
      <c r="D14" s="20" t="n"/>
      <c r="E14" s="20" t="n"/>
      <c r="F14" s="20" t="n"/>
      <c r="G14" s="22" t="n">
        <v>0.9191535150645624</v>
      </c>
    </row>
    <row r="16">
      <c r="C16" s="19" t="inlineStr">
        <is>
          <t>Market Rent Annualized</t>
        </is>
      </c>
      <c r="D16" s="20" t="n"/>
      <c r="E16" s="20" t="n"/>
      <c r="F16" s="20" t="n"/>
      <c r="G16" s="24" t="n">
        <v>864732</v>
      </c>
    </row>
    <row r="17">
      <c r="C17" s="19" t="inlineStr">
        <is>
          <t>In-Place Rent Annualized</t>
        </is>
      </c>
      <c r="D17" s="20" t="n"/>
      <c r="E17" s="20" t="n"/>
      <c r="F17" s="20" t="n"/>
      <c r="G17" s="24" t="n">
        <v>774264</v>
      </c>
    </row>
    <row r="18">
      <c r="C18" s="19" t="inlineStr">
        <is>
          <t>Other Income Annualized</t>
        </is>
      </c>
      <c r="D18" s="20" t="n"/>
      <c r="E18" s="20" t="n"/>
      <c r="F18" s="20" t="n"/>
      <c r="G18" s="2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3:AG6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0.9" customWidth="1" min="1" max="1"/>
    <col width="23.4" customWidth="1" min="4" max="4"/>
    <col width="13" customWidth="1" min="5" max="5"/>
    <col width="15.9" customWidth="1" min="6" max="6"/>
    <col width="18" customWidth="1" min="7" max="7"/>
    <col width="9.1" customWidth="1" min="8" max="8"/>
    <col width="9.1" customWidth="1" min="9" max="9"/>
    <col width="12.1" customWidth="1" min="10" max="10"/>
    <col width="17.9" customWidth="1" min="11" max="11"/>
    <col width="12.1" customWidth="1" min="12" max="12"/>
    <col width="6.4" customWidth="1" min="13" max="13"/>
    <col width="6.9" customWidth="1" min="15" max="15"/>
    <col width="6.9" customWidth="1" min="16" max="16"/>
    <col width="6.4" customWidth="1" min="17" max="17"/>
    <col width="5.9" customWidth="1" min="18" max="18"/>
    <col width="11" customWidth="1" min="19" max="19"/>
    <col width="11.4" customWidth="1" min="21" max="21"/>
    <col width="11.4" customWidth="1" min="22" max="22"/>
    <col width="11.4" customWidth="1" min="23" max="23"/>
    <col width="10.9" customWidth="1" min="24" max="24"/>
    <col width="10.4" customWidth="1" min="25" max="25"/>
    <col width="12.9" customWidth="1" min="26" max="26"/>
    <col width="14.4" customWidth="1" min="27" max="27"/>
    <col width="15.4" customWidth="1" min="28" max="28"/>
    <col width="0.9" customWidth="1" min="29" max="29"/>
    <col width="0.9" customWidth="1" min="30" max="30"/>
    <col width="15.4" customWidth="1" min="31" max="31"/>
    <col width="10.4" customWidth="1" min="32" max="32"/>
    <col width="9.4" customWidth="1" min="33" max="33"/>
  </cols>
  <sheetData>
    <row r="3">
      <c r="C3" s="47" t="inlineStr">
        <is>
          <t>PRESENTATION RENT ROLL</t>
        </is>
      </c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48" t="n"/>
      <c r="AD3" s="2" t="inlineStr">
        <is>
          <t>Lyndon Crossings</t>
        </is>
      </c>
    </row>
    <row r="5">
      <c r="C5" s="49" t="inlineStr">
        <is>
          <t>UNIT INFORMATION</t>
        </is>
      </c>
      <c r="D5" s="49" t="n"/>
      <c r="E5" s="49" t="n"/>
      <c r="F5" s="49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inlineStr">
        <is>
          <t>UNIT STATUS</t>
        </is>
      </c>
      <c r="P5" s="49" t="n"/>
      <c r="Q5" s="49" t="n"/>
      <c r="R5" s="49" t="n"/>
      <c r="S5" s="49" t="n"/>
      <c r="T5" s="49" t="n"/>
      <c r="U5" s="49" t="n"/>
      <c r="V5" s="49" t="inlineStr">
        <is>
          <t>CURRENT LEASE</t>
        </is>
      </c>
      <c r="W5" s="49" t="n"/>
      <c r="X5" s="49" t="n"/>
      <c r="Y5" s="49" t="n"/>
      <c r="Z5" s="49" t="n"/>
      <c r="AA5" s="49" t="n"/>
      <c r="AB5" s="49" t="n"/>
      <c r="AC5" s="49" t="n"/>
    </row>
    <row r="6">
      <c r="C6" s="3" t="n"/>
      <c r="D6" s="50" t="inlineStr">
        <is>
          <t>Property</t>
        </is>
      </c>
      <c r="E6" s="51" t="inlineStr">
        <is>
          <t>Unit</t>
        </is>
      </c>
      <c r="F6" s="51" t="inlineStr">
        <is>
          <t>Unit</t>
        </is>
      </c>
      <c r="G6" s="51" t="inlineStr">
        <is>
          <t>Floor</t>
        </is>
      </c>
      <c r="H6" s="51" t="inlineStr">
        <is>
          <t>Unit</t>
        </is>
      </c>
      <c r="I6" s="3" t="n"/>
      <c r="J6" s="51" t="inlineStr">
        <is>
          <t>Reno</t>
        </is>
      </c>
      <c r="K6" s="50" t="inlineStr">
        <is>
          <t>Tenant</t>
        </is>
      </c>
      <c r="L6" s="51" t="inlineStr">
        <is>
          <t>Net</t>
        </is>
      </c>
      <c r="M6" s="51" t="inlineStr">
        <is>
          <t>#</t>
        </is>
      </c>
      <c r="N6" s="51" t="inlineStr">
        <is>
          <t>#</t>
        </is>
      </c>
      <c r="O6" s="51" t="inlineStr">
        <is>
          <t>Lease</t>
        </is>
      </c>
      <c r="P6" s="51" t="inlineStr">
        <is>
          <t>Reno</t>
        </is>
      </c>
      <c r="Q6" s="51" t="inlineStr">
        <is>
          <t>Occ</t>
        </is>
      </c>
      <c r="R6" s="3" t="n"/>
      <c r="S6" s="51" t="inlineStr">
        <is>
          <t>Renew</t>
        </is>
      </c>
      <c r="T6" s="51" t="inlineStr">
        <is>
          <t>Asking</t>
        </is>
      </c>
      <c r="U6" s="51" t="inlineStr">
        <is>
          <t>Market</t>
        </is>
      </c>
      <c r="V6" s="51" t="inlineStr">
        <is>
          <t>Contract</t>
        </is>
      </c>
      <c r="W6" s="51" t="inlineStr">
        <is>
          <t>Conc/</t>
        </is>
      </c>
      <c r="X6" s="51" t="inlineStr">
        <is>
          <t>Emp</t>
        </is>
      </c>
      <c r="Y6" s="51" t="inlineStr">
        <is>
          <t>Other</t>
        </is>
      </c>
      <c r="Z6" s="51" t="inlineStr">
        <is>
          <t>Move In</t>
        </is>
      </c>
      <c r="AA6" s="51" t="inlineStr">
        <is>
          <t>Lease</t>
        </is>
      </c>
      <c r="AB6" s="51" t="inlineStr">
        <is>
          <t>Lease</t>
        </is>
      </c>
      <c r="AC6" s="3" t="n"/>
    </row>
    <row r="7">
      <c r="C7" s="3" t="n"/>
      <c r="D7" s="50" t="inlineStr">
        <is>
          <t>Name</t>
        </is>
      </c>
      <c r="E7" s="51" t="inlineStr">
        <is>
          <t>Number</t>
        </is>
      </c>
      <c r="F7" s="51" t="inlineStr">
        <is>
          <t>Type</t>
        </is>
      </c>
      <c r="G7" s="51" t="inlineStr">
        <is>
          <t>Plan</t>
        </is>
      </c>
      <c r="H7" s="52" t="inlineStr">
        <is>
          <t>Designation</t>
        </is>
      </c>
      <c r="I7" s="52" t="inlineStr">
        <is>
          <t>Reno'd?</t>
        </is>
      </c>
      <c r="J7" s="52" t="inlineStr">
        <is>
          <t>Type</t>
        </is>
      </c>
      <c r="K7" s="50" t="inlineStr">
        <is>
          <t>Name</t>
        </is>
      </c>
      <c r="L7" s="51" t="inlineStr">
        <is>
          <t>Sq. Ft.</t>
        </is>
      </c>
      <c r="M7" s="51" t="inlineStr">
        <is>
          <t>Bed</t>
        </is>
      </c>
      <c r="N7" s="51" t="inlineStr">
        <is>
          <t>Bath</t>
        </is>
      </c>
      <c r="O7" s="51" t="inlineStr">
        <is>
          <t>Type</t>
        </is>
      </c>
      <c r="P7" s="51" t="inlineStr">
        <is>
          <t>Stat</t>
        </is>
      </c>
      <c r="Q7" s="51" t="inlineStr">
        <is>
          <t>Stat*</t>
        </is>
      </c>
      <c r="R7" s="51" t="inlineStr">
        <is>
          <t>MTM</t>
        </is>
      </c>
      <c r="S7" s="51" t="inlineStr">
        <is>
          <t>Status</t>
        </is>
      </c>
      <c r="T7" s="51" t="inlineStr">
        <is>
          <t>Rent</t>
        </is>
      </c>
      <c r="U7" s="51" t="inlineStr">
        <is>
          <t>Rent</t>
        </is>
      </c>
      <c r="V7" s="51" t="inlineStr">
        <is>
          <t>Rent</t>
        </is>
      </c>
      <c r="W7" s="51" t="inlineStr">
        <is>
          <t>Specl</t>
        </is>
      </c>
      <c r="X7" s="51" t="inlineStr">
        <is>
          <t>Disc</t>
        </is>
      </c>
      <c r="Y7" s="51" t="inlineStr">
        <is>
          <t>Income</t>
        </is>
      </c>
      <c r="Z7" s="51" t="inlineStr">
        <is>
          <t>Date</t>
        </is>
      </c>
      <c r="AA7" s="51" t="inlineStr">
        <is>
          <t>Start Date</t>
        </is>
      </c>
      <c r="AB7" s="51" t="inlineStr">
        <is>
          <t>End Date</t>
        </is>
      </c>
      <c r="AC7" s="3" t="n"/>
      <c r="AE7" s="53" t="inlineStr">
        <is>
          <t>Market Rent</t>
        </is>
      </c>
      <c r="AF7" s="53" t="inlineStr">
        <is>
          <t>LTL</t>
        </is>
      </c>
      <c r="AG7" s="53" t="inlineStr">
        <is>
          <t>LTL %</t>
        </is>
      </c>
    </row>
    <row r="8">
      <c r="D8" s="36" t="inlineStr">
        <is>
          <t>Lyndon Crossings</t>
        </is>
      </c>
      <c r="E8" s="54" t="inlineStr">
        <is>
          <t>1200-1</t>
        </is>
      </c>
      <c r="F8" s="54" t="inlineStr">
        <is>
          <t>2x2-Parkwood</t>
        </is>
      </c>
      <c r="G8" s="54" t="inlineStr">
        <is>
          <t>2x2-Parkwood</t>
        </is>
      </c>
      <c r="K8" s="36" t="inlineStr">
        <is>
          <t>Vacant</t>
        </is>
      </c>
      <c r="L8" s="55" t="n">
        <v>964</v>
      </c>
      <c r="M8" s="56" t="n">
        <v>2</v>
      </c>
      <c r="N8" s="56" t="n">
        <v>2</v>
      </c>
      <c r="Q8" s="57" t="inlineStr">
        <is>
          <t>Vac</t>
        </is>
      </c>
      <c r="U8" s="58" t="n">
        <v>1298</v>
      </c>
      <c r="V8" s="58" t="n">
        <v>0</v>
      </c>
      <c r="W8" s="58" t="n">
        <v>0</v>
      </c>
      <c r="X8" s="58" t="n">
        <v>0</v>
      </c>
      <c r="Y8" s="58" t="n">
        <v>0</v>
      </c>
    </row>
    <row r="9">
      <c r="D9" s="36" t="inlineStr">
        <is>
          <t>Lyndon Crossings</t>
        </is>
      </c>
      <c r="E9" s="54" t="inlineStr">
        <is>
          <t>1200-2</t>
        </is>
      </c>
      <c r="F9" s="54" t="inlineStr">
        <is>
          <t>2x2-Gentry</t>
        </is>
      </c>
      <c r="G9" s="54" t="inlineStr">
        <is>
          <t>2x2-Gentry</t>
        </is>
      </c>
      <c r="K9" s="36" t="inlineStr">
        <is>
          <t>Jarboe, Rebekah</t>
        </is>
      </c>
      <c r="L9" s="55" t="n">
        <v>860</v>
      </c>
      <c r="M9" s="56" t="n">
        <v>2</v>
      </c>
      <c r="N9" s="56" t="n">
        <v>2</v>
      </c>
      <c r="Q9" s="57" t="inlineStr">
        <is>
          <t>Occ</t>
        </is>
      </c>
      <c r="U9" s="58" t="n">
        <v>1109</v>
      </c>
      <c r="V9" s="58" t="n">
        <v>1216</v>
      </c>
      <c r="W9" s="58" t="n">
        <v>0</v>
      </c>
      <c r="X9" s="58" t="n">
        <v>0</v>
      </c>
      <c r="Y9" s="58" t="n">
        <v>0</v>
      </c>
      <c r="Z9" s="59" t="n">
        <v>46204</v>
      </c>
      <c r="AA9" s="59" t="n">
        <v>46204</v>
      </c>
      <c r="AB9" s="59" t="n">
        <v>46572</v>
      </c>
    </row>
    <row r="10">
      <c r="D10" s="36" t="inlineStr">
        <is>
          <t>Lyndon Crossings</t>
        </is>
      </c>
      <c r="E10" s="54" t="inlineStr">
        <is>
          <t>1200-3</t>
        </is>
      </c>
      <c r="F10" s="54" t="inlineStr">
        <is>
          <t>2x2-Parkwood</t>
        </is>
      </c>
      <c r="G10" s="54" t="inlineStr">
        <is>
          <t>2x2-Parkwood</t>
        </is>
      </c>
      <c r="K10" s="36" t="inlineStr">
        <is>
          <t>Wallace, Christina</t>
        </is>
      </c>
      <c r="L10" s="55" t="n">
        <v>964</v>
      </c>
      <c r="M10" s="56" t="n">
        <v>2</v>
      </c>
      <c r="N10" s="56" t="n">
        <v>2</v>
      </c>
      <c r="Q10" s="57" t="inlineStr">
        <is>
          <t>Occ</t>
        </is>
      </c>
      <c r="U10" s="58" t="n">
        <v>1214</v>
      </c>
      <c r="V10" s="58" t="n">
        <v>1214</v>
      </c>
      <c r="W10" s="58" t="n">
        <v>0</v>
      </c>
      <c r="X10" s="58" t="n">
        <v>0</v>
      </c>
      <c r="Y10" s="58" t="n">
        <v>0</v>
      </c>
      <c r="Z10" s="59" t="n">
        <v>46179</v>
      </c>
      <c r="AA10" s="59" t="n">
        <v>46179</v>
      </c>
      <c r="AB10" s="59" t="n">
        <v>46579</v>
      </c>
    </row>
    <row r="11">
      <c r="D11" s="36" t="inlineStr">
        <is>
          <t>Lyndon Crossings</t>
        </is>
      </c>
      <c r="E11" s="54" t="inlineStr">
        <is>
          <t>1200-4</t>
        </is>
      </c>
      <c r="F11" s="54" t="inlineStr">
        <is>
          <t>2x2-Parkwood</t>
        </is>
      </c>
      <c r="G11" s="54" t="inlineStr">
        <is>
          <t>2x2-Parkwood</t>
        </is>
      </c>
      <c r="K11" s="36" t="inlineStr">
        <is>
          <t>Strait, Conner</t>
        </is>
      </c>
      <c r="L11" s="55" t="n">
        <v>964</v>
      </c>
      <c r="M11" s="56" t="n">
        <v>2</v>
      </c>
      <c r="N11" s="56" t="n">
        <v>2</v>
      </c>
      <c r="Q11" s="57" t="inlineStr">
        <is>
          <t>Occ</t>
        </is>
      </c>
      <c r="U11" s="58" t="n">
        <v>1231</v>
      </c>
      <c r="V11" s="58" t="n">
        <v>1099</v>
      </c>
      <c r="W11" s="58" t="n">
        <v>0</v>
      </c>
      <c r="X11" s="58" t="n">
        <v>0</v>
      </c>
      <c r="Y11" s="58" t="n">
        <v>0</v>
      </c>
      <c r="Z11" s="59" t="n">
        <v>45955</v>
      </c>
      <c r="AA11" s="59" t="n">
        <v>45955</v>
      </c>
      <c r="AB11" s="59" t="n">
        <v>46502</v>
      </c>
    </row>
    <row r="12">
      <c r="D12" s="36" t="inlineStr">
        <is>
          <t>Lyndon Crossings</t>
        </is>
      </c>
      <c r="E12" s="54" t="inlineStr">
        <is>
          <t>1200-5</t>
        </is>
      </c>
      <c r="F12" s="54" t="inlineStr">
        <is>
          <t>2x2-Gentry</t>
        </is>
      </c>
      <c r="G12" s="54" t="inlineStr">
        <is>
          <t>2x2-Gentry</t>
        </is>
      </c>
      <c r="K12" s="36" t="inlineStr">
        <is>
          <t>Moore, Torey</t>
        </is>
      </c>
      <c r="L12" s="55" t="n">
        <v>860</v>
      </c>
      <c r="M12" s="56" t="n">
        <v>2</v>
      </c>
      <c r="N12" s="56" t="n">
        <v>2</v>
      </c>
      <c r="Q12" s="57" t="inlineStr">
        <is>
          <t>Occ</t>
        </is>
      </c>
      <c r="U12" s="58" t="n">
        <v>1140</v>
      </c>
      <c r="V12" s="58" t="n">
        <v>1078</v>
      </c>
      <c r="W12" s="58" t="n">
        <v>0</v>
      </c>
      <c r="X12" s="58" t="n">
        <v>0</v>
      </c>
      <c r="Y12" s="58" t="n">
        <v>0</v>
      </c>
      <c r="Z12" s="59" t="n">
        <v>43922</v>
      </c>
      <c r="AA12" s="59" t="n">
        <v>46143</v>
      </c>
      <c r="AB12" s="59" t="n">
        <v>46572</v>
      </c>
    </row>
    <row r="13">
      <c r="D13" s="36" t="inlineStr">
        <is>
          <t>Lyndon Crossings</t>
        </is>
      </c>
      <c r="E13" s="54" t="inlineStr">
        <is>
          <t>1200-6</t>
        </is>
      </c>
      <c r="F13" s="54" t="inlineStr">
        <is>
          <t>2x2-Parkwood</t>
        </is>
      </c>
      <c r="G13" s="54" t="inlineStr">
        <is>
          <t>2x2-Parkwood</t>
        </is>
      </c>
      <c r="K13" s="36" t="inlineStr">
        <is>
          <t>Styer, Hannah</t>
        </is>
      </c>
      <c r="L13" s="55" t="n">
        <v>964</v>
      </c>
      <c r="M13" s="56" t="n">
        <v>2</v>
      </c>
      <c r="N13" s="56" t="n">
        <v>2</v>
      </c>
      <c r="Q13" s="57" t="inlineStr">
        <is>
          <t>Occ</t>
        </is>
      </c>
      <c r="U13" s="58" t="n">
        <v>1165</v>
      </c>
      <c r="V13" s="58" t="n">
        <v>1240</v>
      </c>
      <c r="W13" s="58" t="n">
        <v>0</v>
      </c>
      <c r="X13" s="58" t="n">
        <v>0</v>
      </c>
      <c r="Y13" s="58" t="n">
        <v>0</v>
      </c>
      <c r="Z13" s="59" t="n">
        <v>42928</v>
      </c>
      <c r="AA13" s="59" t="n">
        <v>46113</v>
      </c>
      <c r="AB13" s="59" t="n">
        <v>46663</v>
      </c>
    </row>
    <row r="14">
      <c r="D14" s="36" t="inlineStr">
        <is>
          <t>Lyndon Crossings</t>
        </is>
      </c>
      <c r="E14" s="54" t="inlineStr">
        <is>
          <t>1201-1</t>
        </is>
      </c>
      <c r="F14" s="54" t="inlineStr">
        <is>
          <t>2x2-Parkwood</t>
        </is>
      </c>
      <c r="G14" s="54" t="inlineStr">
        <is>
          <t>2x2-Parkwood</t>
        </is>
      </c>
      <c r="K14" s="36" t="inlineStr">
        <is>
          <t>Johnson, Christopher</t>
        </is>
      </c>
      <c r="L14" s="55" t="n">
        <v>964</v>
      </c>
      <c r="M14" s="56" t="n">
        <v>2</v>
      </c>
      <c r="N14" s="56" t="n">
        <v>2</v>
      </c>
      <c r="Q14" s="57" t="inlineStr">
        <is>
          <t>Occ</t>
        </is>
      </c>
      <c r="U14" s="58" t="n">
        <v>1291</v>
      </c>
      <c r="V14" s="58" t="n">
        <v>1299</v>
      </c>
      <c r="W14" s="58" t="n">
        <v>0</v>
      </c>
      <c r="X14" s="58" t="n">
        <v>0</v>
      </c>
      <c r="Y14" s="58" t="n">
        <v>0</v>
      </c>
      <c r="Z14" s="59" t="n">
        <v>44494</v>
      </c>
      <c r="AA14" s="59" t="n">
        <v>46113</v>
      </c>
      <c r="AB14" s="59" t="n">
        <v>46271</v>
      </c>
    </row>
    <row r="15">
      <c r="D15" s="36" t="inlineStr">
        <is>
          <t>Lyndon Crossings</t>
        </is>
      </c>
      <c r="E15" s="54" t="inlineStr">
        <is>
          <t>1201-2</t>
        </is>
      </c>
      <c r="F15" s="54" t="inlineStr">
        <is>
          <t>2x2-Gentry</t>
        </is>
      </c>
      <c r="G15" s="54" t="inlineStr">
        <is>
          <t>2x2-Gentry</t>
        </is>
      </c>
      <c r="K15" s="36" t="inlineStr">
        <is>
          <t>Mabinda, Marie</t>
        </is>
      </c>
      <c r="L15" s="55" t="n">
        <v>860</v>
      </c>
      <c r="M15" s="56" t="n">
        <v>2</v>
      </c>
      <c r="N15" s="56" t="n">
        <v>2</v>
      </c>
      <c r="Q15" s="57" t="inlineStr">
        <is>
          <t>Occ</t>
        </is>
      </c>
      <c r="U15" s="58" t="n">
        <v>1175</v>
      </c>
      <c r="V15" s="58" t="n">
        <v>1096</v>
      </c>
      <c r="W15" s="58" t="n">
        <v>0</v>
      </c>
      <c r="X15" s="58" t="n">
        <v>0</v>
      </c>
      <c r="Y15" s="58" t="n">
        <v>0</v>
      </c>
      <c r="Z15" s="59" t="n">
        <v>45178</v>
      </c>
      <c r="AA15" s="59" t="n">
        <v>45931</v>
      </c>
      <c r="AB15" s="59" t="n">
        <v>46481</v>
      </c>
    </row>
    <row r="16">
      <c r="D16" s="36" t="inlineStr">
        <is>
          <t>Lyndon Crossings</t>
        </is>
      </c>
      <c r="E16" s="54" t="inlineStr">
        <is>
          <t>1201-3</t>
        </is>
      </c>
      <c r="F16" s="54" t="inlineStr">
        <is>
          <t>2x2-Parkwood</t>
        </is>
      </c>
      <c r="G16" s="54" t="inlineStr">
        <is>
          <t>2x2-Parkwood</t>
        </is>
      </c>
      <c r="K16" s="36" t="inlineStr">
        <is>
          <t>Thornton, Roderick</t>
        </is>
      </c>
      <c r="L16" s="55" t="n">
        <v>964</v>
      </c>
      <c r="M16" s="56" t="n">
        <v>2</v>
      </c>
      <c r="N16" s="56" t="n">
        <v>2</v>
      </c>
      <c r="Q16" s="57" t="inlineStr">
        <is>
          <t>Occ</t>
        </is>
      </c>
      <c r="U16" s="58" t="n">
        <v>1200</v>
      </c>
      <c r="V16" s="58" t="n">
        <v>1108</v>
      </c>
      <c r="W16" s="58" t="n">
        <v>0</v>
      </c>
      <c r="X16" s="58" t="n">
        <v>0</v>
      </c>
      <c r="Y16" s="58" t="n">
        <v>0</v>
      </c>
      <c r="Z16" s="59" t="n">
        <v>42461</v>
      </c>
      <c r="AA16" s="59" t="n">
        <v>45962</v>
      </c>
      <c r="AB16" s="59" t="n">
        <v>46509</v>
      </c>
    </row>
    <row r="17">
      <c r="D17" s="36" t="inlineStr">
        <is>
          <t>Lyndon Crossings</t>
        </is>
      </c>
      <c r="E17" s="54" t="inlineStr">
        <is>
          <t>1201-4</t>
        </is>
      </c>
      <c r="F17" s="54" t="inlineStr">
        <is>
          <t>2x2-Parkwood</t>
        </is>
      </c>
      <c r="G17" s="54" t="inlineStr">
        <is>
          <t>2x2-Parkwood</t>
        </is>
      </c>
      <c r="K17" s="36" t="inlineStr">
        <is>
          <t>Amback, Brian</t>
        </is>
      </c>
      <c r="L17" s="55" t="n">
        <v>964</v>
      </c>
      <c r="M17" s="56" t="n">
        <v>2</v>
      </c>
      <c r="N17" s="56" t="n">
        <v>2</v>
      </c>
      <c r="Q17" s="57" t="inlineStr">
        <is>
          <t>Occ</t>
        </is>
      </c>
      <c r="U17" s="58" t="n">
        <v>1200</v>
      </c>
      <c r="V17" s="58" t="n">
        <v>1200</v>
      </c>
      <c r="W17" s="58" t="n">
        <v>0</v>
      </c>
      <c r="X17" s="58" t="n">
        <v>0</v>
      </c>
      <c r="Y17" s="58" t="n">
        <v>0</v>
      </c>
      <c r="Z17" s="59" t="n">
        <v>45164</v>
      </c>
      <c r="AA17" s="59" t="n">
        <v>45901</v>
      </c>
      <c r="AB17" s="59" t="n">
        <v>46271</v>
      </c>
    </row>
    <row r="18">
      <c r="D18" s="36" t="inlineStr">
        <is>
          <t>Lyndon Crossings</t>
        </is>
      </c>
      <c r="E18" s="54" t="inlineStr">
        <is>
          <t>1201-5</t>
        </is>
      </c>
      <c r="F18" s="54" t="inlineStr">
        <is>
          <t>2x2-Gentry</t>
        </is>
      </c>
      <c r="G18" s="54" t="inlineStr">
        <is>
          <t>2x2-Gentry</t>
        </is>
      </c>
      <c r="K18" s="36" t="inlineStr">
        <is>
          <t>Lozano, Yajaira</t>
        </is>
      </c>
      <c r="L18" s="55" t="n">
        <v>860</v>
      </c>
      <c r="M18" s="56" t="n">
        <v>2</v>
      </c>
      <c r="N18" s="56" t="n">
        <v>2</v>
      </c>
      <c r="Q18" s="57" t="inlineStr">
        <is>
          <t>Occ</t>
        </is>
      </c>
      <c r="U18" s="58" t="n">
        <v>1175</v>
      </c>
      <c r="V18" s="58" t="n">
        <v>1185</v>
      </c>
      <c r="W18" s="58" t="n">
        <v>0</v>
      </c>
      <c r="X18" s="58" t="n">
        <v>0</v>
      </c>
      <c r="Y18" s="58" t="n">
        <v>0</v>
      </c>
      <c r="Z18" s="59" t="n">
        <v>45773</v>
      </c>
      <c r="AA18" s="59" t="n">
        <v>46202</v>
      </c>
      <c r="AB18" s="59" t="n">
        <v>46600</v>
      </c>
    </row>
    <row r="19">
      <c r="D19" s="36" t="inlineStr">
        <is>
          <t>Lyndon Crossings</t>
        </is>
      </c>
      <c r="E19" s="54" t="inlineStr">
        <is>
          <t>1201-6</t>
        </is>
      </c>
      <c r="F19" s="54" t="inlineStr">
        <is>
          <t>2x2-Parkwood</t>
        </is>
      </c>
      <c r="G19" s="54" t="inlineStr">
        <is>
          <t>2x2-Parkwood</t>
        </is>
      </c>
      <c r="K19" s="36" t="inlineStr">
        <is>
          <t>Jackson, Bryonnie</t>
        </is>
      </c>
      <c r="L19" s="55" t="n">
        <v>964</v>
      </c>
      <c r="M19" s="56" t="n">
        <v>2</v>
      </c>
      <c r="N19" s="56" t="n">
        <v>2</v>
      </c>
      <c r="Q19" s="57" t="inlineStr">
        <is>
          <t>Occ</t>
        </is>
      </c>
      <c r="U19" s="58" t="n">
        <v>1140</v>
      </c>
      <c r="V19" s="58" t="n">
        <v>1180</v>
      </c>
      <c r="W19" s="58" t="n">
        <v>0</v>
      </c>
      <c r="X19" s="58" t="n">
        <v>0</v>
      </c>
      <c r="Y19" s="58" t="n">
        <v>0</v>
      </c>
      <c r="Z19" s="59" t="n">
        <v>46153</v>
      </c>
      <c r="AA19" s="59" t="n">
        <v>46153</v>
      </c>
      <c r="AB19" s="59" t="n">
        <v>46614</v>
      </c>
    </row>
    <row r="20">
      <c r="D20" s="36" t="inlineStr">
        <is>
          <t>Lyndon Crossings</t>
        </is>
      </c>
      <c r="E20" s="54" t="inlineStr">
        <is>
          <t>1202-1</t>
        </is>
      </c>
      <c r="F20" s="54" t="inlineStr">
        <is>
          <t>2x2-Parkwood</t>
        </is>
      </c>
      <c r="G20" s="54" t="inlineStr">
        <is>
          <t>2x2-Parkwood</t>
        </is>
      </c>
      <c r="K20" s="36" t="inlineStr">
        <is>
          <t>Vacant</t>
        </is>
      </c>
      <c r="L20" s="55" t="n">
        <v>964</v>
      </c>
      <c r="M20" s="56" t="n">
        <v>2</v>
      </c>
      <c r="N20" s="56" t="n">
        <v>2</v>
      </c>
      <c r="Q20" s="57" t="inlineStr">
        <is>
          <t>Vac</t>
        </is>
      </c>
      <c r="U20" s="58" t="n">
        <v>1298</v>
      </c>
      <c r="V20" s="58" t="n">
        <v>0</v>
      </c>
      <c r="W20" s="58" t="n">
        <v>0</v>
      </c>
      <c r="X20" s="58" t="n">
        <v>0</v>
      </c>
      <c r="Y20" s="58" t="n">
        <v>0</v>
      </c>
    </row>
    <row r="21">
      <c r="D21" s="36" t="inlineStr">
        <is>
          <t>Lyndon Crossings</t>
        </is>
      </c>
      <c r="E21" s="54" t="inlineStr">
        <is>
          <t>1202-2</t>
        </is>
      </c>
      <c r="F21" s="54" t="inlineStr">
        <is>
          <t>2x2-Gentry</t>
        </is>
      </c>
      <c r="G21" s="54" t="inlineStr">
        <is>
          <t>2x2-Gentry</t>
        </is>
      </c>
      <c r="K21" s="36" t="inlineStr">
        <is>
          <t>Broadwater, Eric</t>
        </is>
      </c>
      <c r="L21" s="55" t="n">
        <v>860</v>
      </c>
      <c r="M21" s="56" t="n">
        <v>2</v>
      </c>
      <c r="N21" s="56" t="n">
        <v>2</v>
      </c>
      <c r="Q21" s="57" t="inlineStr">
        <is>
          <t>Occ</t>
        </is>
      </c>
      <c r="U21" s="58" t="n">
        <v>1075</v>
      </c>
      <c r="V21" s="58" t="n">
        <v>1118</v>
      </c>
      <c r="W21" s="58" t="n">
        <v>0</v>
      </c>
      <c r="X21" s="58" t="n">
        <v>0</v>
      </c>
      <c r="Y21" s="58" t="n">
        <v>0</v>
      </c>
      <c r="Z21" s="59" t="n">
        <v>46137</v>
      </c>
      <c r="AA21" s="59" t="n">
        <v>46137</v>
      </c>
      <c r="AB21" s="59" t="n">
        <v>46628</v>
      </c>
    </row>
    <row r="22">
      <c r="D22" s="36" t="inlineStr">
        <is>
          <t>Lyndon Crossings</t>
        </is>
      </c>
      <c r="E22" s="54" t="inlineStr">
        <is>
          <t>1202-3</t>
        </is>
      </c>
      <c r="F22" s="54" t="inlineStr">
        <is>
          <t>2x2-Parkwood</t>
        </is>
      </c>
      <c r="G22" s="54" t="inlineStr">
        <is>
          <t>2x2-Parkwood</t>
        </is>
      </c>
      <c r="K22" s="36" t="inlineStr">
        <is>
          <t>Kavanah, Ryan</t>
        </is>
      </c>
      <c r="L22" s="55" t="n">
        <v>964</v>
      </c>
      <c r="M22" s="56" t="n">
        <v>2</v>
      </c>
      <c r="N22" s="56" t="n">
        <v>2</v>
      </c>
      <c r="Q22" s="57" t="inlineStr">
        <is>
          <t>Occ</t>
        </is>
      </c>
      <c r="U22" s="58" t="n">
        <v>1200</v>
      </c>
      <c r="V22" s="58" t="n">
        <v>1145</v>
      </c>
      <c r="W22" s="58" t="n">
        <v>0</v>
      </c>
      <c r="X22" s="58" t="n">
        <v>0</v>
      </c>
      <c r="Y22" s="58" t="n">
        <v>0</v>
      </c>
      <c r="Z22" s="59" t="n">
        <v>45219</v>
      </c>
      <c r="AA22" s="59" t="n">
        <v>45962</v>
      </c>
      <c r="AB22" s="59" t="n">
        <v>46509</v>
      </c>
    </row>
    <row r="23">
      <c r="D23" s="36" t="inlineStr">
        <is>
          <t>Lyndon Crossings</t>
        </is>
      </c>
      <c r="E23" s="54" t="inlineStr">
        <is>
          <t>1202-4</t>
        </is>
      </c>
      <c r="F23" s="54" t="inlineStr">
        <is>
          <t>2x2-Parkwood</t>
        </is>
      </c>
      <c r="G23" s="54" t="inlineStr">
        <is>
          <t>2x2-Parkwood</t>
        </is>
      </c>
      <c r="K23" s="36" t="inlineStr">
        <is>
          <t>Dunigan, Sydney</t>
        </is>
      </c>
      <c r="L23" s="55" t="n">
        <v>964</v>
      </c>
      <c r="M23" s="56" t="n">
        <v>2</v>
      </c>
      <c r="N23" s="56" t="n">
        <v>2</v>
      </c>
      <c r="Q23" s="57" t="inlineStr">
        <is>
          <t>Occ</t>
        </is>
      </c>
      <c r="U23" s="58" t="n">
        <v>1177</v>
      </c>
      <c r="V23" s="58" t="n">
        <v>1275</v>
      </c>
      <c r="W23" s="58" t="n">
        <v>0</v>
      </c>
      <c r="X23" s="58" t="n">
        <v>0</v>
      </c>
      <c r="Y23" s="58" t="n">
        <v>0</v>
      </c>
      <c r="Z23" s="59" t="n">
        <v>45877</v>
      </c>
      <c r="AA23" s="59" t="n">
        <v>46244</v>
      </c>
      <c r="AB23" s="59" t="n">
        <v>46551</v>
      </c>
    </row>
    <row r="24">
      <c r="D24" s="36" t="inlineStr">
        <is>
          <t>Lyndon Crossings</t>
        </is>
      </c>
      <c r="E24" s="54" t="inlineStr">
        <is>
          <t>1202-5</t>
        </is>
      </c>
      <c r="F24" s="54" t="inlineStr">
        <is>
          <t>2x2-Gentry</t>
        </is>
      </c>
      <c r="G24" s="54" t="inlineStr">
        <is>
          <t>2x2-Gentry</t>
        </is>
      </c>
      <c r="K24" s="36" t="inlineStr">
        <is>
          <t>Bohning, Kimberly</t>
        </is>
      </c>
      <c r="L24" s="55" t="n">
        <v>860</v>
      </c>
      <c r="M24" s="56" t="n">
        <v>2</v>
      </c>
      <c r="N24" s="56" t="n">
        <v>2</v>
      </c>
      <c r="Q24" s="57" t="inlineStr">
        <is>
          <t>Occ</t>
        </is>
      </c>
      <c r="U24" s="58" t="n">
        <v>1175</v>
      </c>
      <c r="V24" s="58" t="n">
        <v>1218</v>
      </c>
      <c r="W24" s="58" t="n">
        <v>0</v>
      </c>
      <c r="X24" s="58" t="n">
        <v>0</v>
      </c>
      <c r="Y24" s="58" t="n">
        <v>0</v>
      </c>
      <c r="Z24" s="59" t="n">
        <v>45840</v>
      </c>
      <c r="AA24" s="59" t="n">
        <v>46209</v>
      </c>
      <c r="AB24" s="59" t="n">
        <v>46488</v>
      </c>
    </row>
    <row r="25">
      <c r="D25" s="36" t="inlineStr">
        <is>
          <t>Lyndon Crossings</t>
        </is>
      </c>
      <c r="E25" s="54" t="inlineStr">
        <is>
          <t>1202-6</t>
        </is>
      </c>
      <c r="F25" s="54" t="inlineStr">
        <is>
          <t>2x2-Parkwood</t>
        </is>
      </c>
      <c r="G25" s="54" t="inlineStr">
        <is>
          <t>2x2-Parkwood</t>
        </is>
      </c>
      <c r="K25" s="36" t="inlineStr">
        <is>
          <t>Howes, Justin</t>
        </is>
      </c>
      <c r="L25" s="55" t="n">
        <v>964</v>
      </c>
      <c r="M25" s="56" t="n">
        <v>2</v>
      </c>
      <c r="N25" s="56" t="n">
        <v>2</v>
      </c>
      <c r="Q25" s="57" t="inlineStr">
        <is>
          <t>Occ</t>
        </is>
      </c>
      <c r="U25" s="58" t="n">
        <v>1200</v>
      </c>
      <c r="V25" s="58" t="n">
        <v>1231</v>
      </c>
      <c r="W25" s="58" t="n">
        <v>0</v>
      </c>
      <c r="X25" s="58" t="n">
        <v>0</v>
      </c>
      <c r="Y25" s="58" t="n">
        <v>0</v>
      </c>
      <c r="Z25" s="59" t="n">
        <v>45426</v>
      </c>
      <c r="AA25" s="59" t="n">
        <v>46176</v>
      </c>
      <c r="AB25" s="59" t="n">
        <v>46544</v>
      </c>
    </row>
    <row r="26">
      <c r="D26" s="36" t="inlineStr">
        <is>
          <t>Lyndon Crossings</t>
        </is>
      </c>
      <c r="E26" s="54" t="inlineStr">
        <is>
          <t>1209-1</t>
        </is>
      </c>
      <c r="F26" s="54" t="inlineStr">
        <is>
          <t>2x2-Parkwood</t>
        </is>
      </c>
      <c r="G26" s="54" t="inlineStr">
        <is>
          <t>2x2-Parkwood</t>
        </is>
      </c>
      <c r="K26" s="36" t="inlineStr">
        <is>
          <t>Shearer, Roy (Keith)</t>
        </is>
      </c>
      <c r="L26" s="55" t="n">
        <v>964</v>
      </c>
      <c r="M26" s="56" t="n">
        <v>2</v>
      </c>
      <c r="N26" s="56" t="n">
        <v>2</v>
      </c>
      <c r="Q26" s="57" t="inlineStr">
        <is>
          <t>Occ</t>
        </is>
      </c>
      <c r="U26" s="58" t="n">
        <v>1200</v>
      </c>
      <c r="V26" s="58" t="n">
        <v>1099</v>
      </c>
      <c r="W26" s="58" t="n">
        <v>0</v>
      </c>
      <c r="X26" s="58" t="n">
        <v>0</v>
      </c>
      <c r="Y26" s="58" t="n">
        <v>0</v>
      </c>
      <c r="Z26" s="59" t="n">
        <v>43525</v>
      </c>
      <c r="AA26" s="59" t="n">
        <v>46181</v>
      </c>
      <c r="AB26" s="59" t="n">
        <v>46579</v>
      </c>
    </row>
    <row r="27">
      <c r="D27" s="36" t="inlineStr">
        <is>
          <t>Lyndon Crossings</t>
        </is>
      </c>
      <c r="E27" s="54" t="inlineStr">
        <is>
          <t>1209-2</t>
        </is>
      </c>
      <c r="F27" s="54" t="inlineStr">
        <is>
          <t>2x2-Gentry</t>
        </is>
      </c>
      <c r="G27" s="54" t="inlineStr">
        <is>
          <t>2x2-Gentry</t>
        </is>
      </c>
      <c r="K27" s="36" t="inlineStr">
        <is>
          <t>VanDyke, Benjamin</t>
        </is>
      </c>
      <c r="L27" s="55" t="n">
        <v>860</v>
      </c>
      <c r="M27" s="56" t="n">
        <v>2</v>
      </c>
      <c r="N27" s="56" t="n">
        <v>2</v>
      </c>
      <c r="Q27" s="57" t="inlineStr">
        <is>
          <t>Occ</t>
        </is>
      </c>
      <c r="U27" s="58" t="n">
        <v>1160</v>
      </c>
      <c r="V27" s="58" t="n">
        <v>1068</v>
      </c>
      <c r="W27" s="58" t="n">
        <v>0</v>
      </c>
      <c r="X27" s="58" t="n">
        <v>0</v>
      </c>
      <c r="Y27" s="58" t="n">
        <v>0</v>
      </c>
      <c r="Z27" s="59" t="n">
        <v>46076</v>
      </c>
      <c r="AA27" s="59" t="n">
        <v>46076</v>
      </c>
      <c r="AB27" s="59" t="n">
        <v>46621</v>
      </c>
    </row>
    <row r="28">
      <c r="D28" s="36" t="inlineStr">
        <is>
          <t>Lyndon Crossings</t>
        </is>
      </c>
      <c r="E28" s="54" t="inlineStr">
        <is>
          <t>1209-3</t>
        </is>
      </c>
      <c r="F28" s="54" t="inlineStr">
        <is>
          <t>2x2-Parkwood</t>
        </is>
      </c>
      <c r="G28" s="54" t="inlineStr">
        <is>
          <t>2x2-Parkwood</t>
        </is>
      </c>
      <c r="K28" s="36" t="inlineStr">
        <is>
          <t>Maly, Mary</t>
        </is>
      </c>
      <c r="L28" s="55" t="n">
        <v>964</v>
      </c>
      <c r="M28" s="56" t="n">
        <v>2</v>
      </c>
      <c r="N28" s="56" t="n">
        <v>2</v>
      </c>
      <c r="Q28" s="57" t="inlineStr">
        <is>
          <t>Occ</t>
        </is>
      </c>
      <c r="U28" s="58" t="n">
        <v>1200</v>
      </c>
      <c r="V28" s="58" t="n">
        <v>1146</v>
      </c>
      <c r="W28" s="58" t="n">
        <v>0</v>
      </c>
      <c r="X28" s="58" t="n">
        <v>0</v>
      </c>
      <c r="Y28" s="58" t="n">
        <v>0</v>
      </c>
      <c r="Z28" s="59" t="n">
        <v>43792</v>
      </c>
      <c r="AA28" s="59" t="n">
        <v>45992</v>
      </c>
      <c r="AB28" s="59" t="n">
        <v>46544</v>
      </c>
    </row>
    <row r="29">
      <c r="D29" s="36" t="inlineStr">
        <is>
          <t>Lyndon Crossings</t>
        </is>
      </c>
      <c r="E29" s="54" t="inlineStr">
        <is>
          <t>1209-4</t>
        </is>
      </c>
      <c r="F29" s="54" t="inlineStr">
        <is>
          <t>2x2-Parkwood</t>
        </is>
      </c>
      <c r="G29" s="54" t="inlineStr">
        <is>
          <t>2x2-Parkwood</t>
        </is>
      </c>
      <c r="K29" s="36" t="inlineStr">
        <is>
          <t>Purvis, Jason</t>
        </is>
      </c>
      <c r="L29" s="55" t="n">
        <v>964</v>
      </c>
      <c r="M29" s="56" t="n">
        <v>2</v>
      </c>
      <c r="N29" s="56" t="n">
        <v>2</v>
      </c>
      <c r="Q29" s="57" t="inlineStr">
        <is>
          <t>Occ</t>
        </is>
      </c>
      <c r="U29" s="58" t="n">
        <v>1200</v>
      </c>
      <c r="V29" s="58" t="n">
        <v>1212</v>
      </c>
      <c r="W29" s="58" t="n">
        <v>0</v>
      </c>
      <c r="X29" s="58" t="n">
        <v>0</v>
      </c>
      <c r="Y29" s="58" t="n">
        <v>0</v>
      </c>
      <c r="Z29" s="59" t="n">
        <v>45582</v>
      </c>
      <c r="AA29" s="59" t="n">
        <v>45962</v>
      </c>
      <c r="AB29" s="59" t="n">
        <v>46509</v>
      </c>
    </row>
    <row r="30">
      <c r="D30" s="36" t="inlineStr">
        <is>
          <t>Lyndon Crossings</t>
        </is>
      </c>
      <c r="E30" s="54" t="inlineStr">
        <is>
          <t>1209-5</t>
        </is>
      </c>
      <c r="F30" s="54" t="inlineStr">
        <is>
          <t>2x2-Gentry</t>
        </is>
      </c>
      <c r="G30" s="54" t="inlineStr">
        <is>
          <t>2x2-Gentry</t>
        </is>
      </c>
      <c r="K30" s="36" t="inlineStr">
        <is>
          <t>Powers, Neika</t>
        </is>
      </c>
      <c r="L30" s="55" t="n">
        <v>860</v>
      </c>
      <c r="M30" s="56" t="n">
        <v>2</v>
      </c>
      <c r="N30" s="56" t="n">
        <v>2</v>
      </c>
      <c r="Q30" s="57" t="inlineStr">
        <is>
          <t>Occ</t>
        </is>
      </c>
      <c r="U30" s="58" t="n">
        <v>1175</v>
      </c>
      <c r="V30" s="58" t="n">
        <v>1137</v>
      </c>
      <c r="W30" s="58" t="n">
        <v>0</v>
      </c>
      <c r="X30" s="58" t="n">
        <v>0</v>
      </c>
      <c r="Y30" s="58" t="n">
        <v>0</v>
      </c>
      <c r="Z30" s="59" t="n">
        <v>43586</v>
      </c>
      <c r="AA30" s="59" t="n">
        <v>45992</v>
      </c>
      <c r="AB30" s="59" t="n">
        <v>46362</v>
      </c>
    </row>
    <row r="31">
      <c r="D31" s="36" t="inlineStr">
        <is>
          <t>Lyndon Crossings</t>
        </is>
      </c>
      <c r="E31" s="54" t="inlineStr">
        <is>
          <t>1209-6</t>
        </is>
      </c>
      <c r="F31" s="54" t="inlineStr">
        <is>
          <t>2x2-Parkwood</t>
        </is>
      </c>
      <c r="G31" s="54" t="inlineStr">
        <is>
          <t>2x2-Parkwood</t>
        </is>
      </c>
      <c r="K31" s="36" t="inlineStr">
        <is>
          <t>Screen, Joseph</t>
        </is>
      </c>
      <c r="L31" s="55" t="n">
        <v>964</v>
      </c>
      <c r="M31" s="56" t="n">
        <v>2</v>
      </c>
      <c r="N31" s="56" t="n">
        <v>2</v>
      </c>
      <c r="Q31" s="57" t="inlineStr">
        <is>
          <t>Occ</t>
        </is>
      </c>
      <c r="U31" s="58" t="n">
        <v>1275</v>
      </c>
      <c r="V31" s="58" t="n">
        <v>1195</v>
      </c>
      <c r="W31" s="58" t="n">
        <v>0</v>
      </c>
      <c r="X31" s="58" t="n">
        <v>0</v>
      </c>
      <c r="Y31" s="58" t="n">
        <v>0</v>
      </c>
      <c r="Z31" s="59" t="n">
        <v>45804</v>
      </c>
      <c r="AA31" s="59" t="n">
        <v>46174</v>
      </c>
      <c r="AB31" s="59" t="n">
        <v>46600</v>
      </c>
    </row>
    <row r="32">
      <c r="D32" s="36" t="inlineStr">
        <is>
          <t>Lyndon Crossings</t>
        </is>
      </c>
      <c r="E32" s="54" t="inlineStr">
        <is>
          <t>1211-1</t>
        </is>
      </c>
      <c r="F32" s="54" t="inlineStr">
        <is>
          <t>2x2-Parkwood</t>
        </is>
      </c>
      <c r="G32" s="54" t="inlineStr">
        <is>
          <t>2x2-Parkwood</t>
        </is>
      </c>
      <c r="K32" s="36" t="inlineStr">
        <is>
          <t>Reasons, Justin</t>
        </is>
      </c>
      <c r="L32" s="55" t="n">
        <v>964</v>
      </c>
      <c r="M32" s="56" t="n">
        <v>2</v>
      </c>
      <c r="N32" s="56" t="n">
        <v>2</v>
      </c>
      <c r="Q32" s="57" t="inlineStr">
        <is>
          <t>Occ</t>
        </is>
      </c>
      <c r="U32" s="58" t="n">
        <v>1200</v>
      </c>
      <c r="V32" s="58" t="n">
        <v>1125</v>
      </c>
      <c r="W32" s="58" t="n">
        <v>0</v>
      </c>
      <c r="X32" s="58" t="n">
        <v>0</v>
      </c>
      <c r="Y32" s="58" t="n">
        <v>0</v>
      </c>
      <c r="Z32" s="59" t="n">
        <v>44470</v>
      </c>
      <c r="AA32" s="59" t="n">
        <v>45931</v>
      </c>
      <c r="AB32" s="59" t="n">
        <v>46481</v>
      </c>
    </row>
    <row r="33">
      <c r="D33" s="36" t="inlineStr">
        <is>
          <t>Lyndon Crossings</t>
        </is>
      </c>
      <c r="E33" s="54" t="inlineStr">
        <is>
          <t>1211-2</t>
        </is>
      </c>
      <c r="F33" s="54" t="inlineStr">
        <is>
          <t>2x2-Gentry</t>
        </is>
      </c>
      <c r="G33" s="54" t="inlineStr">
        <is>
          <t>2x2-Gentry</t>
        </is>
      </c>
      <c r="K33" s="36" t="inlineStr">
        <is>
          <t>Smith, Stuart</t>
        </is>
      </c>
      <c r="L33" s="55" t="n">
        <v>860</v>
      </c>
      <c r="M33" s="56" t="n">
        <v>2</v>
      </c>
      <c r="N33" s="56" t="n">
        <v>2</v>
      </c>
      <c r="Q33" s="57" t="inlineStr">
        <is>
          <t>Occ</t>
        </is>
      </c>
      <c r="U33" s="58" t="n">
        <v>1199</v>
      </c>
      <c r="V33" s="58" t="n">
        <v>1199</v>
      </c>
      <c r="W33" s="58" t="n">
        <v>0</v>
      </c>
      <c r="X33" s="58" t="n">
        <v>0</v>
      </c>
      <c r="Y33" s="58" t="n">
        <v>0</v>
      </c>
      <c r="Z33" s="59" t="n">
        <v>46157</v>
      </c>
      <c r="AA33" s="59" t="n">
        <v>46157</v>
      </c>
      <c r="AB33" s="59" t="n">
        <v>46586</v>
      </c>
    </row>
    <row r="34">
      <c r="D34" s="36" t="inlineStr">
        <is>
          <t>Lyndon Crossings</t>
        </is>
      </c>
      <c r="E34" s="54" t="inlineStr">
        <is>
          <t>1211-3</t>
        </is>
      </c>
      <c r="F34" s="54" t="inlineStr">
        <is>
          <t>2x2-Parkwood</t>
        </is>
      </c>
      <c r="G34" s="54" t="inlineStr">
        <is>
          <t>2x2-Parkwood</t>
        </is>
      </c>
      <c r="K34" s="36" t="inlineStr">
        <is>
          <t>Watson, Mhairi</t>
        </is>
      </c>
      <c r="L34" s="55" t="n">
        <v>964</v>
      </c>
      <c r="M34" s="56" t="n">
        <v>2</v>
      </c>
      <c r="N34" s="56" t="n">
        <v>2</v>
      </c>
      <c r="Q34" s="57" t="inlineStr">
        <is>
          <t>Occ</t>
        </is>
      </c>
      <c r="U34" s="58" t="n">
        <v>1221</v>
      </c>
      <c r="V34" s="58" t="n">
        <v>1296</v>
      </c>
      <c r="W34" s="58" t="n">
        <v>0</v>
      </c>
      <c r="X34" s="58" t="n">
        <v>0</v>
      </c>
      <c r="Y34" s="58" t="n">
        <v>0</v>
      </c>
      <c r="Z34" s="59" t="n">
        <v>45871</v>
      </c>
      <c r="AA34" s="59" t="n">
        <v>46237</v>
      </c>
      <c r="AB34" s="59" t="n">
        <v>46544</v>
      </c>
    </row>
    <row r="35">
      <c r="D35" s="36" t="inlineStr">
        <is>
          <t>Lyndon Crossings</t>
        </is>
      </c>
      <c r="E35" s="54" t="inlineStr">
        <is>
          <t>1211-4</t>
        </is>
      </c>
      <c r="F35" s="54" t="inlineStr">
        <is>
          <t>2x2-Parkwood</t>
        </is>
      </c>
      <c r="G35" s="54" t="inlineStr">
        <is>
          <t>2x2-Parkwood</t>
        </is>
      </c>
      <c r="K35" s="36" t="inlineStr">
        <is>
          <t>Selter, Aundrea</t>
        </is>
      </c>
      <c r="L35" s="55" t="n">
        <v>964</v>
      </c>
      <c r="M35" s="56" t="n">
        <v>2</v>
      </c>
      <c r="N35" s="56" t="n">
        <v>2</v>
      </c>
      <c r="Q35" s="57" t="inlineStr">
        <is>
          <t>Occ</t>
        </is>
      </c>
      <c r="U35" s="58" t="n">
        <v>1174</v>
      </c>
      <c r="V35" s="58" t="n">
        <v>1140</v>
      </c>
      <c r="W35" s="58" t="n">
        <v>0</v>
      </c>
      <c r="X35" s="58" t="n">
        <v>0</v>
      </c>
      <c r="Y35" s="58" t="n">
        <v>0</v>
      </c>
      <c r="Z35" s="59" t="n">
        <v>46118</v>
      </c>
      <c r="AA35" s="59" t="n">
        <v>46118</v>
      </c>
      <c r="AB35" s="59" t="n">
        <v>46607</v>
      </c>
    </row>
    <row r="36">
      <c r="D36" s="36" t="inlineStr">
        <is>
          <t>Lyndon Crossings</t>
        </is>
      </c>
      <c r="E36" s="54" t="inlineStr">
        <is>
          <t>1211-5</t>
        </is>
      </c>
      <c r="F36" s="54" t="inlineStr">
        <is>
          <t>2x2-Gentry</t>
        </is>
      </c>
      <c r="G36" s="54" t="inlineStr">
        <is>
          <t>2x2-Gentry</t>
        </is>
      </c>
      <c r="K36" s="36" t="inlineStr">
        <is>
          <t>Vacant</t>
        </is>
      </c>
      <c r="L36" s="55" t="n">
        <v>860</v>
      </c>
      <c r="M36" s="56" t="n">
        <v>2</v>
      </c>
      <c r="N36" s="56" t="n">
        <v>2</v>
      </c>
      <c r="Q36" s="57" t="inlineStr">
        <is>
          <t>Vac</t>
        </is>
      </c>
      <c r="U36" s="58" t="n">
        <v>1176</v>
      </c>
      <c r="V36" s="58" t="n">
        <v>0</v>
      </c>
      <c r="W36" s="58" t="n">
        <v>0</v>
      </c>
      <c r="X36" s="58" t="n">
        <v>0</v>
      </c>
      <c r="Y36" s="58" t="n">
        <v>0</v>
      </c>
    </row>
    <row r="37">
      <c r="D37" s="36" t="inlineStr">
        <is>
          <t>Lyndon Crossings</t>
        </is>
      </c>
      <c r="E37" s="54" t="inlineStr">
        <is>
          <t>1211-6</t>
        </is>
      </c>
      <c r="F37" s="54" t="inlineStr">
        <is>
          <t>2x2-Parkwood</t>
        </is>
      </c>
      <c r="G37" s="54" t="inlineStr">
        <is>
          <t>2x2-Parkwood</t>
        </is>
      </c>
      <c r="K37" s="36" t="inlineStr">
        <is>
          <t>Presley, Allen</t>
        </is>
      </c>
      <c r="L37" s="55" t="n">
        <v>964</v>
      </c>
      <c r="M37" s="56" t="n">
        <v>2</v>
      </c>
      <c r="N37" s="56" t="n">
        <v>2</v>
      </c>
      <c r="Q37" s="57" t="inlineStr">
        <is>
          <t>Occ</t>
        </is>
      </c>
      <c r="U37" s="58" t="n">
        <v>1200</v>
      </c>
      <c r="V37" s="58" t="n">
        <v>973</v>
      </c>
      <c r="W37" s="58" t="n">
        <v>0</v>
      </c>
      <c r="X37" s="58" t="n">
        <v>0</v>
      </c>
      <c r="Y37" s="58" t="n">
        <v>0</v>
      </c>
      <c r="Z37" s="59" t="n">
        <v>44348</v>
      </c>
      <c r="AA37" s="59" t="n">
        <v>45992</v>
      </c>
      <c r="AB37" s="59" t="n">
        <v>46544</v>
      </c>
    </row>
    <row r="38">
      <c r="D38" s="36" t="inlineStr">
        <is>
          <t>Lyndon Crossings</t>
        </is>
      </c>
      <c r="E38" s="54" t="inlineStr">
        <is>
          <t>1212-1</t>
        </is>
      </c>
      <c r="F38" s="54" t="inlineStr">
        <is>
          <t>2x2-Parkwood</t>
        </is>
      </c>
      <c r="G38" s="54" t="inlineStr">
        <is>
          <t>2x2-Parkwood</t>
        </is>
      </c>
      <c r="K38" s="36" t="inlineStr">
        <is>
          <t>Johnson, Marvet</t>
        </is>
      </c>
      <c r="L38" s="55" t="n">
        <v>964</v>
      </c>
      <c r="M38" s="56" t="n">
        <v>2</v>
      </c>
      <c r="N38" s="56" t="n">
        <v>2</v>
      </c>
      <c r="Q38" s="57" t="inlineStr">
        <is>
          <t>Occ</t>
        </is>
      </c>
      <c r="U38" s="58" t="n">
        <v>1200</v>
      </c>
      <c r="V38" s="58" t="n">
        <v>1131</v>
      </c>
      <c r="W38" s="58" t="n">
        <v>0</v>
      </c>
      <c r="X38" s="58" t="n">
        <v>0</v>
      </c>
      <c r="Y38" s="58" t="n">
        <v>0</v>
      </c>
      <c r="Z38" s="59" t="n">
        <v>44228</v>
      </c>
      <c r="AA38" s="59" t="n">
        <v>46146</v>
      </c>
      <c r="AB38" s="59" t="n">
        <v>46516</v>
      </c>
    </row>
    <row r="39">
      <c r="D39" s="36" t="inlineStr">
        <is>
          <t>Lyndon Crossings</t>
        </is>
      </c>
      <c r="E39" s="54" t="inlineStr">
        <is>
          <t>1212-2</t>
        </is>
      </c>
      <c r="F39" s="54" t="inlineStr">
        <is>
          <t>2x2-Gentry</t>
        </is>
      </c>
      <c r="G39" s="54" t="inlineStr">
        <is>
          <t>2x2-Gentry</t>
        </is>
      </c>
      <c r="K39" s="36" t="inlineStr">
        <is>
          <t>Russell, Marie</t>
        </is>
      </c>
      <c r="L39" s="55" t="n">
        <v>860</v>
      </c>
      <c r="M39" s="56" t="n">
        <v>2</v>
      </c>
      <c r="N39" s="56" t="n">
        <v>2</v>
      </c>
      <c r="Q39" s="57" t="inlineStr">
        <is>
          <t>Occ</t>
        </is>
      </c>
      <c r="U39" s="58" t="n">
        <v>1175</v>
      </c>
      <c r="V39" s="58" t="n">
        <v>1096</v>
      </c>
      <c r="W39" s="58" t="n">
        <v>0</v>
      </c>
      <c r="X39" s="58" t="n">
        <v>0</v>
      </c>
      <c r="Y39" s="58" t="n">
        <v>0</v>
      </c>
      <c r="Z39" s="59" t="n">
        <v>45199</v>
      </c>
      <c r="AA39" s="59" t="n">
        <v>45931</v>
      </c>
      <c r="AB39" s="59" t="n">
        <v>46481</v>
      </c>
    </row>
    <row r="40">
      <c r="D40" s="36" t="inlineStr">
        <is>
          <t>Lyndon Crossings</t>
        </is>
      </c>
      <c r="E40" s="54" t="inlineStr">
        <is>
          <t>1212-3</t>
        </is>
      </c>
      <c r="F40" s="54" t="inlineStr">
        <is>
          <t>2x2-Parkwood</t>
        </is>
      </c>
      <c r="G40" s="54" t="inlineStr">
        <is>
          <t>2x2-Parkwood</t>
        </is>
      </c>
      <c r="K40" s="36" t="inlineStr">
        <is>
          <t>Culp, Bethany</t>
        </is>
      </c>
      <c r="L40" s="55" t="n">
        <v>964</v>
      </c>
      <c r="M40" s="56" t="n">
        <v>2</v>
      </c>
      <c r="N40" s="56" t="n">
        <v>2</v>
      </c>
      <c r="Q40" s="57" t="inlineStr">
        <is>
          <t>Occ</t>
        </is>
      </c>
      <c r="U40" s="58" t="n">
        <v>1235</v>
      </c>
      <c r="V40" s="58" t="n">
        <v>1184</v>
      </c>
      <c r="W40" s="58" t="n">
        <v>0</v>
      </c>
      <c r="X40" s="58" t="n">
        <v>0</v>
      </c>
      <c r="Y40" s="58" t="n">
        <v>0</v>
      </c>
      <c r="Z40" s="59" t="n">
        <v>45976</v>
      </c>
      <c r="AA40" s="59" t="n">
        <v>45976</v>
      </c>
      <c r="AB40" s="59" t="n">
        <v>46523</v>
      </c>
    </row>
    <row r="41">
      <c r="D41" s="36" t="inlineStr">
        <is>
          <t>Lyndon Crossings</t>
        </is>
      </c>
      <c r="E41" s="54" t="inlineStr">
        <is>
          <t>1212-4</t>
        </is>
      </c>
      <c r="F41" s="54" t="inlineStr">
        <is>
          <t>2x2-Parkwood</t>
        </is>
      </c>
      <c r="G41" s="54" t="inlineStr">
        <is>
          <t>2x2-Parkwood</t>
        </is>
      </c>
      <c r="K41" s="36" t="inlineStr">
        <is>
          <t>Accuardi, John</t>
        </is>
      </c>
      <c r="L41" s="55" t="n">
        <v>964</v>
      </c>
      <c r="M41" s="56" t="n">
        <v>2</v>
      </c>
      <c r="N41" s="56" t="n">
        <v>2</v>
      </c>
      <c r="Q41" s="57" t="inlineStr">
        <is>
          <t>Occ</t>
        </is>
      </c>
      <c r="U41" s="58" t="n">
        <v>1200</v>
      </c>
      <c r="V41" s="58" t="n">
        <v>1200</v>
      </c>
      <c r="W41" s="58" t="n">
        <v>0</v>
      </c>
      <c r="X41" s="58" t="n">
        <v>0</v>
      </c>
      <c r="Y41" s="58" t="n">
        <v>0</v>
      </c>
      <c r="Z41" s="59" t="n">
        <v>43957</v>
      </c>
      <c r="AA41" s="59" t="n">
        <v>46113</v>
      </c>
      <c r="AB41" s="59" t="n">
        <v>46635</v>
      </c>
    </row>
    <row r="42">
      <c r="D42" s="36" t="inlineStr">
        <is>
          <t>Lyndon Crossings</t>
        </is>
      </c>
      <c r="E42" s="54" t="inlineStr">
        <is>
          <t>1212-5</t>
        </is>
      </c>
      <c r="F42" s="54" t="inlineStr">
        <is>
          <t>2x2-Gentry</t>
        </is>
      </c>
      <c r="G42" s="54" t="inlineStr">
        <is>
          <t>2x2-Gentry</t>
        </is>
      </c>
      <c r="K42" s="36" t="inlineStr">
        <is>
          <t>Swanson, Brandon</t>
        </is>
      </c>
      <c r="L42" s="55" t="n">
        <v>860</v>
      </c>
      <c r="M42" s="56" t="n">
        <v>2</v>
      </c>
      <c r="N42" s="56" t="n">
        <v>2</v>
      </c>
      <c r="Q42" s="57" t="inlineStr">
        <is>
          <t>Occ</t>
        </is>
      </c>
      <c r="U42" s="58" t="n">
        <v>1175</v>
      </c>
      <c r="V42" s="58" t="n">
        <v>1178</v>
      </c>
      <c r="W42" s="58" t="n">
        <v>0</v>
      </c>
      <c r="X42" s="58" t="n">
        <v>0</v>
      </c>
      <c r="Y42" s="58" t="n">
        <v>0</v>
      </c>
      <c r="Z42" s="59" t="n">
        <v>43980</v>
      </c>
      <c r="AA42" s="59" t="n">
        <v>46174</v>
      </c>
      <c r="AB42" s="59" t="n">
        <v>46635</v>
      </c>
    </row>
    <row r="43">
      <c r="D43" s="36" t="inlineStr">
        <is>
          <t>Lyndon Crossings</t>
        </is>
      </c>
      <c r="E43" s="54" t="inlineStr">
        <is>
          <t>1212-6</t>
        </is>
      </c>
      <c r="F43" s="54" t="inlineStr">
        <is>
          <t>2x2-Parkwood</t>
        </is>
      </c>
      <c r="G43" s="54" t="inlineStr">
        <is>
          <t>2x2-Parkwood</t>
        </is>
      </c>
      <c r="K43" s="36" t="inlineStr">
        <is>
          <t>Green, Latania</t>
        </is>
      </c>
      <c r="L43" s="55" t="n">
        <v>964</v>
      </c>
      <c r="M43" s="56" t="n">
        <v>2</v>
      </c>
      <c r="N43" s="56" t="n">
        <v>2</v>
      </c>
      <c r="Q43" s="57" t="inlineStr">
        <is>
          <t>Occ</t>
        </is>
      </c>
      <c r="U43" s="58" t="n">
        <v>1206</v>
      </c>
      <c r="V43" s="58" t="n">
        <v>1206</v>
      </c>
      <c r="W43" s="58" t="n">
        <v>0</v>
      </c>
      <c r="X43" s="58" t="n">
        <v>0</v>
      </c>
      <c r="Y43" s="58" t="n">
        <v>0</v>
      </c>
      <c r="Z43" s="59" t="n">
        <v>46155</v>
      </c>
      <c r="AA43" s="59" t="n">
        <v>46155</v>
      </c>
      <c r="AB43" s="59" t="n">
        <v>46586</v>
      </c>
    </row>
    <row r="44">
      <c r="D44" s="36" t="inlineStr">
        <is>
          <t>Lyndon Crossings</t>
        </is>
      </c>
      <c r="E44" s="54" t="inlineStr">
        <is>
          <t>1213-1</t>
        </is>
      </c>
      <c r="F44" s="54" t="inlineStr">
        <is>
          <t>2x2-Parkwood</t>
        </is>
      </c>
      <c r="G44" s="54" t="inlineStr">
        <is>
          <t>2x2-Parkwood</t>
        </is>
      </c>
      <c r="K44" s="36" t="inlineStr">
        <is>
          <t>lockard, catherine</t>
        </is>
      </c>
      <c r="L44" s="55" t="n">
        <v>964</v>
      </c>
      <c r="M44" s="56" t="n">
        <v>2</v>
      </c>
      <c r="N44" s="56" t="n">
        <v>2</v>
      </c>
      <c r="Q44" s="57" t="inlineStr">
        <is>
          <t>Occ</t>
        </is>
      </c>
      <c r="U44" s="58" t="n">
        <v>1256</v>
      </c>
      <c r="V44" s="58" t="n">
        <v>1298</v>
      </c>
      <c r="W44" s="58" t="n">
        <v>0</v>
      </c>
      <c r="X44" s="58" t="n">
        <v>0</v>
      </c>
      <c r="Y44" s="58" t="n">
        <v>0</v>
      </c>
      <c r="Z44" s="59" t="n">
        <v>46248</v>
      </c>
      <c r="AA44" s="59" t="n">
        <v>46248</v>
      </c>
      <c r="AB44" s="59" t="n">
        <v>46796</v>
      </c>
    </row>
    <row r="45">
      <c r="D45" s="36" t="inlineStr">
        <is>
          <t>Lyndon Crossings</t>
        </is>
      </c>
      <c r="E45" s="54" t="inlineStr">
        <is>
          <t>1213-2</t>
        </is>
      </c>
      <c r="F45" s="54" t="inlineStr">
        <is>
          <t>2x2-Gentry</t>
        </is>
      </c>
      <c r="G45" s="54" t="inlineStr">
        <is>
          <t>2x2-Gentry</t>
        </is>
      </c>
      <c r="K45" s="36" t="inlineStr">
        <is>
          <t>Vacant</t>
        </is>
      </c>
      <c r="L45" s="55" t="n">
        <v>860</v>
      </c>
      <c r="M45" s="56" t="n">
        <v>2</v>
      </c>
      <c r="N45" s="56" t="n">
        <v>2</v>
      </c>
      <c r="Q45" s="57" t="inlineStr">
        <is>
          <t>Vac</t>
        </is>
      </c>
      <c r="U45" s="58" t="n">
        <v>1176</v>
      </c>
      <c r="V45" s="58" t="n">
        <v>0</v>
      </c>
      <c r="W45" s="58" t="n">
        <v>0</v>
      </c>
      <c r="X45" s="58" t="n">
        <v>0</v>
      </c>
      <c r="Y45" s="58" t="n">
        <v>0</v>
      </c>
    </row>
    <row r="46">
      <c r="D46" s="36" t="inlineStr">
        <is>
          <t>Lyndon Crossings</t>
        </is>
      </c>
      <c r="E46" s="54" t="inlineStr">
        <is>
          <t>1213-3</t>
        </is>
      </c>
      <c r="F46" s="54" t="inlineStr">
        <is>
          <t>2x2-Parkwood</t>
        </is>
      </c>
      <c r="G46" s="54" t="inlineStr">
        <is>
          <t>2x2-Parkwood</t>
        </is>
      </c>
      <c r="K46" s="36" t="inlineStr">
        <is>
          <t>Kelly, John</t>
        </is>
      </c>
      <c r="L46" s="55" t="n">
        <v>964</v>
      </c>
      <c r="M46" s="56" t="n">
        <v>2</v>
      </c>
      <c r="N46" s="56" t="n">
        <v>2</v>
      </c>
      <c r="Q46" s="57" t="inlineStr">
        <is>
          <t>Occ</t>
        </is>
      </c>
      <c r="U46" s="58" t="n">
        <v>1225</v>
      </c>
      <c r="V46" s="58" t="n">
        <v>1226</v>
      </c>
      <c r="W46" s="58" t="n">
        <v>0</v>
      </c>
      <c r="X46" s="58" t="n">
        <v>0</v>
      </c>
      <c r="Y46" s="58" t="n">
        <v>0</v>
      </c>
      <c r="Z46" s="59" t="n">
        <v>46218</v>
      </c>
      <c r="AA46" s="59" t="n">
        <v>46218</v>
      </c>
      <c r="AB46" s="59" t="n">
        <v>46495</v>
      </c>
    </row>
    <row r="47">
      <c r="D47" s="36" t="inlineStr">
        <is>
          <t>Lyndon Crossings</t>
        </is>
      </c>
      <c r="E47" s="54" t="inlineStr">
        <is>
          <t>1213-4</t>
        </is>
      </c>
      <c r="F47" s="54" t="inlineStr">
        <is>
          <t>2x2-Parkwood</t>
        </is>
      </c>
      <c r="G47" s="54" t="inlineStr">
        <is>
          <t>2x2-Parkwood</t>
        </is>
      </c>
      <c r="K47" s="36" t="inlineStr">
        <is>
          <t>Anderson, Cristopher</t>
        </is>
      </c>
      <c r="L47" s="55" t="n">
        <v>964</v>
      </c>
      <c r="M47" s="56" t="n">
        <v>2</v>
      </c>
      <c r="N47" s="56" t="n">
        <v>2</v>
      </c>
      <c r="Q47" s="57" t="inlineStr">
        <is>
          <t>Occ</t>
        </is>
      </c>
      <c r="U47" s="58" t="n">
        <v>1155</v>
      </c>
      <c r="V47" s="58" t="n">
        <v>1152</v>
      </c>
      <c r="W47" s="58" t="n">
        <v>0</v>
      </c>
      <c r="X47" s="58" t="n">
        <v>0</v>
      </c>
      <c r="Y47" s="58" t="n">
        <v>0</v>
      </c>
      <c r="Z47" s="59" t="n">
        <v>46129</v>
      </c>
      <c r="AA47" s="59" t="n">
        <v>46129</v>
      </c>
      <c r="AB47" s="59" t="n">
        <v>46621</v>
      </c>
    </row>
    <row r="48">
      <c r="D48" s="36" t="inlineStr">
        <is>
          <t>Lyndon Crossings</t>
        </is>
      </c>
      <c r="E48" s="54" t="inlineStr">
        <is>
          <t>1213-5</t>
        </is>
      </c>
      <c r="F48" s="54" t="inlineStr">
        <is>
          <t>2x2-Gentry</t>
        </is>
      </c>
      <c r="G48" s="54" t="inlineStr">
        <is>
          <t>2x2-Gentry</t>
        </is>
      </c>
      <c r="K48" s="36" t="inlineStr">
        <is>
          <t>Vuolo, Matthew</t>
        </is>
      </c>
      <c r="L48" s="55" t="n">
        <v>860</v>
      </c>
      <c r="M48" s="56" t="n">
        <v>2</v>
      </c>
      <c r="N48" s="56" t="n">
        <v>2</v>
      </c>
      <c r="Q48" s="57" t="inlineStr">
        <is>
          <t>Occ</t>
        </is>
      </c>
      <c r="U48" s="58" t="n">
        <v>1305</v>
      </c>
      <c r="V48" s="58" t="n">
        <v>1176</v>
      </c>
      <c r="W48" s="58" t="n">
        <v>0</v>
      </c>
      <c r="X48" s="58" t="n">
        <v>0</v>
      </c>
      <c r="Y48" s="58" t="n">
        <v>0</v>
      </c>
      <c r="Z48" s="59" t="n">
        <v>45884</v>
      </c>
      <c r="AA48" s="59" t="n">
        <v>46251</v>
      </c>
      <c r="AB48" s="59" t="n">
        <v>46649</v>
      </c>
    </row>
    <row r="49">
      <c r="D49" s="36" t="inlineStr">
        <is>
          <t>Lyndon Crossings</t>
        </is>
      </c>
      <c r="E49" s="54" t="inlineStr">
        <is>
          <t>1213-6</t>
        </is>
      </c>
      <c r="F49" s="54" t="inlineStr">
        <is>
          <t>2x2-Parkwood</t>
        </is>
      </c>
      <c r="G49" s="54" t="inlineStr">
        <is>
          <t>2x2-Parkwood</t>
        </is>
      </c>
      <c r="K49" s="36" t="inlineStr">
        <is>
          <t>Goodman EMPLOYEE, Lorie</t>
        </is>
      </c>
      <c r="L49" s="55" t="n">
        <v>964</v>
      </c>
      <c r="M49" s="56" t="n">
        <v>2</v>
      </c>
      <c r="N49" s="56" t="n">
        <v>2</v>
      </c>
      <c r="Q49" s="57" t="inlineStr">
        <is>
          <t>Occ</t>
        </is>
      </c>
      <c r="U49" s="58" t="n">
        <v>1364</v>
      </c>
      <c r="V49" s="58" t="n">
        <v>1215</v>
      </c>
      <c r="W49" s="58" t="n">
        <v>0</v>
      </c>
      <c r="X49" s="58" t="n">
        <v>0</v>
      </c>
      <c r="Y49" s="58" t="n">
        <v>0</v>
      </c>
      <c r="Z49" s="59" t="n">
        <v>45966</v>
      </c>
      <c r="AA49" s="59" t="n">
        <v>45966</v>
      </c>
      <c r="AB49" s="59" t="n">
        <v>46516</v>
      </c>
    </row>
    <row r="50">
      <c r="D50" s="36" t="inlineStr">
        <is>
          <t>Lyndon Crossings</t>
        </is>
      </c>
      <c r="E50" s="54" t="inlineStr">
        <is>
          <t>1215-1</t>
        </is>
      </c>
      <c r="F50" s="54" t="inlineStr">
        <is>
          <t>2x2-Parkwood</t>
        </is>
      </c>
      <c r="G50" s="54" t="inlineStr">
        <is>
          <t>2x2-Parkwood</t>
        </is>
      </c>
      <c r="K50" s="36" t="inlineStr">
        <is>
          <t>Riesen, Evan</t>
        </is>
      </c>
      <c r="L50" s="55" t="n">
        <v>964</v>
      </c>
      <c r="M50" s="56" t="n">
        <v>2</v>
      </c>
      <c r="N50" s="56" t="n">
        <v>2</v>
      </c>
      <c r="Q50" s="57" t="inlineStr">
        <is>
          <t>Occ</t>
        </is>
      </c>
      <c r="U50" s="58" t="n">
        <v>1099</v>
      </c>
      <c r="V50" s="58" t="n">
        <v>1099</v>
      </c>
      <c r="W50" s="58" t="n">
        <v>0</v>
      </c>
      <c r="X50" s="58" t="n">
        <v>0</v>
      </c>
      <c r="Y50" s="58" t="n">
        <v>0</v>
      </c>
      <c r="Z50" s="59" t="n">
        <v>46102</v>
      </c>
      <c r="AA50" s="59" t="n">
        <v>46102</v>
      </c>
      <c r="AB50" s="59" t="n">
        <v>46593</v>
      </c>
    </row>
    <row r="51">
      <c r="D51" s="36" t="inlineStr">
        <is>
          <t>Lyndon Crossings</t>
        </is>
      </c>
      <c r="E51" s="54" t="inlineStr">
        <is>
          <t>1215-2</t>
        </is>
      </c>
      <c r="F51" s="54" t="inlineStr">
        <is>
          <t>2x2-Gentry</t>
        </is>
      </c>
      <c r="G51" s="54" t="inlineStr">
        <is>
          <t>2x2-Gentry</t>
        </is>
      </c>
      <c r="K51" s="36" t="inlineStr">
        <is>
          <t>Bennett, Octavia</t>
        </is>
      </c>
      <c r="L51" s="55" t="n">
        <v>860</v>
      </c>
      <c r="M51" s="56" t="n">
        <v>2</v>
      </c>
      <c r="N51" s="56" t="n">
        <v>2</v>
      </c>
      <c r="Q51" s="57" t="inlineStr">
        <is>
          <t>Occ</t>
        </is>
      </c>
      <c r="U51" s="58" t="n">
        <v>1175</v>
      </c>
      <c r="V51" s="58" t="n">
        <v>1198</v>
      </c>
      <c r="W51" s="58" t="n">
        <v>0</v>
      </c>
      <c r="X51" s="58" t="n">
        <v>0</v>
      </c>
      <c r="Y51" s="58" t="n">
        <v>0</v>
      </c>
      <c r="Z51" s="59" t="n">
        <v>45422</v>
      </c>
      <c r="AA51" s="59" t="n">
        <v>46174</v>
      </c>
      <c r="AB51" s="59" t="n">
        <v>46635</v>
      </c>
    </row>
    <row r="52">
      <c r="D52" s="36" t="inlineStr">
        <is>
          <t>Lyndon Crossings</t>
        </is>
      </c>
      <c r="E52" s="54" t="inlineStr">
        <is>
          <t>1215-3</t>
        </is>
      </c>
      <c r="F52" s="54" t="inlineStr">
        <is>
          <t>2x2-Parkwood</t>
        </is>
      </c>
      <c r="G52" s="54" t="inlineStr">
        <is>
          <t>2x2-Parkwood</t>
        </is>
      </c>
      <c r="K52" s="36" t="inlineStr">
        <is>
          <t>Wyatt, Daquan</t>
        </is>
      </c>
      <c r="L52" s="55" t="n">
        <v>964</v>
      </c>
      <c r="M52" s="56" t="n">
        <v>2</v>
      </c>
      <c r="N52" s="56" t="n">
        <v>2</v>
      </c>
      <c r="Q52" s="57" t="inlineStr">
        <is>
          <t>Occ</t>
        </is>
      </c>
      <c r="U52" s="58" t="n">
        <v>1233</v>
      </c>
      <c r="V52" s="58" t="n">
        <v>1150</v>
      </c>
      <c r="W52" s="58" t="n">
        <v>0</v>
      </c>
      <c r="X52" s="58" t="n">
        <v>0</v>
      </c>
      <c r="Y52" s="58" t="n">
        <v>0</v>
      </c>
      <c r="Z52" s="59" t="n">
        <v>45973</v>
      </c>
      <c r="AA52" s="59" t="n">
        <v>45973</v>
      </c>
      <c r="AB52" s="59" t="n">
        <v>46523</v>
      </c>
    </row>
    <row r="53">
      <c r="D53" s="36" t="inlineStr">
        <is>
          <t>Lyndon Crossings</t>
        </is>
      </c>
      <c r="E53" s="54" t="inlineStr">
        <is>
          <t>1215-4</t>
        </is>
      </c>
      <c r="F53" s="54" t="inlineStr">
        <is>
          <t>2x2-Parkwood</t>
        </is>
      </c>
      <c r="G53" s="54" t="inlineStr">
        <is>
          <t>2x2-Parkwood</t>
        </is>
      </c>
      <c r="K53" s="36" t="inlineStr">
        <is>
          <t>Thomas, Kobe</t>
        </is>
      </c>
      <c r="L53" s="55" t="n">
        <v>964</v>
      </c>
      <c r="M53" s="56" t="n">
        <v>2</v>
      </c>
      <c r="N53" s="56" t="n">
        <v>2</v>
      </c>
      <c r="Q53" s="57" t="inlineStr">
        <is>
          <t>Occ</t>
        </is>
      </c>
      <c r="U53" s="58" t="n">
        <v>1200</v>
      </c>
      <c r="V53" s="58" t="n">
        <v>1228</v>
      </c>
      <c r="W53" s="58" t="n">
        <v>0</v>
      </c>
      <c r="X53" s="58" t="n">
        <v>0</v>
      </c>
      <c r="Y53" s="58" t="n">
        <v>0</v>
      </c>
      <c r="Z53" s="59" t="n">
        <v>45819</v>
      </c>
      <c r="AA53" s="59" t="n">
        <v>46188</v>
      </c>
      <c r="AB53" s="59" t="n">
        <v>46558</v>
      </c>
    </row>
    <row r="54">
      <c r="D54" s="36" t="inlineStr">
        <is>
          <t>Lyndon Crossings</t>
        </is>
      </c>
      <c r="E54" s="54" t="inlineStr">
        <is>
          <t>1215-5</t>
        </is>
      </c>
      <c r="F54" s="54" t="inlineStr">
        <is>
          <t>2x2-Gentry</t>
        </is>
      </c>
      <c r="G54" s="54" t="inlineStr">
        <is>
          <t>2x2-Gentry</t>
        </is>
      </c>
      <c r="K54" s="36" t="inlineStr">
        <is>
          <t>Vacant</t>
        </is>
      </c>
      <c r="L54" s="55" t="n">
        <v>860</v>
      </c>
      <c r="M54" s="56" t="n">
        <v>2</v>
      </c>
      <c r="N54" s="56" t="n">
        <v>2</v>
      </c>
      <c r="Q54" s="57" t="inlineStr">
        <is>
          <t>Vac</t>
        </is>
      </c>
      <c r="U54" s="58" t="n">
        <v>1176</v>
      </c>
      <c r="V54" s="58" t="n">
        <v>0</v>
      </c>
      <c r="W54" s="58" t="n">
        <v>0</v>
      </c>
      <c r="X54" s="58" t="n">
        <v>0</v>
      </c>
      <c r="Y54" s="58" t="n">
        <v>0</v>
      </c>
    </row>
    <row r="55">
      <c r="D55" s="36" t="inlineStr">
        <is>
          <t>Lyndon Crossings</t>
        </is>
      </c>
      <c r="E55" s="54" t="inlineStr">
        <is>
          <t>1215-6</t>
        </is>
      </c>
      <c r="F55" s="54" t="inlineStr">
        <is>
          <t>2x2-Parkwood</t>
        </is>
      </c>
      <c r="G55" s="54" t="inlineStr">
        <is>
          <t>2x2-Parkwood</t>
        </is>
      </c>
      <c r="K55" s="36" t="inlineStr">
        <is>
          <t>Smith, Morgan</t>
        </is>
      </c>
      <c r="L55" s="55" t="n">
        <v>964</v>
      </c>
      <c r="M55" s="56" t="n">
        <v>2</v>
      </c>
      <c r="N55" s="56" t="n">
        <v>2</v>
      </c>
      <c r="Q55" s="57" t="inlineStr">
        <is>
          <t>Occ</t>
        </is>
      </c>
      <c r="U55" s="58" t="n">
        <v>1271</v>
      </c>
      <c r="V55" s="58" t="n">
        <v>1099</v>
      </c>
      <c r="W55" s="58" t="n">
        <v>0</v>
      </c>
      <c r="X55" s="58" t="n">
        <v>0</v>
      </c>
      <c r="Y55" s="58" t="n">
        <v>0</v>
      </c>
      <c r="Z55" s="59" t="n">
        <v>45919</v>
      </c>
      <c r="AA55" s="59" t="n">
        <v>45919</v>
      </c>
      <c r="AB55" s="59" t="n">
        <v>46467</v>
      </c>
    </row>
    <row r="56">
      <c r="D56" s="36" t="inlineStr">
        <is>
          <t>Lyndon Crossings</t>
        </is>
      </c>
      <c r="E56" s="54" t="inlineStr">
        <is>
          <t>8600-1</t>
        </is>
      </c>
      <c r="F56" s="54" t="inlineStr">
        <is>
          <t>2x2-Parkwood</t>
        </is>
      </c>
      <c r="G56" s="54" t="inlineStr">
        <is>
          <t>2x2-Parkwood</t>
        </is>
      </c>
      <c r="K56" s="36" t="inlineStr">
        <is>
          <t>Howser, Lisa</t>
        </is>
      </c>
      <c r="L56" s="55" t="n">
        <v>964</v>
      </c>
      <c r="M56" s="56" t="n">
        <v>2</v>
      </c>
      <c r="N56" s="56" t="n">
        <v>2</v>
      </c>
      <c r="Q56" s="57" t="inlineStr">
        <is>
          <t>Occ</t>
        </is>
      </c>
      <c r="U56" s="58" t="n">
        <v>1200</v>
      </c>
      <c r="V56" s="58" t="n">
        <v>1172</v>
      </c>
      <c r="W56" s="58" t="n">
        <v>0</v>
      </c>
      <c r="X56" s="58" t="n">
        <v>0</v>
      </c>
      <c r="Y56" s="58" t="n">
        <v>0</v>
      </c>
      <c r="Z56" s="59" t="n">
        <v>44002</v>
      </c>
      <c r="AA56" s="59" t="n">
        <v>46209</v>
      </c>
      <c r="AB56" s="59" t="n">
        <v>46579</v>
      </c>
    </row>
    <row r="57">
      <c r="D57" s="36" t="inlineStr">
        <is>
          <t>Lyndon Crossings</t>
        </is>
      </c>
      <c r="E57" s="54" t="inlineStr">
        <is>
          <t>8600-2</t>
        </is>
      </c>
      <c r="F57" s="54" t="inlineStr">
        <is>
          <t>2x2-Gentry</t>
        </is>
      </c>
      <c r="G57" s="54" t="inlineStr">
        <is>
          <t>2x2-Gentry</t>
        </is>
      </c>
      <c r="K57" s="36" t="inlineStr">
        <is>
          <t>Williams, Candice</t>
        </is>
      </c>
      <c r="L57" s="55" t="n">
        <v>860</v>
      </c>
      <c r="M57" s="56" t="n">
        <v>2</v>
      </c>
      <c r="N57" s="56" t="n">
        <v>2</v>
      </c>
      <c r="Q57" s="57" t="inlineStr">
        <is>
          <t>Occ</t>
        </is>
      </c>
      <c r="U57" s="58" t="n">
        <v>1151</v>
      </c>
      <c r="V57" s="58" t="n">
        <v>1151</v>
      </c>
      <c r="W57" s="58" t="n">
        <v>0</v>
      </c>
      <c r="X57" s="58" t="n">
        <v>0</v>
      </c>
      <c r="Y57" s="58" t="n">
        <v>0</v>
      </c>
      <c r="Z57" s="59" t="n">
        <v>46185</v>
      </c>
      <c r="AA57" s="59" t="n">
        <v>46185</v>
      </c>
      <c r="AB57" s="59" t="n">
        <v>46551</v>
      </c>
    </row>
    <row r="58">
      <c r="D58" s="36" t="inlineStr">
        <is>
          <t>Lyndon Crossings</t>
        </is>
      </c>
      <c r="E58" s="54" t="inlineStr">
        <is>
          <t>8600-3</t>
        </is>
      </c>
      <c r="F58" s="54" t="inlineStr">
        <is>
          <t>2x2-Parkwood</t>
        </is>
      </c>
      <c r="G58" s="54" t="inlineStr">
        <is>
          <t>2x2-Parkwood</t>
        </is>
      </c>
      <c r="K58" s="36" t="inlineStr">
        <is>
          <t>Pineda, Drew</t>
        </is>
      </c>
      <c r="L58" s="55" t="n">
        <v>964</v>
      </c>
      <c r="M58" s="56" t="n">
        <v>2</v>
      </c>
      <c r="N58" s="56" t="n">
        <v>2</v>
      </c>
      <c r="Q58" s="57" t="inlineStr">
        <is>
          <t>Occ</t>
        </is>
      </c>
      <c r="U58" s="58" t="n">
        <v>1233</v>
      </c>
      <c r="V58" s="58" t="n">
        <v>1290</v>
      </c>
      <c r="W58" s="58" t="n">
        <v>0</v>
      </c>
      <c r="X58" s="58" t="n">
        <v>0</v>
      </c>
      <c r="Y58" s="58" t="n">
        <v>0</v>
      </c>
      <c r="Z58" s="59" t="n">
        <v>45976</v>
      </c>
      <c r="AA58" s="59" t="n">
        <v>45976</v>
      </c>
      <c r="AB58" s="59" t="n">
        <v>46285</v>
      </c>
    </row>
    <row r="59">
      <c r="D59" s="36" t="inlineStr">
        <is>
          <t>Lyndon Crossings</t>
        </is>
      </c>
      <c r="E59" s="54" t="inlineStr">
        <is>
          <t>8600-4</t>
        </is>
      </c>
      <c r="F59" s="54" t="inlineStr">
        <is>
          <t>2x2-Parkwood</t>
        </is>
      </c>
      <c r="G59" s="54" t="inlineStr">
        <is>
          <t>2x2-Parkwood</t>
        </is>
      </c>
      <c r="K59" s="36" t="inlineStr">
        <is>
          <t>Barker, Tavarius</t>
        </is>
      </c>
      <c r="L59" s="55" t="n">
        <v>964</v>
      </c>
      <c r="M59" s="56" t="n">
        <v>2</v>
      </c>
      <c r="N59" s="56" t="n">
        <v>2</v>
      </c>
      <c r="Q59" s="57" t="inlineStr">
        <is>
          <t>Occ</t>
        </is>
      </c>
      <c r="U59" s="58" t="n">
        <v>1263</v>
      </c>
      <c r="V59" s="58" t="n">
        <v>1128</v>
      </c>
      <c r="W59" s="58" t="n">
        <v>0</v>
      </c>
      <c r="X59" s="58" t="n">
        <v>0</v>
      </c>
      <c r="Y59" s="58" t="n">
        <v>0</v>
      </c>
      <c r="Z59" s="59" t="n">
        <v>45952</v>
      </c>
      <c r="AA59" s="59" t="n">
        <v>45952</v>
      </c>
      <c r="AB59" s="59" t="n">
        <v>46502</v>
      </c>
    </row>
    <row r="60">
      <c r="D60" s="36" t="inlineStr">
        <is>
          <t>Lyndon Crossings</t>
        </is>
      </c>
      <c r="E60" s="54" t="inlineStr">
        <is>
          <t>8600-5</t>
        </is>
      </c>
      <c r="F60" s="54" t="inlineStr">
        <is>
          <t>2x2-Gentry</t>
        </is>
      </c>
      <c r="G60" s="54" t="inlineStr">
        <is>
          <t>2x2-Gentry</t>
        </is>
      </c>
      <c r="K60" s="36" t="inlineStr">
        <is>
          <t>Green, Elaine</t>
        </is>
      </c>
      <c r="L60" s="55" t="n">
        <v>860</v>
      </c>
      <c r="M60" s="56" t="n">
        <v>2</v>
      </c>
      <c r="N60" s="56" t="n">
        <v>2</v>
      </c>
      <c r="Q60" s="57" t="inlineStr">
        <is>
          <t>Occ</t>
        </is>
      </c>
      <c r="U60" s="58" t="n">
        <v>1150</v>
      </c>
      <c r="V60" s="58" t="n">
        <v>1137</v>
      </c>
      <c r="W60" s="58" t="n">
        <v>0</v>
      </c>
      <c r="X60" s="58" t="n">
        <v>0</v>
      </c>
      <c r="Y60" s="58" t="n">
        <v>0</v>
      </c>
      <c r="Z60" s="59" t="n">
        <v>44779</v>
      </c>
      <c r="AA60" s="59" t="n">
        <v>45901</v>
      </c>
      <c r="AB60" s="59" t="n">
        <v>46271</v>
      </c>
    </row>
    <row r="61">
      <c r="D61" s="36" t="inlineStr">
        <is>
          <t>Lyndon Crossings</t>
        </is>
      </c>
      <c r="E61" s="54" t="inlineStr">
        <is>
          <t>8600-6</t>
        </is>
      </c>
      <c r="F61" s="54" t="inlineStr">
        <is>
          <t>2x2-Parkwood</t>
        </is>
      </c>
      <c r="G61" s="54" t="inlineStr">
        <is>
          <t>2x2-Parkwood</t>
        </is>
      </c>
      <c r="K61" s="36" t="inlineStr">
        <is>
          <t>Rezk, Robert</t>
        </is>
      </c>
      <c r="L61" s="55" t="n">
        <v>964</v>
      </c>
      <c r="M61" s="56" t="n">
        <v>2</v>
      </c>
      <c r="N61" s="56" t="n">
        <v>2</v>
      </c>
      <c r="Q61" s="57" t="inlineStr">
        <is>
          <t>Occ</t>
        </is>
      </c>
      <c r="U61" s="58" t="n">
        <v>1200</v>
      </c>
      <c r="V61" s="58" t="n">
        <v>1245</v>
      </c>
      <c r="W61" s="58" t="n">
        <v>0</v>
      </c>
      <c r="X61" s="58" t="n">
        <v>0</v>
      </c>
      <c r="Y61" s="58" t="n">
        <v>0</v>
      </c>
      <c r="Z61" s="59" t="n">
        <v>45117</v>
      </c>
      <c r="AA61" s="59" t="n">
        <v>46237</v>
      </c>
      <c r="AB61" s="59" t="n">
        <v>46544</v>
      </c>
    </row>
    <row r="62">
      <c r="D62" s="36" t="inlineStr">
        <is>
          <t>Lyndon Crossings</t>
        </is>
      </c>
      <c r="E62" s="54" t="inlineStr">
        <is>
          <t>8601-1</t>
        </is>
      </c>
      <c r="F62" s="54" t="inlineStr">
        <is>
          <t>2x2-Parkwood</t>
        </is>
      </c>
      <c r="G62" s="54" t="inlineStr">
        <is>
          <t>2x2-Parkwood</t>
        </is>
      </c>
      <c r="K62" s="36" t="inlineStr">
        <is>
          <t>Allen, Michael</t>
        </is>
      </c>
      <c r="L62" s="55" t="n">
        <v>964</v>
      </c>
      <c r="M62" s="56" t="n">
        <v>2</v>
      </c>
      <c r="N62" s="56" t="n">
        <v>2</v>
      </c>
      <c r="Q62" s="57" t="inlineStr">
        <is>
          <t>Occ</t>
        </is>
      </c>
      <c r="U62" s="58" t="n">
        <v>1200</v>
      </c>
      <c r="V62" s="58" t="n">
        <v>1215</v>
      </c>
      <c r="W62" s="58" t="n">
        <v>0</v>
      </c>
      <c r="X62" s="58" t="n">
        <v>0</v>
      </c>
      <c r="Y62" s="58" t="n">
        <v>0</v>
      </c>
      <c r="Z62" s="59" t="n">
        <v>45491</v>
      </c>
      <c r="AA62" s="59" t="n">
        <v>46237</v>
      </c>
      <c r="AB62" s="59" t="n">
        <v>46544</v>
      </c>
    </row>
    <row r="63">
      <c r="D63" s="36" t="inlineStr">
        <is>
          <t>Lyndon Crossings</t>
        </is>
      </c>
      <c r="E63" s="54" t="inlineStr">
        <is>
          <t>8601-2</t>
        </is>
      </c>
      <c r="F63" s="54" t="inlineStr">
        <is>
          <t>2x2-Gentry</t>
        </is>
      </c>
      <c r="G63" s="54" t="inlineStr">
        <is>
          <t>2x2-Gentry</t>
        </is>
      </c>
      <c r="K63" s="36" t="inlineStr">
        <is>
          <t>Beardsley, Grace</t>
        </is>
      </c>
      <c r="L63" s="55" t="n">
        <v>860</v>
      </c>
      <c r="M63" s="56" t="n">
        <v>2</v>
      </c>
      <c r="N63" s="56" t="n">
        <v>2</v>
      </c>
      <c r="Q63" s="57" t="inlineStr">
        <is>
          <t>Occ</t>
        </is>
      </c>
      <c r="U63" s="58" t="n">
        <v>1175</v>
      </c>
      <c r="V63" s="58" t="n">
        <v>1222</v>
      </c>
      <c r="W63" s="58" t="n">
        <v>0</v>
      </c>
      <c r="X63" s="58" t="n">
        <v>0</v>
      </c>
      <c r="Y63" s="58" t="n">
        <v>0</v>
      </c>
      <c r="Z63" s="59" t="n">
        <v>45080</v>
      </c>
      <c r="AA63" s="59" t="n">
        <v>46118</v>
      </c>
      <c r="AB63" s="59" t="n">
        <v>46488</v>
      </c>
    </row>
    <row r="64">
      <c r="D64" s="36" t="inlineStr">
        <is>
          <t>Lyndon Crossings</t>
        </is>
      </c>
      <c r="E64" s="54" t="inlineStr">
        <is>
          <t>8601-3</t>
        </is>
      </c>
      <c r="F64" s="54" t="inlineStr">
        <is>
          <t>2x2-Parkwood</t>
        </is>
      </c>
      <c r="G64" s="54" t="inlineStr">
        <is>
          <t>2x2-Parkwood</t>
        </is>
      </c>
      <c r="K64" s="36" t="inlineStr">
        <is>
          <t>Pisacrita, Robert</t>
        </is>
      </c>
      <c r="L64" s="55" t="n">
        <v>964</v>
      </c>
      <c r="M64" s="56" t="n">
        <v>2</v>
      </c>
      <c r="N64" s="56" t="n">
        <v>2</v>
      </c>
      <c r="Q64" s="57" t="inlineStr">
        <is>
          <t>Occ</t>
        </is>
      </c>
      <c r="U64" s="58" t="n">
        <v>1200</v>
      </c>
      <c r="V64" s="58" t="n">
        <v>1198</v>
      </c>
      <c r="W64" s="58" t="n">
        <v>0</v>
      </c>
      <c r="X64" s="58" t="n">
        <v>0</v>
      </c>
      <c r="Y64" s="58" t="n">
        <v>0</v>
      </c>
      <c r="Z64" s="59" t="n">
        <v>44021</v>
      </c>
      <c r="AA64" s="59" t="n">
        <v>46237</v>
      </c>
      <c r="AB64" s="59" t="n">
        <v>46509</v>
      </c>
    </row>
    <row r="65">
      <c r="D65" s="36" t="inlineStr">
        <is>
          <t>Lyndon Crossings</t>
        </is>
      </c>
      <c r="E65" s="54" t="inlineStr">
        <is>
          <t>8601-4</t>
        </is>
      </c>
      <c r="F65" s="54" t="inlineStr">
        <is>
          <t>2x2-Parkwood</t>
        </is>
      </c>
      <c r="G65" s="54" t="inlineStr">
        <is>
          <t>2x2-Parkwood</t>
        </is>
      </c>
      <c r="K65" s="36" t="inlineStr">
        <is>
          <t>Goodloe, Cierra</t>
        </is>
      </c>
      <c r="L65" s="55" t="n">
        <v>964</v>
      </c>
      <c r="M65" s="56" t="n">
        <v>2</v>
      </c>
      <c r="N65" s="56" t="n">
        <v>2</v>
      </c>
      <c r="Q65" s="57" t="inlineStr">
        <is>
          <t>Occ</t>
        </is>
      </c>
      <c r="U65" s="58" t="n">
        <v>1200</v>
      </c>
      <c r="V65" s="58" t="n">
        <v>1200</v>
      </c>
      <c r="W65" s="58" t="n">
        <v>0</v>
      </c>
      <c r="X65" s="58" t="n">
        <v>0</v>
      </c>
      <c r="Y65" s="58" t="n">
        <v>0</v>
      </c>
      <c r="Z65" s="59" t="n">
        <v>45509</v>
      </c>
      <c r="AA65" s="59" t="n">
        <v>45901</v>
      </c>
      <c r="AB65" s="59" t="n">
        <v>46271</v>
      </c>
    </row>
    <row r="66">
      <c r="D66" s="36" t="inlineStr">
        <is>
          <t>Lyndon Crossings</t>
        </is>
      </c>
      <c r="E66" s="54" t="inlineStr">
        <is>
          <t>8601-5</t>
        </is>
      </c>
      <c r="F66" s="54" t="inlineStr">
        <is>
          <t>2x2-Gentry</t>
        </is>
      </c>
      <c r="G66" s="54" t="inlineStr">
        <is>
          <t>2x2-Gentry</t>
        </is>
      </c>
      <c r="K66" s="36" t="inlineStr">
        <is>
          <t>Lusco, Megan</t>
        </is>
      </c>
      <c r="L66" s="55" t="n">
        <v>860</v>
      </c>
      <c r="M66" s="56" t="n">
        <v>2</v>
      </c>
      <c r="N66" s="56" t="n">
        <v>2</v>
      </c>
      <c r="Q66" s="57" t="inlineStr">
        <is>
          <t>Occ</t>
        </is>
      </c>
      <c r="U66" s="58" t="n">
        <v>1175</v>
      </c>
      <c r="V66" s="58" t="n">
        <v>1137</v>
      </c>
      <c r="W66" s="58" t="n">
        <v>0</v>
      </c>
      <c r="X66" s="58" t="n">
        <v>0</v>
      </c>
      <c r="Y66" s="58" t="n">
        <v>0</v>
      </c>
      <c r="Z66" s="59" t="n">
        <v>43700</v>
      </c>
      <c r="AA66" s="59" t="n">
        <v>45901</v>
      </c>
      <c r="AB66" s="59" t="n">
        <v>46271</v>
      </c>
    </row>
    <row r="67">
      <c r="D67" s="36" t="inlineStr">
        <is>
          <t>Lyndon Crossings</t>
        </is>
      </c>
      <c r="E67" s="54" t="inlineStr">
        <is>
          <t>8601-6</t>
        </is>
      </c>
      <c r="F67" s="54" t="inlineStr">
        <is>
          <t>2x2-Parkwood</t>
        </is>
      </c>
      <c r="G67" s="54" t="inlineStr">
        <is>
          <t>2x2-Parkwood</t>
        </is>
      </c>
      <c r="K67" s="36" t="inlineStr">
        <is>
          <t>Sanchez, Carlos</t>
        </is>
      </c>
      <c r="L67" s="55" t="n">
        <v>964</v>
      </c>
      <c r="M67" s="56" t="n">
        <v>2</v>
      </c>
      <c r="N67" s="56" t="n">
        <v>2</v>
      </c>
      <c r="Q67" s="57" t="inlineStr">
        <is>
          <t>Occ</t>
        </is>
      </c>
      <c r="U67" s="58" t="n">
        <v>1245</v>
      </c>
      <c r="V67" s="58" t="n">
        <v>1099</v>
      </c>
      <c r="W67" s="58" t="n">
        <v>0</v>
      </c>
      <c r="X67" s="58" t="n">
        <v>0</v>
      </c>
      <c r="Y67" s="58" t="n">
        <v>0</v>
      </c>
      <c r="Z67" s="59" t="n">
        <v>45926</v>
      </c>
      <c r="AA67" s="59" t="n">
        <v>45926</v>
      </c>
      <c r="AB67" s="59" t="n">
        <v>46474</v>
      </c>
    </row>
    <row r="68">
      <c r="C68" s="60" t="inlineStr">
        <is>
          <t>Total / Wtd. Average</t>
        </is>
      </c>
      <c r="D68" s="61" t="n"/>
      <c r="E68" s="61" t="n"/>
      <c r="F68" s="61" t="n"/>
      <c r="G68" s="62" t="n">
        <v>60</v>
      </c>
      <c r="H68" s="61" t="n"/>
      <c r="I68" s="61" t="n"/>
      <c r="J68" s="61" t="n"/>
      <c r="K68" s="61" t="n"/>
      <c r="L68" s="63" t="n">
        <v>55760</v>
      </c>
      <c r="M68" s="61" t="n"/>
      <c r="N68" s="61" t="n"/>
      <c r="O68" s="61" t="n"/>
      <c r="P68" s="61" t="n"/>
      <c r="Q68" s="61" t="n"/>
      <c r="R68" s="61" t="n"/>
      <c r="S68" s="61" t="n"/>
      <c r="T68" s="61" t="n"/>
      <c r="U68" s="64" t="n">
        <v>72061</v>
      </c>
      <c r="V68" s="64" t="n">
        <v>64522</v>
      </c>
      <c r="W68" s="64" t="n">
        <v>0</v>
      </c>
      <c r="X68" s="64" t="n">
        <v>0</v>
      </c>
      <c r="Y68" s="64" t="n">
        <v>0</v>
      </c>
      <c r="Z68" s="61" t="n"/>
      <c r="AA68" s="61" t="n"/>
      <c r="AB68" s="61" t="n"/>
      <c r="AC68" s="61" t="n"/>
      <c r="AD68" s="61" t="n"/>
      <c r="AE68" s="65" t="n">
        <v>0</v>
      </c>
      <c r="AF68" s="65" t="n">
        <v>0</v>
      </c>
      <c r="AG68" s="6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Y91"/>
  <sheetViews>
    <sheetView showGridLines="0" workbookViewId="0">
      <pane ySplit="31" topLeftCell="A32" activePane="bottomLeft" state="frozen"/>
      <selection pane="bottomLeft" activeCell="A1" sqref="A1"/>
    </sheetView>
  </sheetViews>
  <sheetFormatPr baseColWidth="8" defaultRowHeight="15"/>
  <cols>
    <col width="21.6" customWidth="1" min="1" max="1"/>
    <col width="4.1" customWidth="1" min="2" max="2"/>
    <col width="24" customWidth="1" min="3" max="3"/>
    <col width="12.6" customWidth="1" min="5" max="5"/>
    <col width="4.6" customWidth="1" min="6" max="6"/>
    <col width="9.4" customWidth="1" min="7" max="7"/>
    <col width="9.6" customWidth="1" min="8" max="8"/>
    <col width="11.6" customWidth="1" min="10" max="10"/>
    <col width="18.6" customWidth="1" min="11" max="11"/>
    <col width="17.6" customWidth="1" min="12" max="12"/>
    <col width="11.1" customWidth="1" min="13" max="13"/>
    <col width="11.6" customWidth="1" min="14" max="14"/>
    <col width="11.6" customWidth="1" min="15" max="15"/>
    <col width="11.4" customWidth="1" min="16" max="16"/>
    <col width="14.1" customWidth="1" min="17" max="17"/>
    <col width="11.4" customWidth="1" min="18" max="18"/>
    <col width="11.6" customWidth="1" min="19" max="19"/>
    <col width="12.1" customWidth="1" min="20" max="20"/>
    <col width="24" customWidth="1" min="22" max="22"/>
    <col width="12.1" customWidth="1" min="25" max="25"/>
  </cols>
  <sheetData>
    <row r="3">
      <c r="C3" s="67" t="inlineStr">
        <is>
          <t>Checking:</t>
        </is>
      </c>
    </row>
    <row r="4">
      <c r="C4" s="68" t="inlineStr">
        <is>
          <t>Floor Plan</t>
        </is>
      </c>
      <c r="D4" s="68" t="inlineStr">
        <is>
          <t>Unit Type</t>
        </is>
      </c>
      <c r="E4" s="69" t="inlineStr">
        <is>
          <t>BD</t>
        </is>
      </c>
      <c r="F4" s="69" t="inlineStr">
        <is>
          <t>BA</t>
        </is>
      </c>
      <c r="G4" s="69" t="inlineStr">
        <is>
          <t>Renovated</t>
        </is>
      </c>
      <c r="H4" s="70" t="inlineStr">
        <is>
          <t>Units</t>
        </is>
      </c>
      <c r="I4" s="70" t="inlineStr">
        <is>
          <t># Occ</t>
        </is>
      </c>
      <c r="J4" s="70" t="inlineStr">
        <is>
          <t>#Vac</t>
        </is>
      </c>
      <c r="K4" s="70" t="inlineStr">
        <is>
          <t>Avg SF</t>
        </is>
      </c>
      <c r="L4" s="70" t="inlineStr">
        <is>
          <t>Total SF</t>
        </is>
      </c>
      <c r="M4" s="70" t="inlineStr">
        <is>
          <t>Occ SF</t>
        </is>
      </c>
      <c r="N4" s="70" t="inlineStr">
        <is>
          <t>Vac SF</t>
        </is>
      </c>
      <c r="O4" s="70" t="inlineStr">
        <is>
          <t xml:space="preserve">Market Rent </t>
        </is>
      </c>
      <c r="P4" s="70" t="inlineStr">
        <is>
          <t>Rent</t>
        </is>
      </c>
      <c r="Q4" s="70" t="inlineStr">
        <is>
          <t>Other Income</t>
        </is>
      </c>
      <c r="R4" s="70" t="inlineStr">
        <is>
          <t>Concessions</t>
        </is>
      </c>
      <c r="S4" s="70" t="inlineStr">
        <is>
          <t>Emp Discounts</t>
        </is>
      </c>
    </row>
    <row r="5">
      <c r="C5" s="71" t="inlineStr">
        <is>
          <t>2x2-Gentry</t>
        </is>
      </c>
      <c r="D5" s="72" t="inlineStr">
        <is>
          <t>2x2-Gentry</t>
        </is>
      </c>
      <c r="E5" s="73" t="n">
        <v>2</v>
      </c>
      <c r="F5" s="74" t="n">
        <v>2</v>
      </c>
      <c r="G5" s="73" t="inlineStr">
        <is>
          <t>No</t>
        </is>
      </c>
      <c r="H5" s="75">
        <f>COUNTIFS($D$32:$D$91,$C5)</f>
        <v/>
      </c>
      <c r="I5" s="75">
        <f>COUNTIFS($D$32:$D$91,$C5,$C$32:$C$91,"Occ")+COUNTIFS($D$32:$D$91,$C5,$C$32:$C$91,"Admin")+COUNTIFS($D$32:$D$91,$C5,$C$32:$C$91,"Down")+COUNTIFS($D$32:$D$91,$C5,$C$32:$C$91,"Super")+COUNTIFS($D$32:$D$91,$C5,$C$32:$C$91,"Model")</f>
        <v/>
      </c>
      <c r="J5" s="75">
        <f>COUNTIFS($D$32:$D$91,$C5,$C$32:$C$91,"Vac")</f>
        <v/>
      </c>
      <c r="K5" s="75">
        <f>IFERROR(AVERAGEIFS($J$32:$J$91,$D$32:$D$91,$C5),"n/a")</f>
        <v/>
      </c>
      <c r="L5" s="75">
        <f>SUMIFS($J$32:$J$91,$D$32:$D$91,$C5)</f>
        <v/>
      </c>
      <c r="M5" s="75">
        <f>SUMIFS($J$32:$J$91,$D$32:$D$91,$C5,$C$32:$C$91,"Occ")+SUMIFS($J$32:$J$91,$D$32:$D$91,$C5,$C$32:$C$91,"Admin")+SUMIFS($J$32:$J$91,$D$32:$D$91,$C5,$C$32:$C$91,"Down")+SUMIFS($J$32:$J$91,$D$32:$D$91,$C5,$C$32:$C$91,"Super")+SUMIFS($J$32:$J$91,$D$32:$D$91,$C5,$C$32:$C$91,"Model")</f>
        <v/>
      </c>
      <c r="N5" s="75">
        <f>SUMIFS($J$32:$J$91,$D$32:$D$91,$C5,$C$32:$C$91,"Vac")</f>
        <v/>
      </c>
      <c r="O5" s="75">
        <f>SUMIFS($L$32:$L$91,$D$32:$D$91,$C5)</f>
        <v/>
      </c>
      <c r="P5" s="75">
        <f>SUMIFS($M$32:$M$91,$D$32:$D$91,$C5)</f>
        <v/>
      </c>
      <c r="Q5" s="75">
        <f>SUMIFS($R$32:$R$91,$D$32:$D$91,$C5)</f>
        <v/>
      </c>
      <c r="R5" s="75">
        <f>SUMIFS($S$32:$S$91,$D$32:$D$91,$C5)</f>
        <v/>
      </c>
      <c r="S5" s="75">
        <f>SUMIFS($T$32:$T$91,$D$32:$D$91,$C5)</f>
        <v/>
      </c>
    </row>
    <row r="6">
      <c r="C6" s="71" t="inlineStr">
        <is>
          <t>2x2-Parkwood</t>
        </is>
      </c>
      <c r="D6" s="72" t="inlineStr">
        <is>
          <t>2x2-Parkwood</t>
        </is>
      </c>
      <c r="E6" s="73" t="n">
        <v>2</v>
      </c>
      <c r="F6" s="74" t="n">
        <v>2</v>
      </c>
      <c r="G6" s="73" t="inlineStr">
        <is>
          <t>No</t>
        </is>
      </c>
      <c r="H6" s="75">
        <f>COUNTIFS($D$32:$D$91,$C6)</f>
        <v/>
      </c>
      <c r="I6" s="75">
        <f>COUNTIFS($D$32:$D$91,$C6,$C$32:$C$91,"Occ")+COUNTIFS($D$32:$D$91,$C6,$C$32:$C$91,"Admin")+COUNTIFS($D$32:$D$91,$C6,$C$32:$C$91,"Down")+COUNTIFS($D$32:$D$91,$C6,$C$32:$C$91,"Super")+COUNTIFS($D$32:$D$91,$C6,$C$32:$C$91,"Model")</f>
        <v/>
      </c>
      <c r="J6" s="75">
        <f>COUNTIFS($D$32:$D$91,$C6,$C$32:$C$91,"Vac")</f>
        <v/>
      </c>
      <c r="K6" s="75">
        <f>IFERROR(AVERAGEIFS($J$32:$J$91,$D$32:$D$91,$C6),"n/a")</f>
        <v/>
      </c>
      <c r="L6" s="75">
        <f>SUMIFS($J$32:$J$91,$D$32:$D$91,$C6)</f>
        <v/>
      </c>
      <c r="M6" s="75">
        <f>SUMIFS($J$32:$J$91,$D$32:$D$91,$C6,$C$32:$C$91,"Occ")+SUMIFS($J$32:$J$91,$D$32:$D$91,$C6,$C$32:$C$91,"Admin")+SUMIFS($J$32:$J$91,$D$32:$D$91,$C6,$C$32:$C$91,"Down")+SUMIFS($J$32:$J$91,$D$32:$D$91,$C6,$C$32:$C$91,"Super")+SUMIFS($J$32:$J$91,$D$32:$D$91,$C6,$C$32:$C$91,"Model")</f>
        <v/>
      </c>
      <c r="N6" s="75">
        <f>SUMIFS($J$32:$J$91,$D$32:$D$91,$C6,$C$32:$C$91,"Vac")</f>
        <v/>
      </c>
      <c r="O6" s="75">
        <f>SUMIFS($L$32:$L$91,$D$32:$D$91,$C6)</f>
        <v/>
      </c>
      <c r="P6" s="75">
        <f>SUMIFS($M$32:$M$91,$D$32:$D$91,$C6)</f>
        <v/>
      </c>
      <c r="Q6" s="75">
        <f>SUMIFS($R$32:$R$91,$D$32:$D$91,$C6)</f>
        <v/>
      </c>
      <c r="R6" s="75">
        <f>SUMIFS($S$32:$S$91,$D$32:$D$91,$C6)</f>
        <v/>
      </c>
      <c r="S6" s="75">
        <f>SUMIFS($T$32:$T$91,$D$32:$D$91,$C6)</f>
        <v/>
      </c>
    </row>
    <row r="7">
      <c r="C7" s="68" t="inlineStr">
        <is>
          <t>Totals</t>
        </is>
      </c>
      <c r="H7" s="76">
        <f>SUM(H5:H6)</f>
        <v/>
      </c>
      <c r="I7" s="76">
        <f>SUM(I5:I6)</f>
        <v/>
      </c>
      <c r="J7" s="76">
        <f>SUM(J5:J6)</f>
        <v/>
      </c>
      <c r="L7" s="76">
        <f>SUM(L5:L6)</f>
        <v/>
      </c>
      <c r="M7" s="76">
        <f>SUM(M5:M6)</f>
        <v/>
      </c>
      <c r="N7" s="76">
        <f>SUM(N5:N6)</f>
        <v/>
      </c>
      <c r="O7" s="76">
        <f>SUM(O5:O6)</f>
        <v/>
      </c>
      <c r="P7" s="76">
        <f>SUM(P5:P6)</f>
        <v/>
      </c>
      <c r="Q7" s="76">
        <f>SUM(Q5:Q6)</f>
        <v/>
      </c>
      <c r="R7" s="76">
        <f>SUM(R5:R6)</f>
        <v/>
      </c>
      <c r="S7" s="76">
        <f>SUM(S5:S6)</f>
        <v/>
      </c>
    </row>
    <row r="8">
      <c r="C8" s="68" t="inlineStr">
        <is>
          <t>%</t>
        </is>
      </c>
      <c r="I8" s="77">
        <f>I7/$H$7</f>
        <v/>
      </c>
      <c r="J8" s="77">
        <f>J7/$H$7</f>
        <v/>
      </c>
      <c r="M8" s="77">
        <f>IFERROR(M7/$L$7,"n/a")</f>
        <v/>
      </c>
      <c r="N8" s="77">
        <f>IFERROR(N7/$L$7,"n/a")</f>
        <v/>
      </c>
    </row>
    <row r="12">
      <c r="C12" s="78" t="inlineStr">
        <is>
          <t>Notes:</t>
        </is>
      </c>
    </row>
    <row r="13">
      <c r="C13" s="78" t="inlineStr">
        <is>
          <t>1. Vacant units market rent is the per-unit market/asking rent from the source.</t>
        </is>
      </c>
    </row>
    <row r="14">
      <c r="C14" s="78" t="inlineStr">
        <is>
          <t>2. BD/BA count is from the Unit Type mapping above (edit the yellow cells to adjust).</t>
        </is>
      </c>
    </row>
    <row r="19">
      <c r="C19" s="78" t="inlineStr">
        <is>
          <t>Property Name</t>
        </is>
      </c>
      <c r="D19" s="78" t="inlineStr">
        <is>
          <t>Lyndon Crossings</t>
        </is>
      </c>
    </row>
    <row r="20">
      <c r="C20" s="78" t="inlineStr">
        <is>
          <t>Rent Roll Date</t>
        </is>
      </c>
      <c r="D20" s="79" t="n">
        <v>46265</v>
      </c>
    </row>
    <row r="30">
      <c r="Y30" s="67" t="inlineStr">
        <is>
          <t>Rent</t>
        </is>
      </c>
    </row>
    <row r="31">
      <c r="A31" s="67" t="inlineStr">
        <is>
          <t>Property</t>
        </is>
      </c>
      <c r="B31" s="67" t="inlineStr">
        <is>
          <t>#</t>
        </is>
      </c>
      <c r="C31" s="67" t="inlineStr">
        <is>
          <t>Occupancy</t>
        </is>
      </c>
      <c r="D31" s="67" t="inlineStr">
        <is>
          <t>Floorplan</t>
        </is>
      </c>
      <c r="E31" s="67" t="inlineStr">
        <is>
          <t>Bd</t>
        </is>
      </c>
      <c r="F31" s="67" t="inlineStr">
        <is>
          <t>Ba</t>
        </is>
      </c>
      <c r="G31" s="67" t="inlineStr">
        <is>
          <t>Renovated</t>
        </is>
      </c>
      <c r="H31" s="67" t="inlineStr">
        <is>
          <t>Unit #</t>
        </is>
      </c>
      <c r="I31" s="67" t="inlineStr">
        <is>
          <t>Unit Type</t>
        </is>
      </c>
      <c r="J31" s="67" t="inlineStr">
        <is>
          <t>Unit Sq Ft</t>
        </is>
      </c>
      <c r="K31" s="67" t="inlineStr">
        <is>
          <t>Resident/Tenant Name</t>
        </is>
      </c>
      <c r="L31" s="67" t="inlineStr">
        <is>
          <t>Market Rent</t>
        </is>
      </c>
      <c r="M31" s="67" t="inlineStr">
        <is>
          <t>Rent</t>
        </is>
      </c>
      <c r="N31" s="67" t="inlineStr">
        <is>
          <t>Move in</t>
        </is>
      </c>
      <c r="O31" s="67" t="inlineStr">
        <is>
          <t>Lease Start</t>
        </is>
      </c>
      <c r="P31" s="67" t="inlineStr">
        <is>
          <t>Lease End</t>
        </is>
      </c>
      <c r="Q31" s="67" t="inlineStr">
        <is>
          <t>Move Out</t>
        </is>
      </c>
      <c r="R31" s="67" t="inlineStr">
        <is>
          <t>Other Income</t>
        </is>
      </c>
      <c r="S31" s="67" t="inlineStr">
        <is>
          <t>Concessions</t>
        </is>
      </c>
      <c r="T31" s="67" t="inlineStr">
        <is>
          <t>Employee Discounts</t>
        </is>
      </c>
      <c r="V31" s="67" t="inlineStr">
        <is>
          <t>Unit Type (Manual)</t>
        </is>
      </c>
      <c r="W31" s="67" t="inlineStr">
        <is>
          <t>Unit Type (Manual) - Updated</t>
        </is>
      </c>
      <c r="Y31" s="67" t="inlineStr">
        <is>
          <t>RENT</t>
        </is>
      </c>
    </row>
    <row r="32">
      <c r="A32" s="80">
        <f>$D$19</f>
        <v/>
      </c>
      <c r="B32" s="80" t="n">
        <v>1</v>
      </c>
      <c r="C32" s="80">
        <f>IF(K32="Vacant","Vac",IF(K32="Model","Model",IF(K32="Admin","Admin",IF(K32="Down","Down",IF(K32="Super","Super","Occ")))))</f>
        <v/>
      </c>
      <c r="D32" s="80">
        <f>INDEX($C$5:$C$6,MATCH(I32,$D$5:$D$6,0))</f>
        <v/>
      </c>
      <c r="E32" s="80">
        <f>INDEX($E$5:$E$6,MATCH(D32,$C$5:$C$6,0))</f>
        <v/>
      </c>
      <c r="F32" s="80">
        <f>INDEX($F$5:$F$6,MATCH(D32,$C$5:$C$6,0))</f>
        <v/>
      </c>
      <c r="G32" s="80">
        <f>INDEX($G$5:$G$6,MATCH(D32,$C$5:$C$6,0))</f>
        <v/>
      </c>
      <c r="H32" s="80" t="inlineStr">
        <is>
          <t>1200-1</t>
        </is>
      </c>
      <c r="I32" s="80" t="inlineStr">
        <is>
          <t>2x2-Parkwood</t>
        </is>
      </c>
      <c r="J32" s="81" t="n">
        <v>964</v>
      </c>
      <c r="K32" s="80" t="inlineStr">
        <is>
          <t>Vacant</t>
        </is>
      </c>
      <c r="L32" s="82" t="n">
        <v>1298</v>
      </c>
      <c r="M32" s="82">
        <f>Y32</f>
        <v/>
      </c>
      <c r="N32" s="83" t="n"/>
      <c r="O32" s="83" t="n"/>
      <c r="P32" s="83" t="n"/>
      <c r="Q32" s="83" t="n"/>
      <c r="R32" s="82" t="n">
        <v>0</v>
      </c>
      <c r="S32" s="82" t="n">
        <v>0</v>
      </c>
      <c r="T32" s="82" t="n">
        <v>0</v>
      </c>
      <c r="U32" s="83" t="n"/>
      <c r="V32" s="83" t="n"/>
      <c r="W32" s="83" t="n"/>
      <c r="X32" s="83" t="n"/>
      <c r="Y32" s="82" t="n">
        <v>0</v>
      </c>
    </row>
    <row r="33">
      <c r="A33" s="72">
        <f>$D$19</f>
        <v/>
      </c>
      <c r="B33" s="72">
        <f>B32+1</f>
        <v/>
      </c>
      <c r="C33" s="72">
        <f>IF(K33="Vacant","Vac",IF(K33="Model","Model",IF(K33="Admin","Admin",IF(K33="Down","Down",IF(K33="Super","Super","Occ")))))</f>
        <v/>
      </c>
      <c r="D33" s="72">
        <f>INDEX($C$5:$C$6,MATCH(I33,$D$5:$D$6,0))</f>
        <v/>
      </c>
      <c r="E33" s="72">
        <f>INDEX($E$5:$E$6,MATCH(D33,$C$5:$C$6,0))</f>
        <v/>
      </c>
      <c r="F33" s="72">
        <f>INDEX($F$5:$F$6,MATCH(D33,$C$5:$C$6,0))</f>
        <v/>
      </c>
      <c r="G33" s="72">
        <f>INDEX($G$5:$G$6,MATCH(D33,$C$5:$C$6,0))</f>
        <v/>
      </c>
      <c r="H33" s="72" t="inlineStr">
        <is>
          <t>1200-2</t>
        </is>
      </c>
      <c r="I33" s="72" t="inlineStr">
        <is>
          <t>2x2-Gentry</t>
        </is>
      </c>
      <c r="J33" s="84" t="n">
        <v>860</v>
      </c>
      <c r="K33" s="72" t="inlineStr">
        <is>
          <t>Jarboe, Rebekah</t>
        </is>
      </c>
      <c r="L33" s="85" t="n">
        <v>1109</v>
      </c>
      <c r="M33" s="85">
        <f>Y33</f>
        <v/>
      </c>
      <c r="N33" s="86" t="n">
        <v>46204</v>
      </c>
      <c r="O33" s="86" t="n">
        <v>46204</v>
      </c>
      <c r="P33" s="86" t="n">
        <v>46572</v>
      </c>
      <c r="R33" s="85" t="n">
        <v>0</v>
      </c>
      <c r="S33" s="85" t="n">
        <v>0</v>
      </c>
      <c r="T33" s="85" t="n">
        <v>0</v>
      </c>
      <c r="Y33" s="85" t="n">
        <v>1216</v>
      </c>
    </row>
    <row r="34">
      <c r="A34" s="72">
        <f>$D$19</f>
        <v/>
      </c>
      <c r="B34" s="72">
        <f>B33+1</f>
        <v/>
      </c>
      <c r="C34" s="72">
        <f>IF(K34="Vacant","Vac",IF(K34="Model","Model",IF(K34="Admin","Admin",IF(K34="Down","Down",IF(K34="Super","Super","Occ")))))</f>
        <v/>
      </c>
      <c r="D34" s="72">
        <f>INDEX($C$5:$C$6,MATCH(I34,$D$5:$D$6,0))</f>
        <v/>
      </c>
      <c r="E34" s="72">
        <f>INDEX($E$5:$E$6,MATCH(D34,$C$5:$C$6,0))</f>
        <v/>
      </c>
      <c r="F34" s="72">
        <f>INDEX($F$5:$F$6,MATCH(D34,$C$5:$C$6,0))</f>
        <v/>
      </c>
      <c r="G34" s="72">
        <f>INDEX($G$5:$G$6,MATCH(D34,$C$5:$C$6,0))</f>
        <v/>
      </c>
      <c r="H34" s="72" t="inlineStr">
        <is>
          <t>1200-3</t>
        </is>
      </c>
      <c r="I34" s="72" t="inlineStr">
        <is>
          <t>2x2-Parkwood</t>
        </is>
      </c>
      <c r="J34" s="84" t="n">
        <v>964</v>
      </c>
      <c r="K34" s="72" t="inlineStr">
        <is>
          <t>Wallace, Christina</t>
        </is>
      </c>
      <c r="L34" s="85" t="n">
        <v>1214</v>
      </c>
      <c r="M34" s="85">
        <f>Y34</f>
        <v/>
      </c>
      <c r="N34" s="86" t="n">
        <v>46179</v>
      </c>
      <c r="O34" s="86" t="n">
        <v>46179</v>
      </c>
      <c r="P34" s="86" t="n">
        <v>46579</v>
      </c>
      <c r="R34" s="85" t="n">
        <v>0</v>
      </c>
      <c r="S34" s="85" t="n">
        <v>0</v>
      </c>
      <c r="T34" s="85" t="n">
        <v>0</v>
      </c>
      <c r="Y34" s="85" t="n">
        <v>1214</v>
      </c>
    </row>
    <row r="35">
      <c r="A35" s="72">
        <f>$D$19</f>
        <v/>
      </c>
      <c r="B35" s="72">
        <f>B34+1</f>
        <v/>
      </c>
      <c r="C35" s="72">
        <f>IF(K35="Vacant","Vac",IF(K35="Model","Model",IF(K35="Admin","Admin",IF(K35="Down","Down",IF(K35="Super","Super","Occ")))))</f>
        <v/>
      </c>
      <c r="D35" s="72">
        <f>INDEX($C$5:$C$6,MATCH(I35,$D$5:$D$6,0))</f>
        <v/>
      </c>
      <c r="E35" s="72">
        <f>INDEX($E$5:$E$6,MATCH(D35,$C$5:$C$6,0))</f>
        <v/>
      </c>
      <c r="F35" s="72">
        <f>INDEX($F$5:$F$6,MATCH(D35,$C$5:$C$6,0))</f>
        <v/>
      </c>
      <c r="G35" s="72">
        <f>INDEX($G$5:$G$6,MATCH(D35,$C$5:$C$6,0))</f>
        <v/>
      </c>
      <c r="H35" s="72" t="inlineStr">
        <is>
          <t>1200-4</t>
        </is>
      </c>
      <c r="I35" s="72" t="inlineStr">
        <is>
          <t>2x2-Parkwood</t>
        </is>
      </c>
      <c r="J35" s="84" t="n">
        <v>964</v>
      </c>
      <c r="K35" s="72" t="inlineStr">
        <is>
          <t>Strait, Conner</t>
        </is>
      </c>
      <c r="L35" s="85" t="n">
        <v>1231</v>
      </c>
      <c r="M35" s="85">
        <f>Y35</f>
        <v/>
      </c>
      <c r="N35" s="86" t="n">
        <v>45955</v>
      </c>
      <c r="O35" s="86" t="n">
        <v>45955</v>
      </c>
      <c r="P35" s="86" t="n">
        <v>46502</v>
      </c>
      <c r="R35" s="85" t="n">
        <v>0</v>
      </c>
      <c r="S35" s="85" t="n">
        <v>0</v>
      </c>
      <c r="T35" s="85" t="n">
        <v>0</v>
      </c>
      <c r="Y35" s="85" t="n">
        <v>1099</v>
      </c>
    </row>
    <row r="36">
      <c r="A36" s="72">
        <f>$D$19</f>
        <v/>
      </c>
      <c r="B36" s="72">
        <f>B35+1</f>
        <v/>
      </c>
      <c r="C36" s="72">
        <f>IF(K36="Vacant","Vac",IF(K36="Model","Model",IF(K36="Admin","Admin",IF(K36="Down","Down",IF(K36="Super","Super","Occ")))))</f>
        <v/>
      </c>
      <c r="D36" s="72">
        <f>INDEX($C$5:$C$6,MATCH(I36,$D$5:$D$6,0))</f>
        <v/>
      </c>
      <c r="E36" s="72">
        <f>INDEX($E$5:$E$6,MATCH(D36,$C$5:$C$6,0))</f>
        <v/>
      </c>
      <c r="F36" s="72">
        <f>INDEX($F$5:$F$6,MATCH(D36,$C$5:$C$6,0))</f>
        <v/>
      </c>
      <c r="G36" s="72">
        <f>INDEX($G$5:$G$6,MATCH(D36,$C$5:$C$6,0))</f>
        <v/>
      </c>
      <c r="H36" s="72" t="inlineStr">
        <is>
          <t>1200-5</t>
        </is>
      </c>
      <c r="I36" s="72" t="inlineStr">
        <is>
          <t>2x2-Gentry</t>
        </is>
      </c>
      <c r="J36" s="84" t="n">
        <v>860</v>
      </c>
      <c r="K36" s="72" t="inlineStr">
        <is>
          <t>Moore, Torey</t>
        </is>
      </c>
      <c r="L36" s="85" t="n">
        <v>1140</v>
      </c>
      <c r="M36" s="85">
        <f>Y36</f>
        <v/>
      </c>
      <c r="N36" s="86" t="n">
        <v>43922</v>
      </c>
      <c r="O36" s="86" t="n">
        <v>46143</v>
      </c>
      <c r="P36" s="86" t="n">
        <v>46572</v>
      </c>
      <c r="R36" s="85" t="n">
        <v>0</v>
      </c>
      <c r="S36" s="85" t="n">
        <v>0</v>
      </c>
      <c r="T36" s="85" t="n">
        <v>0</v>
      </c>
      <c r="Y36" s="85" t="n">
        <v>1078</v>
      </c>
    </row>
    <row r="37">
      <c r="A37" s="72">
        <f>$D$19</f>
        <v/>
      </c>
      <c r="B37" s="72">
        <f>B36+1</f>
        <v/>
      </c>
      <c r="C37" s="72">
        <f>IF(K37="Vacant","Vac",IF(K37="Model","Model",IF(K37="Admin","Admin",IF(K37="Down","Down",IF(K37="Super","Super","Occ")))))</f>
        <v/>
      </c>
      <c r="D37" s="72">
        <f>INDEX($C$5:$C$6,MATCH(I37,$D$5:$D$6,0))</f>
        <v/>
      </c>
      <c r="E37" s="72">
        <f>INDEX($E$5:$E$6,MATCH(D37,$C$5:$C$6,0))</f>
        <v/>
      </c>
      <c r="F37" s="72">
        <f>INDEX($F$5:$F$6,MATCH(D37,$C$5:$C$6,0))</f>
        <v/>
      </c>
      <c r="G37" s="72">
        <f>INDEX($G$5:$G$6,MATCH(D37,$C$5:$C$6,0))</f>
        <v/>
      </c>
      <c r="H37" s="72" t="inlineStr">
        <is>
          <t>1200-6</t>
        </is>
      </c>
      <c r="I37" s="72" t="inlineStr">
        <is>
          <t>2x2-Parkwood</t>
        </is>
      </c>
      <c r="J37" s="84" t="n">
        <v>964</v>
      </c>
      <c r="K37" s="72" t="inlineStr">
        <is>
          <t>Styer, Hannah</t>
        </is>
      </c>
      <c r="L37" s="85" t="n">
        <v>1165</v>
      </c>
      <c r="M37" s="85">
        <f>Y37</f>
        <v/>
      </c>
      <c r="N37" s="86" t="n">
        <v>42928</v>
      </c>
      <c r="O37" s="86" t="n">
        <v>46113</v>
      </c>
      <c r="P37" s="86" t="n">
        <v>46663</v>
      </c>
      <c r="R37" s="85" t="n">
        <v>0</v>
      </c>
      <c r="S37" s="85" t="n">
        <v>0</v>
      </c>
      <c r="T37" s="85" t="n">
        <v>0</v>
      </c>
      <c r="Y37" s="85" t="n">
        <v>1240</v>
      </c>
    </row>
    <row r="38">
      <c r="A38" s="72">
        <f>$D$19</f>
        <v/>
      </c>
      <c r="B38" s="72">
        <f>B37+1</f>
        <v/>
      </c>
      <c r="C38" s="72">
        <f>IF(K38="Vacant","Vac",IF(K38="Model","Model",IF(K38="Admin","Admin",IF(K38="Down","Down",IF(K38="Super","Super","Occ")))))</f>
        <v/>
      </c>
      <c r="D38" s="72">
        <f>INDEX($C$5:$C$6,MATCH(I38,$D$5:$D$6,0))</f>
        <v/>
      </c>
      <c r="E38" s="72">
        <f>INDEX($E$5:$E$6,MATCH(D38,$C$5:$C$6,0))</f>
        <v/>
      </c>
      <c r="F38" s="72">
        <f>INDEX($F$5:$F$6,MATCH(D38,$C$5:$C$6,0))</f>
        <v/>
      </c>
      <c r="G38" s="72">
        <f>INDEX($G$5:$G$6,MATCH(D38,$C$5:$C$6,0))</f>
        <v/>
      </c>
      <c r="H38" s="72" t="inlineStr">
        <is>
          <t>1201-1</t>
        </is>
      </c>
      <c r="I38" s="72" t="inlineStr">
        <is>
          <t>2x2-Parkwood</t>
        </is>
      </c>
      <c r="J38" s="84" t="n">
        <v>964</v>
      </c>
      <c r="K38" s="72" t="inlineStr">
        <is>
          <t>Johnson, Christopher</t>
        </is>
      </c>
      <c r="L38" s="85" t="n">
        <v>1291</v>
      </c>
      <c r="M38" s="85">
        <f>Y38</f>
        <v/>
      </c>
      <c r="N38" s="86" t="n">
        <v>44494</v>
      </c>
      <c r="O38" s="86" t="n">
        <v>46113</v>
      </c>
      <c r="P38" s="86" t="n">
        <v>46271</v>
      </c>
      <c r="Q38" s="86" t="n">
        <v>46271</v>
      </c>
      <c r="R38" s="85" t="n">
        <v>0</v>
      </c>
      <c r="S38" s="85" t="n">
        <v>0</v>
      </c>
      <c r="T38" s="85" t="n">
        <v>0</v>
      </c>
      <c r="Y38" s="85" t="n">
        <v>1299</v>
      </c>
    </row>
    <row r="39">
      <c r="A39" s="72">
        <f>$D$19</f>
        <v/>
      </c>
      <c r="B39" s="72">
        <f>B38+1</f>
        <v/>
      </c>
      <c r="C39" s="72">
        <f>IF(K39="Vacant","Vac",IF(K39="Model","Model",IF(K39="Admin","Admin",IF(K39="Down","Down",IF(K39="Super","Super","Occ")))))</f>
        <v/>
      </c>
      <c r="D39" s="72">
        <f>INDEX($C$5:$C$6,MATCH(I39,$D$5:$D$6,0))</f>
        <v/>
      </c>
      <c r="E39" s="72">
        <f>INDEX($E$5:$E$6,MATCH(D39,$C$5:$C$6,0))</f>
        <v/>
      </c>
      <c r="F39" s="72">
        <f>INDEX($F$5:$F$6,MATCH(D39,$C$5:$C$6,0))</f>
        <v/>
      </c>
      <c r="G39" s="72">
        <f>INDEX($G$5:$G$6,MATCH(D39,$C$5:$C$6,0))</f>
        <v/>
      </c>
      <c r="H39" s="72" t="inlineStr">
        <is>
          <t>1201-2</t>
        </is>
      </c>
      <c r="I39" s="72" t="inlineStr">
        <is>
          <t>2x2-Gentry</t>
        </is>
      </c>
      <c r="J39" s="84" t="n">
        <v>860</v>
      </c>
      <c r="K39" s="72" t="inlineStr">
        <is>
          <t>Mabinda, Marie</t>
        </is>
      </c>
      <c r="L39" s="85" t="n">
        <v>1175</v>
      </c>
      <c r="M39" s="85">
        <f>Y39</f>
        <v/>
      </c>
      <c r="N39" s="86" t="n">
        <v>45178</v>
      </c>
      <c r="O39" s="86" t="n">
        <v>45931</v>
      </c>
      <c r="P39" s="86" t="n">
        <v>46481</v>
      </c>
      <c r="R39" s="85" t="n">
        <v>0</v>
      </c>
      <c r="S39" s="85" t="n">
        <v>0</v>
      </c>
      <c r="T39" s="85" t="n">
        <v>0</v>
      </c>
      <c r="Y39" s="85" t="n">
        <v>1096</v>
      </c>
    </row>
    <row r="40">
      <c r="A40" s="72">
        <f>$D$19</f>
        <v/>
      </c>
      <c r="B40" s="72">
        <f>B39+1</f>
        <v/>
      </c>
      <c r="C40" s="72">
        <f>IF(K40="Vacant","Vac",IF(K40="Model","Model",IF(K40="Admin","Admin",IF(K40="Down","Down",IF(K40="Super","Super","Occ")))))</f>
        <v/>
      </c>
      <c r="D40" s="72">
        <f>INDEX($C$5:$C$6,MATCH(I40,$D$5:$D$6,0))</f>
        <v/>
      </c>
      <c r="E40" s="72">
        <f>INDEX($E$5:$E$6,MATCH(D40,$C$5:$C$6,0))</f>
        <v/>
      </c>
      <c r="F40" s="72">
        <f>INDEX($F$5:$F$6,MATCH(D40,$C$5:$C$6,0))</f>
        <v/>
      </c>
      <c r="G40" s="72">
        <f>INDEX($G$5:$G$6,MATCH(D40,$C$5:$C$6,0))</f>
        <v/>
      </c>
      <c r="H40" s="72" t="inlineStr">
        <is>
          <t>1201-3</t>
        </is>
      </c>
      <c r="I40" s="72" t="inlineStr">
        <is>
          <t>2x2-Parkwood</t>
        </is>
      </c>
      <c r="J40" s="84" t="n">
        <v>964</v>
      </c>
      <c r="K40" s="72" t="inlineStr">
        <is>
          <t>Thornton, Roderick</t>
        </is>
      </c>
      <c r="L40" s="85" t="n">
        <v>1200</v>
      </c>
      <c r="M40" s="85">
        <f>Y40</f>
        <v/>
      </c>
      <c r="N40" s="86" t="n">
        <v>42461</v>
      </c>
      <c r="O40" s="86" t="n">
        <v>45962</v>
      </c>
      <c r="P40" s="86" t="n">
        <v>46509</v>
      </c>
      <c r="R40" s="85" t="n">
        <v>0</v>
      </c>
      <c r="S40" s="85" t="n">
        <v>0</v>
      </c>
      <c r="T40" s="85" t="n">
        <v>0</v>
      </c>
      <c r="Y40" s="85" t="n">
        <v>1108</v>
      </c>
    </row>
    <row r="41">
      <c r="A41" s="72">
        <f>$D$19</f>
        <v/>
      </c>
      <c r="B41" s="72">
        <f>B40+1</f>
        <v/>
      </c>
      <c r="C41" s="72">
        <f>IF(K41="Vacant","Vac",IF(K41="Model","Model",IF(K41="Admin","Admin",IF(K41="Down","Down",IF(K41="Super","Super","Occ")))))</f>
        <v/>
      </c>
      <c r="D41" s="72">
        <f>INDEX($C$5:$C$6,MATCH(I41,$D$5:$D$6,0))</f>
        <v/>
      </c>
      <c r="E41" s="72">
        <f>INDEX($E$5:$E$6,MATCH(D41,$C$5:$C$6,0))</f>
        <v/>
      </c>
      <c r="F41" s="72">
        <f>INDEX($F$5:$F$6,MATCH(D41,$C$5:$C$6,0))</f>
        <v/>
      </c>
      <c r="G41" s="72">
        <f>INDEX($G$5:$G$6,MATCH(D41,$C$5:$C$6,0))</f>
        <v/>
      </c>
      <c r="H41" s="72" t="inlineStr">
        <is>
          <t>1201-4</t>
        </is>
      </c>
      <c r="I41" s="72" t="inlineStr">
        <is>
          <t>2x2-Parkwood</t>
        </is>
      </c>
      <c r="J41" s="84" t="n">
        <v>964</v>
      </c>
      <c r="K41" s="72" t="inlineStr">
        <is>
          <t>Amback, Brian</t>
        </is>
      </c>
      <c r="L41" s="85" t="n">
        <v>1200</v>
      </c>
      <c r="M41" s="85">
        <f>Y41</f>
        <v/>
      </c>
      <c r="N41" s="86" t="n">
        <v>45164</v>
      </c>
      <c r="O41" s="86" t="n">
        <v>45901</v>
      </c>
      <c r="P41" s="86" t="n">
        <v>46271</v>
      </c>
      <c r="R41" s="85" t="n">
        <v>0</v>
      </c>
      <c r="S41" s="85" t="n">
        <v>0</v>
      </c>
      <c r="T41" s="85" t="n">
        <v>0</v>
      </c>
      <c r="Y41" s="85" t="n">
        <v>1200</v>
      </c>
    </row>
    <row r="42">
      <c r="A42" s="72">
        <f>$D$19</f>
        <v/>
      </c>
      <c r="B42" s="72">
        <f>B41+1</f>
        <v/>
      </c>
      <c r="C42" s="72">
        <f>IF(K42="Vacant","Vac",IF(K42="Model","Model",IF(K42="Admin","Admin",IF(K42="Down","Down",IF(K42="Super","Super","Occ")))))</f>
        <v/>
      </c>
      <c r="D42" s="72">
        <f>INDEX($C$5:$C$6,MATCH(I42,$D$5:$D$6,0))</f>
        <v/>
      </c>
      <c r="E42" s="72">
        <f>INDEX($E$5:$E$6,MATCH(D42,$C$5:$C$6,0))</f>
        <v/>
      </c>
      <c r="F42" s="72">
        <f>INDEX($F$5:$F$6,MATCH(D42,$C$5:$C$6,0))</f>
        <v/>
      </c>
      <c r="G42" s="72">
        <f>INDEX($G$5:$G$6,MATCH(D42,$C$5:$C$6,0))</f>
        <v/>
      </c>
      <c r="H42" s="72" t="inlineStr">
        <is>
          <t>1201-5</t>
        </is>
      </c>
      <c r="I42" s="72" t="inlineStr">
        <is>
          <t>2x2-Gentry</t>
        </is>
      </c>
      <c r="J42" s="84" t="n">
        <v>860</v>
      </c>
      <c r="K42" s="72" t="inlineStr">
        <is>
          <t>Lozano, Yajaira</t>
        </is>
      </c>
      <c r="L42" s="85" t="n">
        <v>1175</v>
      </c>
      <c r="M42" s="85">
        <f>Y42</f>
        <v/>
      </c>
      <c r="N42" s="86" t="n">
        <v>45773</v>
      </c>
      <c r="O42" s="86" t="n">
        <v>46202</v>
      </c>
      <c r="P42" s="86" t="n">
        <v>46600</v>
      </c>
      <c r="R42" s="85" t="n">
        <v>0</v>
      </c>
      <c r="S42" s="85" t="n">
        <v>0</v>
      </c>
      <c r="T42" s="85" t="n">
        <v>0</v>
      </c>
      <c r="Y42" s="85" t="n">
        <v>1185</v>
      </c>
    </row>
    <row r="43">
      <c r="A43" s="72">
        <f>$D$19</f>
        <v/>
      </c>
      <c r="B43" s="72">
        <f>B42+1</f>
        <v/>
      </c>
      <c r="C43" s="72">
        <f>IF(K43="Vacant","Vac",IF(K43="Model","Model",IF(K43="Admin","Admin",IF(K43="Down","Down",IF(K43="Super","Super","Occ")))))</f>
        <v/>
      </c>
      <c r="D43" s="72">
        <f>INDEX($C$5:$C$6,MATCH(I43,$D$5:$D$6,0))</f>
        <v/>
      </c>
      <c r="E43" s="72">
        <f>INDEX($E$5:$E$6,MATCH(D43,$C$5:$C$6,0))</f>
        <v/>
      </c>
      <c r="F43" s="72">
        <f>INDEX($F$5:$F$6,MATCH(D43,$C$5:$C$6,0))</f>
        <v/>
      </c>
      <c r="G43" s="72">
        <f>INDEX($G$5:$G$6,MATCH(D43,$C$5:$C$6,0))</f>
        <v/>
      </c>
      <c r="H43" s="72" t="inlineStr">
        <is>
          <t>1201-6</t>
        </is>
      </c>
      <c r="I43" s="72" t="inlineStr">
        <is>
          <t>2x2-Parkwood</t>
        </is>
      </c>
      <c r="J43" s="84" t="n">
        <v>964</v>
      </c>
      <c r="K43" s="72" t="inlineStr">
        <is>
          <t>Jackson, Bryonnie</t>
        </is>
      </c>
      <c r="L43" s="85" t="n">
        <v>1140</v>
      </c>
      <c r="M43" s="85">
        <f>Y43</f>
        <v/>
      </c>
      <c r="N43" s="86" t="n">
        <v>46153</v>
      </c>
      <c r="O43" s="86" t="n">
        <v>46153</v>
      </c>
      <c r="P43" s="86" t="n">
        <v>46614</v>
      </c>
      <c r="R43" s="85" t="n">
        <v>0</v>
      </c>
      <c r="S43" s="85" t="n">
        <v>0</v>
      </c>
      <c r="T43" s="85" t="n">
        <v>0</v>
      </c>
      <c r="Y43" s="85" t="n">
        <v>1180</v>
      </c>
    </row>
    <row r="44">
      <c r="A44" s="80">
        <f>$D$19</f>
        <v/>
      </c>
      <c r="B44" s="80">
        <f>B43+1</f>
        <v/>
      </c>
      <c r="C44" s="80">
        <f>IF(K44="Vacant","Vac",IF(K44="Model","Model",IF(K44="Admin","Admin",IF(K44="Down","Down",IF(K44="Super","Super","Occ")))))</f>
        <v/>
      </c>
      <c r="D44" s="80">
        <f>INDEX($C$5:$C$6,MATCH(I44,$D$5:$D$6,0))</f>
        <v/>
      </c>
      <c r="E44" s="80">
        <f>INDEX($E$5:$E$6,MATCH(D44,$C$5:$C$6,0))</f>
        <v/>
      </c>
      <c r="F44" s="80">
        <f>INDEX($F$5:$F$6,MATCH(D44,$C$5:$C$6,0))</f>
        <v/>
      </c>
      <c r="G44" s="80">
        <f>INDEX($G$5:$G$6,MATCH(D44,$C$5:$C$6,0))</f>
        <v/>
      </c>
      <c r="H44" s="80" t="inlineStr">
        <is>
          <t>1202-1</t>
        </is>
      </c>
      <c r="I44" s="80" t="inlineStr">
        <is>
          <t>2x2-Parkwood</t>
        </is>
      </c>
      <c r="J44" s="81" t="n">
        <v>964</v>
      </c>
      <c r="K44" s="80" t="inlineStr">
        <is>
          <t>Vacant</t>
        </is>
      </c>
      <c r="L44" s="82" t="n">
        <v>1298</v>
      </c>
      <c r="M44" s="82">
        <f>Y44</f>
        <v/>
      </c>
      <c r="N44" s="83" t="n"/>
      <c r="O44" s="83" t="n"/>
      <c r="P44" s="83" t="n"/>
      <c r="Q44" s="83" t="n"/>
      <c r="R44" s="82" t="n">
        <v>0</v>
      </c>
      <c r="S44" s="82" t="n">
        <v>0</v>
      </c>
      <c r="T44" s="82" t="n">
        <v>0</v>
      </c>
      <c r="U44" s="83" t="n"/>
      <c r="V44" s="83" t="n"/>
      <c r="W44" s="83" t="n"/>
      <c r="X44" s="83" t="n"/>
      <c r="Y44" s="82" t="n">
        <v>0</v>
      </c>
    </row>
    <row r="45">
      <c r="A45" s="72">
        <f>$D$19</f>
        <v/>
      </c>
      <c r="B45" s="72">
        <f>B44+1</f>
        <v/>
      </c>
      <c r="C45" s="72">
        <f>IF(K45="Vacant","Vac",IF(K45="Model","Model",IF(K45="Admin","Admin",IF(K45="Down","Down",IF(K45="Super","Super","Occ")))))</f>
        <v/>
      </c>
      <c r="D45" s="72">
        <f>INDEX($C$5:$C$6,MATCH(I45,$D$5:$D$6,0))</f>
        <v/>
      </c>
      <c r="E45" s="72">
        <f>INDEX($E$5:$E$6,MATCH(D45,$C$5:$C$6,0))</f>
        <v/>
      </c>
      <c r="F45" s="72">
        <f>INDEX($F$5:$F$6,MATCH(D45,$C$5:$C$6,0))</f>
        <v/>
      </c>
      <c r="G45" s="72">
        <f>INDEX($G$5:$G$6,MATCH(D45,$C$5:$C$6,0))</f>
        <v/>
      </c>
      <c r="H45" s="72" t="inlineStr">
        <is>
          <t>1202-2</t>
        </is>
      </c>
      <c r="I45" s="72" t="inlineStr">
        <is>
          <t>2x2-Gentry</t>
        </is>
      </c>
      <c r="J45" s="84" t="n">
        <v>860</v>
      </c>
      <c r="K45" s="72" t="inlineStr">
        <is>
          <t>Broadwater, Eric</t>
        </is>
      </c>
      <c r="L45" s="85" t="n">
        <v>1075</v>
      </c>
      <c r="M45" s="85">
        <f>Y45</f>
        <v/>
      </c>
      <c r="N45" s="86" t="n">
        <v>46137</v>
      </c>
      <c r="O45" s="86" t="n">
        <v>46137</v>
      </c>
      <c r="P45" s="86" t="n">
        <v>46628</v>
      </c>
      <c r="R45" s="85" t="n">
        <v>0</v>
      </c>
      <c r="S45" s="85" t="n">
        <v>0</v>
      </c>
      <c r="T45" s="85" t="n">
        <v>0</v>
      </c>
      <c r="Y45" s="85" t="n">
        <v>1118</v>
      </c>
    </row>
    <row r="46">
      <c r="A46" s="72">
        <f>$D$19</f>
        <v/>
      </c>
      <c r="B46" s="72">
        <f>B45+1</f>
        <v/>
      </c>
      <c r="C46" s="72">
        <f>IF(K46="Vacant","Vac",IF(K46="Model","Model",IF(K46="Admin","Admin",IF(K46="Down","Down",IF(K46="Super","Super","Occ")))))</f>
        <v/>
      </c>
      <c r="D46" s="72">
        <f>INDEX($C$5:$C$6,MATCH(I46,$D$5:$D$6,0))</f>
        <v/>
      </c>
      <c r="E46" s="72">
        <f>INDEX($E$5:$E$6,MATCH(D46,$C$5:$C$6,0))</f>
        <v/>
      </c>
      <c r="F46" s="72">
        <f>INDEX($F$5:$F$6,MATCH(D46,$C$5:$C$6,0))</f>
        <v/>
      </c>
      <c r="G46" s="72">
        <f>INDEX($G$5:$G$6,MATCH(D46,$C$5:$C$6,0))</f>
        <v/>
      </c>
      <c r="H46" s="72" t="inlineStr">
        <is>
          <t>1202-3</t>
        </is>
      </c>
      <c r="I46" s="72" t="inlineStr">
        <is>
          <t>2x2-Parkwood</t>
        </is>
      </c>
      <c r="J46" s="84" t="n">
        <v>964</v>
      </c>
      <c r="K46" s="72" t="inlineStr">
        <is>
          <t>Kavanah, Ryan</t>
        </is>
      </c>
      <c r="L46" s="85" t="n">
        <v>1200</v>
      </c>
      <c r="M46" s="85">
        <f>Y46</f>
        <v/>
      </c>
      <c r="N46" s="86" t="n">
        <v>45219</v>
      </c>
      <c r="O46" s="86" t="n">
        <v>45962</v>
      </c>
      <c r="P46" s="86" t="n">
        <v>46509</v>
      </c>
      <c r="R46" s="85" t="n">
        <v>0</v>
      </c>
      <c r="S46" s="85" t="n">
        <v>0</v>
      </c>
      <c r="T46" s="85" t="n">
        <v>0</v>
      </c>
      <c r="Y46" s="85" t="n">
        <v>1145</v>
      </c>
    </row>
    <row r="47">
      <c r="A47" s="72">
        <f>$D$19</f>
        <v/>
      </c>
      <c r="B47" s="72">
        <f>B46+1</f>
        <v/>
      </c>
      <c r="C47" s="72">
        <f>IF(K47="Vacant","Vac",IF(K47="Model","Model",IF(K47="Admin","Admin",IF(K47="Down","Down",IF(K47="Super","Super","Occ")))))</f>
        <v/>
      </c>
      <c r="D47" s="72">
        <f>INDEX($C$5:$C$6,MATCH(I47,$D$5:$D$6,0))</f>
        <v/>
      </c>
      <c r="E47" s="72">
        <f>INDEX($E$5:$E$6,MATCH(D47,$C$5:$C$6,0))</f>
        <v/>
      </c>
      <c r="F47" s="72">
        <f>INDEX($F$5:$F$6,MATCH(D47,$C$5:$C$6,0))</f>
        <v/>
      </c>
      <c r="G47" s="72">
        <f>INDEX($G$5:$G$6,MATCH(D47,$C$5:$C$6,0))</f>
        <v/>
      </c>
      <c r="H47" s="72" t="inlineStr">
        <is>
          <t>1202-4</t>
        </is>
      </c>
      <c r="I47" s="72" t="inlineStr">
        <is>
          <t>2x2-Parkwood</t>
        </is>
      </c>
      <c r="J47" s="84" t="n">
        <v>964</v>
      </c>
      <c r="K47" s="72" t="inlineStr">
        <is>
          <t>Dunigan, Sydney</t>
        </is>
      </c>
      <c r="L47" s="85" t="n">
        <v>1177</v>
      </c>
      <c r="M47" s="85">
        <f>Y47</f>
        <v/>
      </c>
      <c r="N47" s="86" t="n">
        <v>45877</v>
      </c>
      <c r="O47" s="86" t="n">
        <v>46244</v>
      </c>
      <c r="P47" s="86" t="n">
        <v>46551</v>
      </c>
      <c r="R47" s="85" t="n">
        <v>0</v>
      </c>
      <c r="S47" s="85" t="n">
        <v>0</v>
      </c>
      <c r="T47" s="85" t="n">
        <v>0</v>
      </c>
      <c r="Y47" s="85" t="n">
        <v>1275</v>
      </c>
    </row>
    <row r="48">
      <c r="A48" s="72">
        <f>$D$19</f>
        <v/>
      </c>
      <c r="B48" s="72">
        <f>B47+1</f>
        <v/>
      </c>
      <c r="C48" s="72">
        <f>IF(K48="Vacant","Vac",IF(K48="Model","Model",IF(K48="Admin","Admin",IF(K48="Down","Down",IF(K48="Super","Super","Occ")))))</f>
        <v/>
      </c>
      <c r="D48" s="72">
        <f>INDEX($C$5:$C$6,MATCH(I48,$D$5:$D$6,0))</f>
        <v/>
      </c>
      <c r="E48" s="72">
        <f>INDEX($E$5:$E$6,MATCH(D48,$C$5:$C$6,0))</f>
        <v/>
      </c>
      <c r="F48" s="72">
        <f>INDEX($F$5:$F$6,MATCH(D48,$C$5:$C$6,0))</f>
        <v/>
      </c>
      <c r="G48" s="72">
        <f>INDEX($G$5:$G$6,MATCH(D48,$C$5:$C$6,0))</f>
        <v/>
      </c>
      <c r="H48" s="72" t="inlineStr">
        <is>
          <t>1202-5</t>
        </is>
      </c>
      <c r="I48" s="72" t="inlineStr">
        <is>
          <t>2x2-Gentry</t>
        </is>
      </c>
      <c r="J48" s="84" t="n">
        <v>860</v>
      </c>
      <c r="K48" s="72" t="inlineStr">
        <is>
          <t>Bohning, Kimberly</t>
        </is>
      </c>
      <c r="L48" s="85" t="n">
        <v>1175</v>
      </c>
      <c r="M48" s="85">
        <f>Y48</f>
        <v/>
      </c>
      <c r="N48" s="86" t="n">
        <v>45840</v>
      </c>
      <c r="O48" s="86" t="n">
        <v>46209</v>
      </c>
      <c r="P48" s="86" t="n">
        <v>46488</v>
      </c>
      <c r="R48" s="85" t="n">
        <v>0</v>
      </c>
      <c r="S48" s="85" t="n">
        <v>0</v>
      </c>
      <c r="T48" s="85" t="n">
        <v>0</v>
      </c>
      <c r="Y48" s="85" t="n">
        <v>1218</v>
      </c>
    </row>
    <row r="49">
      <c r="A49" s="72">
        <f>$D$19</f>
        <v/>
      </c>
      <c r="B49" s="72">
        <f>B48+1</f>
        <v/>
      </c>
      <c r="C49" s="72">
        <f>IF(K49="Vacant","Vac",IF(K49="Model","Model",IF(K49="Admin","Admin",IF(K49="Down","Down",IF(K49="Super","Super","Occ")))))</f>
        <v/>
      </c>
      <c r="D49" s="72">
        <f>INDEX($C$5:$C$6,MATCH(I49,$D$5:$D$6,0))</f>
        <v/>
      </c>
      <c r="E49" s="72">
        <f>INDEX($E$5:$E$6,MATCH(D49,$C$5:$C$6,0))</f>
        <v/>
      </c>
      <c r="F49" s="72">
        <f>INDEX($F$5:$F$6,MATCH(D49,$C$5:$C$6,0))</f>
        <v/>
      </c>
      <c r="G49" s="72">
        <f>INDEX($G$5:$G$6,MATCH(D49,$C$5:$C$6,0))</f>
        <v/>
      </c>
      <c r="H49" s="72" t="inlineStr">
        <is>
          <t>1202-6</t>
        </is>
      </c>
      <c r="I49" s="72" t="inlineStr">
        <is>
          <t>2x2-Parkwood</t>
        </is>
      </c>
      <c r="J49" s="84" t="n">
        <v>964</v>
      </c>
      <c r="K49" s="72" t="inlineStr">
        <is>
          <t>Howes, Justin</t>
        </is>
      </c>
      <c r="L49" s="85" t="n">
        <v>1200</v>
      </c>
      <c r="M49" s="85">
        <f>Y49</f>
        <v/>
      </c>
      <c r="N49" s="86" t="n">
        <v>45426</v>
      </c>
      <c r="O49" s="86" t="n">
        <v>46176</v>
      </c>
      <c r="P49" s="86" t="n">
        <v>46544</v>
      </c>
      <c r="R49" s="85" t="n">
        <v>0</v>
      </c>
      <c r="S49" s="85" t="n">
        <v>0</v>
      </c>
      <c r="T49" s="85" t="n">
        <v>0</v>
      </c>
      <c r="Y49" s="85" t="n">
        <v>1231</v>
      </c>
    </row>
    <row r="50">
      <c r="A50" s="72">
        <f>$D$19</f>
        <v/>
      </c>
      <c r="B50" s="72">
        <f>B49+1</f>
        <v/>
      </c>
      <c r="C50" s="72">
        <f>IF(K50="Vacant","Vac",IF(K50="Model","Model",IF(K50="Admin","Admin",IF(K50="Down","Down",IF(K50="Super","Super","Occ")))))</f>
        <v/>
      </c>
      <c r="D50" s="72">
        <f>INDEX($C$5:$C$6,MATCH(I50,$D$5:$D$6,0))</f>
        <v/>
      </c>
      <c r="E50" s="72">
        <f>INDEX($E$5:$E$6,MATCH(D50,$C$5:$C$6,0))</f>
        <v/>
      </c>
      <c r="F50" s="72">
        <f>INDEX($F$5:$F$6,MATCH(D50,$C$5:$C$6,0))</f>
        <v/>
      </c>
      <c r="G50" s="72">
        <f>INDEX($G$5:$G$6,MATCH(D50,$C$5:$C$6,0))</f>
        <v/>
      </c>
      <c r="H50" s="72" t="inlineStr">
        <is>
          <t>1209-1</t>
        </is>
      </c>
      <c r="I50" s="72" t="inlineStr">
        <is>
          <t>2x2-Parkwood</t>
        </is>
      </c>
      <c r="J50" s="84" t="n">
        <v>964</v>
      </c>
      <c r="K50" s="72" t="inlineStr">
        <is>
          <t>Shearer, Roy (Keith)</t>
        </is>
      </c>
      <c r="L50" s="85" t="n">
        <v>1200</v>
      </c>
      <c r="M50" s="85">
        <f>Y50</f>
        <v/>
      </c>
      <c r="N50" s="86" t="n">
        <v>43525</v>
      </c>
      <c r="O50" s="86" t="n">
        <v>46181</v>
      </c>
      <c r="P50" s="86" t="n">
        <v>46579</v>
      </c>
      <c r="R50" s="85" t="n">
        <v>0</v>
      </c>
      <c r="S50" s="85" t="n">
        <v>0</v>
      </c>
      <c r="T50" s="85" t="n">
        <v>0</v>
      </c>
      <c r="Y50" s="85" t="n">
        <v>1099</v>
      </c>
    </row>
    <row r="51">
      <c r="A51" s="72">
        <f>$D$19</f>
        <v/>
      </c>
      <c r="B51" s="72">
        <f>B50+1</f>
        <v/>
      </c>
      <c r="C51" s="72">
        <f>IF(K51="Vacant","Vac",IF(K51="Model","Model",IF(K51="Admin","Admin",IF(K51="Down","Down",IF(K51="Super","Super","Occ")))))</f>
        <v/>
      </c>
      <c r="D51" s="72">
        <f>INDEX($C$5:$C$6,MATCH(I51,$D$5:$D$6,0))</f>
        <v/>
      </c>
      <c r="E51" s="72">
        <f>INDEX($E$5:$E$6,MATCH(D51,$C$5:$C$6,0))</f>
        <v/>
      </c>
      <c r="F51" s="72">
        <f>INDEX($F$5:$F$6,MATCH(D51,$C$5:$C$6,0))</f>
        <v/>
      </c>
      <c r="G51" s="72">
        <f>INDEX($G$5:$G$6,MATCH(D51,$C$5:$C$6,0))</f>
        <v/>
      </c>
      <c r="H51" s="72" t="inlineStr">
        <is>
          <t>1209-2</t>
        </is>
      </c>
      <c r="I51" s="72" t="inlineStr">
        <is>
          <t>2x2-Gentry</t>
        </is>
      </c>
      <c r="J51" s="84" t="n">
        <v>860</v>
      </c>
      <c r="K51" s="72" t="inlineStr">
        <is>
          <t>VanDyke, Benjamin</t>
        </is>
      </c>
      <c r="L51" s="85" t="n">
        <v>1160</v>
      </c>
      <c r="M51" s="85">
        <f>Y51</f>
        <v/>
      </c>
      <c r="N51" s="86" t="n">
        <v>46076</v>
      </c>
      <c r="O51" s="86" t="n">
        <v>46076</v>
      </c>
      <c r="P51" s="86" t="n">
        <v>46621</v>
      </c>
      <c r="R51" s="85" t="n">
        <v>0</v>
      </c>
      <c r="S51" s="85" t="n">
        <v>0</v>
      </c>
      <c r="T51" s="85" t="n">
        <v>0</v>
      </c>
      <c r="Y51" s="85" t="n">
        <v>1068</v>
      </c>
    </row>
    <row r="52">
      <c r="A52" s="72">
        <f>$D$19</f>
        <v/>
      </c>
      <c r="B52" s="72">
        <f>B51+1</f>
        <v/>
      </c>
      <c r="C52" s="72">
        <f>IF(K52="Vacant","Vac",IF(K52="Model","Model",IF(K52="Admin","Admin",IF(K52="Down","Down",IF(K52="Super","Super","Occ")))))</f>
        <v/>
      </c>
      <c r="D52" s="72">
        <f>INDEX($C$5:$C$6,MATCH(I52,$D$5:$D$6,0))</f>
        <v/>
      </c>
      <c r="E52" s="72">
        <f>INDEX($E$5:$E$6,MATCH(D52,$C$5:$C$6,0))</f>
        <v/>
      </c>
      <c r="F52" s="72">
        <f>INDEX($F$5:$F$6,MATCH(D52,$C$5:$C$6,0))</f>
        <v/>
      </c>
      <c r="G52" s="72">
        <f>INDEX($G$5:$G$6,MATCH(D52,$C$5:$C$6,0))</f>
        <v/>
      </c>
      <c r="H52" s="72" t="inlineStr">
        <is>
          <t>1209-3</t>
        </is>
      </c>
      <c r="I52" s="72" t="inlineStr">
        <is>
          <t>2x2-Parkwood</t>
        </is>
      </c>
      <c r="J52" s="84" t="n">
        <v>964</v>
      </c>
      <c r="K52" s="72" t="inlineStr">
        <is>
          <t>Maly, Mary</t>
        </is>
      </c>
      <c r="L52" s="85" t="n">
        <v>1200</v>
      </c>
      <c r="M52" s="85">
        <f>Y52</f>
        <v/>
      </c>
      <c r="N52" s="86" t="n">
        <v>43792</v>
      </c>
      <c r="O52" s="86" t="n">
        <v>45992</v>
      </c>
      <c r="P52" s="86" t="n">
        <v>46544</v>
      </c>
      <c r="R52" s="85" t="n">
        <v>0</v>
      </c>
      <c r="S52" s="85" t="n">
        <v>0</v>
      </c>
      <c r="T52" s="85" t="n">
        <v>0</v>
      </c>
      <c r="Y52" s="85" t="n">
        <v>1146</v>
      </c>
    </row>
    <row r="53">
      <c r="A53" s="72">
        <f>$D$19</f>
        <v/>
      </c>
      <c r="B53" s="72">
        <f>B52+1</f>
        <v/>
      </c>
      <c r="C53" s="72">
        <f>IF(K53="Vacant","Vac",IF(K53="Model","Model",IF(K53="Admin","Admin",IF(K53="Down","Down",IF(K53="Super","Super","Occ")))))</f>
        <v/>
      </c>
      <c r="D53" s="72">
        <f>INDEX($C$5:$C$6,MATCH(I53,$D$5:$D$6,0))</f>
        <v/>
      </c>
      <c r="E53" s="72">
        <f>INDEX($E$5:$E$6,MATCH(D53,$C$5:$C$6,0))</f>
        <v/>
      </c>
      <c r="F53" s="72">
        <f>INDEX($F$5:$F$6,MATCH(D53,$C$5:$C$6,0))</f>
        <v/>
      </c>
      <c r="G53" s="72">
        <f>INDEX($G$5:$G$6,MATCH(D53,$C$5:$C$6,0))</f>
        <v/>
      </c>
      <c r="H53" s="72" t="inlineStr">
        <is>
          <t>1209-4</t>
        </is>
      </c>
      <c r="I53" s="72" t="inlineStr">
        <is>
          <t>2x2-Parkwood</t>
        </is>
      </c>
      <c r="J53" s="84" t="n">
        <v>964</v>
      </c>
      <c r="K53" s="72" t="inlineStr">
        <is>
          <t>Purvis, Jason</t>
        </is>
      </c>
      <c r="L53" s="85" t="n">
        <v>1200</v>
      </c>
      <c r="M53" s="85">
        <f>Y53</f>
        <v/>
      </c>
      <c r="N53" s="86" t="n">
        <v>45582</v>
      </c>
      <c r="O53" s="86" t="n">
        <v>45962</v>
      </c>
      <c r="P53" s="86" t="n">
        <v>46509</v>
      </c>
      <c r="R53" s="85" t="n">
        <v>0</v>
      </c>
      <c r="S53" s="85" t="n">
        <v>0</v>
      </c>
      <c r="T53" s="85" t="n">
        <v>0</v>
      </c>
      <c r="Y53" s="85" t="n">
        <v>1212</v>
      </c>
    </row>
    <row r="54">
      <c r="A54" s="72">
        <f>$D$19</f>
        <v/>
      </c>
      <c r="B54" s="72">
        <f>B53+1</f>
        <v/>
      </c>
      <c r="C54" s="72">
        <f>IF(K54="Vacant","Vac",IF(K54="Model","Model",IF(K54="Admin","Admin",IF(K54="Down","Down",IF(K54="Super","Super","Occ")))))</f>
        <v/>
      </c>
      <c r="D54" s="72">
        <f>INDEX($C$5:$C$6,MATCH(I54,$D$5:$D$6,0))</f>
        <v/>
      </c>
      <c r="E54" s="72">
        <f>INDEX($E$5:$E$6,MATCH(D54,$C$5:$C$6,0))</f>
        <v/>
      </c>
      <c r="F54" s="72">
        <f>INDEX($F$5:$F$6,MATCH(D54,$C$5:$C$6,0))</f>
        <v/>
      </c>
      <c r="G54" s="72">
        <f>INDEX($G$5:$G$6,MATCH(D54,$C$5:$C$6,0))</f>
        <v/>
      </c>
      <c r="H54" s="72" t="inlineStr">
        <is>
          <t>1209-5</t>
        </is>
      </c>
      <c r="I54" s="72" t="inlineStr">
        <is>
          <t>2x2-Gentry</t>
        </is>
      </c>
      <c r="J54" s="84" t="n">
        <v>860</v>
      </c>
      <c r="K54" s="72" t="inlineStr">
        <is>
          <t>Powers, Neika</t>
        </is>
      </c>
      <c r="L54" s="85" t="n">
        <v>1175</v>
      </c>
      <c r="M54" s="85">
        <f>Y54</f>
        <v/>
      </c>
      <c r="N54" s="86" t="n">
        <v>43586</v>
      </c>
      <c r="O54" s="86" t="n">
        <v>45992</v>
      </c>
      <c r="P54" s="86" t="n">
        <v>46362</v>
      </c>
      <c r="R54" s="85" t="n">
        <v>0</v>
      </c>
      <c r="S54" s="85" t="n">
        <v>0</v>
      </c>
      <c r="T54" s="85" t="n">
        <v>0</v>
      </c>
      <c r="Y54" s="85" t="n">
        <v>1137</v>
      </c>
    </row>
    <row r="55">
      <c r="A55" s="72">
        <f>$D$19</f>
        <v/>
      </c>
      <c r="B55" s="72">
        <f>B54+1</f>
        <v/>
      </c>
      <c r="C55" s="72">
        <f>IF(K55="Vacant","Vac",IF(K55="Model","Model",IF(K55="Admin","Admin",IF(K55="Down","Down",IF(K55="Super","Super","Occ")))))</f>
        <v/>
      </c>
      <c r="D55" s="72">
        <f>INDEX($C$5:$C$6,MATCH(I55,$D$5:$D$6,0))</f>
        <v/>
      </c>
      <c r="E55" s="72">
        <f>INDEX($E$5:$E$6,MATCH(D55,$C$5:$C$6,0))</f>
        <v/>
      </c>
      <c r="F55" s="72">
        <f>INDEX($F$5:$F$6,MATCH(D55,$C$5:$C$6,0))</f>
        <v/>
      </c>
      <c r="G55" s="72">
        <f>INDEX($G$5:$G$6,MATCH(D55,$C$5:$C$6,0))</f>
        <v/>
      </c>
      <c r="H55" s="72" t="inlineStr">
        <is>
          <t>1209-6</t>
        </is>
      </c>
      <c r="I55" s="72" t="inlineStr">
        <is>
          <t>2x2-Parkwood</t>
        </is>
      </c>
      <c r="J55" s="84" t="n">
        <v>964</v>
      </c>
      <c r="K55" s="72" t="inlineStr">
        <is>
          <t>Screen, Joseph</t>
        </is>
      </c>
      <c r="L55" s="85" t="n">
        <v>1275</v>
      </c>
      <c r="M55" s="85">
        <f>Y55</f>
        <v/>
      </c>
      <c r="N55" s="86" t="n">
        <v>45804</v>
      </c>
      <c r="O55" s="86" t="n">
        <v>46174</v>
      </c>
      <c r="P55" s="86" t="n">
        <v>46600</v>
      </c>
      <c r="R55" s="85" t="n">
        <v>0</v>
      </c>
      <c r="S55" s="85" t="n">
        <v>0</v>
      </c>
      <c r="T55" s="85" t="n">
        <v>0</v>
      </c>
      <c r="Y55" s="85" t="n">
        <v>1195</v>
      </c>
    </row>
    <row r="56">
      <c r="A56" s="72">
        <f>$D$19</f>
        <v/>
      </c>
      <c r="B56" s="72">
        <f>B55+1</f>
        <v/>
      </c>
      <c r="C56" s="72">
        <f>IF(K56="Vacant","Vac",IF(K56="Model","Model",IF(K56="Admin","Admin",IF(K56="Down","Down",IF(K56="Super","Super","Occ")))))</f>
        <v/>
      </c>
      <c r="D56" s="72">
        <f>INDEX($C$5:$C$6,MATCH(I56,$D$5:$D$6,0))</f>
        <v/>
      </c>
      <c r="E56" s="72">
        <f>INDEX($E$5:$E$6,MATCH(D56,$C$5:$C$6,0))</f>
        <v/>
      </c>
      <c r="F56" s="72">
        <f>INDEX($F$5:$F$6,MATCH(D56,$C$5:$C$6,0))</f>
        <v/>
      </c>
      <c r="G56" s="72">
        <f>INDEX($G$5:$G$6,MATCH(D56,$C$5:$C$6,0))</f>
        <v/>
      </c>
      <c r="H56" s="72" t="inlineStr">
        <is>
          <t>1211-1</t>
        </is>
      </c>
      <c r="I56" s="72" t="inlineStr">
        <is>
          <t>2x2-Parkwood</t>
        </is>
      </c>
      <c r="J56" s="84" t="n">
        <v>964</v>
      </c>
      <c r="K56" s="72" t="inlineStr">
        <is>
          <t>Reasons, Justin</t>
        </is>
      </c>
      <c r="L56" s="85" t="n">
        <v>1200</v>
      </c>
      <c r="M56" s="85">
        <f>Y56</f>
        <v/>
      </c>
      <c r="N56" s="86" t="n">
        <v>44470</v>
      </c>
      <c r="O56" s="86" t="n">
        <v>45931</v>
      </c>
      <c r="P56" s="86" t="n">
        <v>46481</v>
      </c>
      <c r="R56" s="85" t="n">
        <v>0</v>
      </c>
      <c r="S56" s="85" t="n">
        <v>0</v>
      </c>
      <c r="T56" s="85" t="n">
        <v>0</v>
      </c>
      <c r="Y56" s="85" t="n">
        <v>1125</v>
      </c>
    </row>
    <row r="57">
      <c r="A57" s="72">
        <f>$D$19</f>
        <v/>
      </c>
      <c r="B57" s="72">
        <f>B56+1</f>
        <v/>
      </c>
      <c r="C57" s="72">
        <f>IF(K57="Vacant","Vac",IF(K57="Model","Model",IF(K57="Admin","Admin",IF(K57="Down","Down",IF(K57="Super","Super","Occ")))))</f>
        <v/>
      </c>
      <c r="D57" s="72">
        <f>INDEX($C$5:$C$6,MATCH(I57,$D$5:$D$6,0))</f>
        <v/>
      </c>
      <c r="E57" s="72">
        <f>INDEX($E$5:$E$6,MATCH(D57,$C$5:$C$6,0))</f>
        <v/>
      </c>
      <c r="F57" s="72">
        <f>INDEX($F$5:$F$6,MATCH(D57,$C$5:$C$6,0))</f>
        <v/>
      </c>
      <c r="G57" s="72">
        <f>INDEX($G$5:$G$6,MATCH(D57,$C$5:$C$6,0))</f>
        <v/>
      </c>
      <c r="H57" s="72" t="inlineStr">
        <is>
          <t>1211-2</t>
        </is>
      </c>
      <c r="I57" s="72" t="inlineStr">
        <is>
          <t>2x2-Gentry</t>
        </is>
      </c>
      <c r="J57" s="84" t="n">
        <v>860</v>
      </c>
      <c r="K57" s="72" t="inlineStr">
        <is>
          <t>Smith, Stuart</t>
        </is>
      </c>
      <c r="L57" s="85" t="n">
        <v>1199</v>
      </c>
      <c r="M57" s="85">
        <f>Y57</f>
        <v/>
      </c>
      <c r="N57" s="86" t="n">
        <v>46157</v>
      </c>
      <c r="O57" s="86" t="n">
        <v>46157</v>
      </c>
      <c r="P57" s="86" t="n">
        <v>46586</v>
      </c>
      <c r="R57" s="85" t="n">
        <v>0</v>
      </c>
      <c r="S57" s="85" t="n">
        <v>0</v>
      </c>
      <c r="T57" s="85" t="n">
        <v>0</v>
      </c>
      <c r="Y57" s="85" t="n">
        <v>1199</v>
      </c>
    </row>
    <row r="58">
      <c r="A58" s="72">
        <f>$D$19</f>
        <v/>
      </c>
      <c r="B58" s="72">
        <f>B57+1</f>
        <v/>
      </c>
      <c r="C58" s="72">
        <f>IF(K58="Vacant","Vac",IF(K58="Model","Model",IF(K58="Admin","Admin",IF(K58="Down","Down",IF(K58="Super","Super","Occ")))))</f>
        <v/>
      </c>
      <c r="D58" s="72">
        <f>INDEX($C$5:$C$6,MATCH(I58,$D$5:$D$6,0))</f>
        <v/>
      </c>
      <c r="E58" s="72">
        <f>INDEX($E$5:$E$6,MATCH(D58,$C$5:$C$6,0))</f>
        <v/>
      </c>
      <c r="F58" s="72">
        <f>INDEX($F$5:$F$6,MATCH(D58,$C$5:$C$6,0))</f>
        <v/>
      </c>
      <c r="G58" s="72">
        <f>INDEX($G$5:$G$6,MATCH(D58,$C$5:$C$6,0))</f>
        <v/>
      </c>
      <c r="H58" s="72" t="inlineStr">
        <is>
          <t>1211-3</t>
        </is>
      </c>
      <c r="I58" s="72" t="inlineStr">
        <is>
          <t>2x2-Parkwood</t>
        </is>
      </c>
      <c r="J58" s="84" t="n">
        <v>964</v>
      </c>
      <c r="K58" s="72" t="inlineStr">
        <is>
          <t>Watson, Mhairi</t>
        </is>
      </c>
      <c r="L58" s="85" t="n">
        <v>1221</v>
      </c>
      <c r="M58" s="85">
        <f>Y58</f>
        <v/>
      </c>
      <c r="N58" s="86" t="n">
        <v>45871</v>
      </c>
      <c r="O58" s="86" t="n">
        <v>46237</v>
      </c>
      <c r="P58" s="86" t="n">
        <v>46544</v>
      </c>
      <c r="R58" s="85" t="n">
        <v>0</v>
      </c>
      <c r="S58" s="85" t="n">
        <v>0</v>
      </c>
      <c r="T58" s="85" t="n">
        <v>0</v>
      </c>
      <c r="Y58" s="85" t="n">
        <v>1296</v>
      </c>
    </row>
    <row r="59">
      <c r="A59" s="72">
        <f>$D$19</f>
        <v/>
      </c>
      <c r="B59" s="72">
        <f>B58+1</f>
        <v/>
      </c>
      <c r="C59" s="72">
        <f>IF(K59="Vacant","Vac",IF(K59="Model","Model",IF(K59="Admin","Admin",IF(K59="Down","Down",IF(K59="Super","Super","Occ")))))</f>
        <v/>
      </c>
      <c r="D59" s="72">
        <f>INDEX($C$5:$C$6,MATCH(I59,$D$5:$D$6,0))</f>
        <v/>
      </c>
      <c r="E59" s="72">
        <f>INDEX($E$5:$E$6,MATCH(D59,$C$5:$C$6,0))</f>
        <v/>
      </c>
      <c r="F59" s="72">
        <f>INDEX($F$5:$F$6,MATCH(D59,$C$5:$C$6,0))</f>
        <v/>
      </c>
      <c r="G59" s="72">
        <f>INDEX($G$5:$G$6,MATCH(D59,$C$5:$C$6,0))</f>
        <v/>
      </c>
      <c r="H59" s="72" t="inlineStr">
        <is>
          <t>1211-4</t>
        </is>
      </c>
      <c r="I59" s="72" t="inlineStr">
        <is>
          <t>2x2-Parkwood</t>
        </is>
      </c>
      <c r="J59" s="84" t="n">
        <v>964</v>
      </c>
      <c r="K59" s="72" t="inlineStr">
        <is>
          <t>Selter, Aundrea</t>
        </is>
      </c>
      <c r="L59" s="85" t="n">
        <v>1174</v>
      </c>
      <c r="M59" s="85">
        <f>Y59</f>
        <v/>
      </c>
      <c r="N59" s="86" t="n">
        <v>46118</v>
      </c>
      <c r="O59" s="86" t="n">
        <v>46118</v>
      </c>
      <c r="P59" s="86" t="n">
        <v>46607</v>
      </c>
      <c r="R59" s="85" t="n">
        <v>0</v>
      </c>
      <c r="S59" s="85" t="n">
        <v>0</v>
      </c>
      <c r="T59" s="85" t="n">
        <v>0</v>
      </c>
      <c r="Y59" s="85" t="n">
        <v>1140</v>
      </c>
    </row>
    <row r="60">
      <c r="A60" s="80">
        <f>$D$19</f>
        <v/>
      </c>
      <c r="B60" s="80">
        <f>B59+1</f>
        <v/>
      </c>
      <c r="C60" s="80">
        <f>IF(K60="Vacant","Vac",IF(K60="Model","Model",IF(K60="Admin","Admin",IF(K60="Down","Down",IF(K60="Super","Super","Occ")))))</f>
        <v/>
      </c>
      <c r="D60" s="80">
        <f>INDEX($C$5:$C$6,MATCH(I60,$D$5:$D$6,0))</f>
        <v/>
      </c>
      <c r="E60" s="80">
        <f>INDEX($E$5:$E$6,MATCH(D60,$C$5:$C$6,0))</f>
        <v/>
      </c>
      <c r="F60" s="80">
        <f>INDEX($F$5:$F$6,MATCH(D60,$C$5:$C$6,0))</f>
        <v/>
      </c>
      <c r="G60" s="80">
        <f>INDEX($G$5:$G$6,MATCH(D60,$C$5:$C$6,0))</f>
        <v/>
      </c>
      <c r="H60" s="80" t="inlineStr">
        <is>
          <t>1211-5</t>
        </is>
      </c>
      <c r="I60" s="80" t="inlineStr">
        <is>
          <t>2x2-Gentry</t>
        </is>
      </c>
      <c r="J60" s="81" t="n">
        <v>860</v>
      </c>
      <c r="K60" s="80" t="inlineStr">
        <is>
          <t>Vacant</t>
        </is>
      </c>
      <c r="L60" s="82" t="n">
        <v>1176</v>
      </c>
      <c r="M60" s="82">
        <f>Y60</f>
        <v/>
      </c>
      <c r="N60" s="83" t="n"/>
      <c r="O60" s="83" t="n"/>
      <c r="P60" s="83" t="n"/>
      <c r="Q60" s="83" t="n"/>
      <c r="R60" s="82" t="n">
        <v>0</v>
      </c>
      <c r="S60" s="82" t="n">
        <v>0</v>
      </c>
      <c r="T60" s="82" t="n">
        <v>0</v>
      </c>
      <c r="U60" s="83" t="n"/>
      <c r="V60" s="83" t="n"/>
      <c r="W60" s="83" t="n"/>
      <c r="X60" s="83" t="n"/>
      <c r="Y60" s="82" t="n">
        <v>0</v>
      </c>
    </row>
    <row r="61">
      <c r="A61" s="72">
        <f>$D$19</f>
        <v/>
      </c>
      <c r="B61" s="72">
        <f>B60+1</f>
        <v/>
      </c>
      <c r="C61" s="72">
        <f>IF(K61="Vacant","Vac",IF(K61="Model","Model",IF(K61="Admin","Admin",IF(K61="Down","Down",IF(K61="Super","Super","Occ")))))</f>
        <v/>
      </c>
      <c r="D61" s="72">
        <f>INDEX($C$5:$C$6,MATCH(I61,$D$5:$D$6,0))</f>
        <v/>
      </c>
      <c r="E61" s="72">
        <f>INDEX($E$5:$E$6,MATCH(D61,$C$5:$C$6,0))</f>
        <v/>
      </c>
      <c r="F61" s="72">
        <f>INDEX($F$5:$F$6,MATCH(D61,$C$5:$C$6,0))</f>
        <v/>
      </c>
      <c r="G61" s="72">
        <f>INDEX($G$5:$G$6,MATCH(D61,$C$5:$C$6,0))</f>
        <v/>
      </c>
      <c r="H61" s="72" t="inlineStr">
        <is>
          <t>1211-6</t>
        </is>
      </c>
      <c r="I61" s="72" t="inlineStr">
        <is>
          <t>2x2-Parkwood</t>
        </is>
      </c>
      <c r="J61" s="84" t="n">
        <v>964</v>
      </c>
      <c r="K61" s="72" t="inlineStr">
        <is>
          <t>Presley, Allen</t>
        </is>
      </c>
      <c r="L61" s="85" t="n">
        <v>1200</v>
      </c>
      <c r="M61" s="85">
        <f>Y61</f>
        <v/>
      </c>
      <c r="N61" s="86" t="n">
        <v>44348</v>
      </c>
      <c r="O61" s="86" t="n">
        <v>45992</v>
      </c>
      <c r="P61" s="86" t="n">
        <v>46544</v>
      </c>
      <c r="R61" s="85" t="n">
        <v>0</v>
      </c>
      <c r="S61" s="85" t="n">
        <v>0</v>
      </c>
      <c r="T61" s="85" t="n">
        <v>0</v>
      </c>
      <c r="Y61" s="85" t="n">
        <v>973</v>
      </c>
    </row>
    <row r="62">
      <c r="A62" s="72">
        <f>$D$19</f>
        <v/>
      </c>
      <c r="B62" s="72">
        <f>B61+1</f>
        <v/>
      </c>
      <c r="C62" s="72">
        <f>IF(K62="Vacant","Vac",IF(K62="Model","Model",IF(K62="Admin","Admin",IF(K62="Down","Down",IF(K62="Super","Super","Occ")))))</f>
        <v/>
      </c>
      <c r="D62" s="72">
        <f>INDEX($C$5:$C$6,MATCH(I62,$D$5:$D$6,0))</f>
        <v/>
      </c>
      <c r="E62" s="72">
        <f>INDEX($E$5:$E$6,MATCH(D62,$C$5:$C$6,0))</f>
        <v/>
      </c>
      <c r="F62" s="72">
        <f>INDEX($F$5:$F$6,MATCH(D62,$C$5:$C$6,0))</f>
        <v/>
      </c>
      <c r="G62" s="72">
        <f>INDEX($G$5:$G$6,MATCH(D62,$C$5:$C$6,0))</f>
        <v/>
      </c>
      <c r="H62" s="72" t="inlineStr">
        <is>
          <t>1212-1</t>
        </is>
      </c>
      <c r="I62" s="72" t="inlineStr">
        <is>
          <t>2x2-Parkwood</t>
        </is>
      </c>
      <c r="J62" s="84" t="n">
        <v>964</v>
      </c>
      <c r="K62" s="72" t="inlineStr">
        <is>
          <t>Johnson, Marvet</t>
        </is>
      </c>
      <c r="L62" s="85" t="n">
        <v>1200</v>
      </c>
      <c r="M62" s="85">
        <f>Y62</f>
        <v/>
      </c>
      <c r="N62" s="86" t="n">
        <v>44228</v>
      </c>
      <c r="O62" s="86" t="n">
        <v>46146</v>
      </c>
      <c r="P62" s="86" t="n">
        <v>46516</v>
      </c>
      <c r="R62" s="85" t="n">
        <v>0</v>
      </c>
      <c r="S62" s="85" t="n">
        <v>0</v>
      </c>
      <c r="T62" s="85" t="n">
        <v>0</v>
      </c>
      <c r="Y62" s="85" t="n">
        <v>1131</v>
      </c>
    </row>
    <row r="63">
      <c r="A63" s="72">
        <f>$D$19</f>
        <v/>
      </c>
      <c r="B63" s="72">
        <f>B62+1</f>
        <v/>
      </c>
      <c r="C63" s="72">
        <f>IF(K63="Vacant","Vac",IF(K63="Model","Model",IF(K63="Admin","Admin",IF(K63="Down","Down",IF(K63="Super","Super","Occ")))))</f>
        <v/>
      </c>
      <c r="D63" s="72">
        <f>INDEX($C$5:$C$6,MATCH(I63,$D$5:$D$6,0))</f>
        <v/>
      </c>
      <c r="E63" s="72">
        <f>INDEX($E$5:$E$6,MATCH(D63,$C$5:$C$6,0))</f>
        <v/>
      </c>
      <c r="F63" s="72">
        <f>INDEX($F$5:$F$6,MATCH(D63,$C$5:$C$6,0))</f>
        <v/>
      </c>
      <c r="G63" s="72">
        <f>INDEX($G$5:$G$6,MATCH(D63,$C$5:$C$6,0))</f>
        <v/>
      </c>
      <c r="H63" s="72" t="inlineStr">
        <is>
          <t>1212-2</t>
        </is>
      </c>
      <c r="I63" s="72" t="inlineStr">
        <is>
          <t>2x2-Gentry</t>
        </is>
      </c>
      <c r="J63" s="84" t="n">
        <v>860</v>
      </c>
      <c r="K63" s="72" t="inlineStr">
        <is>
          <t>Russell, Marie</t>
        </is>
      </c>
      <c r="L63" s="85" t="n">
        <v>1175</v>
      </c>
      <c r="M63" s="85">
        <f>Y63</f>
        <v/>
      </c>
      <c r="N63" s="86" t="n">
        <v>45199</v>
      </c>
      <c r="O63" s="86" t="n">
        <v>45931</v>
      </c>
      <c r="P63" s="86" t="n">
        <v>46481</v>
      </c>
      <c r="R63" s="85" t="n">
        <v>0</v>
      </c>
      <c r="S63" s="85" t="n">
        <v>0</v>
      </c>
      <c r="T63" s="85" t="n">
        <v>0</v>
      </c>
      <c r="Y63" s="85" t="n">
        <v>1096</v>
      </c>
    </row>
    <row r="64">
      <c r="A64" s="72">
        <f>$D$19</f>
        <v/>
      </c>
      <c r="B64" s="72">
        <f>B63+1</f>
        <v/>
      </c>
      <c r="C64" s="72">
        <f>IF(K64="Vacant","Vac",IF(K64="Model","Model",IF(K64="Admin","Admin",IF(K64="Down","Down",IF(K64="Super","Super","Occ")))))</f>
        <v/>
      </c>
      <c r="D64" s="72">
        <f>INDEX($C$5:$C$6,MATCH(I64,$D$5:$D$6,0))</f>
        <v/>
      </c>
      <c r="E64" s="72">
        <f>INDEX($E$5:$E$6,MATCH(D64,$C$5:$C$6,0))</f>
        <v/>
      </c>
      <c r="F64" s="72">
        <f>INDEX($F$5:$F$6,MATCH(D64,$C$5:$C$6,0))</f>
        <v/>
      </c>
      <c r="G64" s="72">
        <f>INDEX($G$5:$G$6,MATCH(D64,$C$5:$C$6,0))</f>
        <v/>
      </c>
      <c r="H64" s="72" t="inlineStr">
        <is>
          <t>1212-3</t>
        </is>
      </c>
      <c r="I64" s="72" t="inlineStr">
        <is>
          <t>2x2-Parkwood</t>
        </is>
      </c>
      <c r="J64" s="84" t="n">
        <v>964</v>
      </c>
      <c r="K64" s="72" t="inlineStr">
        <is>
          <t>Culp, Bethany</t>
        </is>
      </c>
      <c r="L64" s="85" t="n">
        <v>1235</v>
      </c>
      <c r="M64" s="85">
        <f>Y64</f>
        <v/>
      </c>
      <c r="N64" s="86" t="n">
        <v>45976</v>
      </c>
      <c r="O64" s="86" t="n">
        <v>45976</v>
      </c>
      <c r="P64" s="86" t="n">
        <v>46523</v>
      </c>
      <c r="R64" s="85" t="n">
        <v>0</v>
      </c>
      <c r="S64" s="85" t="n">
        <v>0</v>
      </c>
      <c r="T64" s="85" t="n">
        <v>0</v>
      </c>
      <c r="Y64" s="85" t="n">
        <v>1184</v>
      </c>
    </row>
    <row r="65">
      <c r="A65" s="72">
        <f>$D$19</f>
        <v/>
      </c>
      <c r="B65" s="72">
        <f>B64+1</f>
        <v/>
      </c>
      <c r="C65" s="72">
        <f>IF(K65="Vacant","Vac",IF(K65="Model","Model",IF(K65="Admin","Admin",IF(K65="Down","Down",IF(K65="Super","Super","Occ")))))</f>
        <v/>
      </c>
      <c r="D65" s="72">
        <f>INDEX($C$5:$C$6,MATCH(I65,$D$5:$D$6,0))</f>
        <v/>
      </c>
      <c r="E65" s="72">
        <f>INDEX($E$5:$E$6,MATCH(D65,$C$5:$C$6,0))</f>
        <v/>
      </c>
      <c r="F65" s="72">
        <f>INDEX($F$5:$F$6,MATCH(D65,$C$5:$C$6,0))</f>
        <v/>
      </c>
      <c r="G65" s="72">
        <f>INDEX($G$5:$G$6,MATCH(D65,$C$5:$C$6,0))</f>
        <v/>
      </c>
      <c r="H65" s="72" t="inlineStr">
        <is>
          <t>1212-4</t>
        </is>
      </c>
      <c r="I65" s="72" t="inlineStr">
        <is>
          <t>2x2-Parkwood</t>
        </is>
      </c>
      <c r="J65" s="84" t="n">
        <v>964</v>
      </c>
      <c r="K65" s="72" t="inlineStr">
        <is>
          <t>Accuardi, John</t>
        </is>
      </c>
      <c r="L65" s="85" t="n">
        <v>1200</v>
      </c>
      <c r="M65" s="85">
        <f>Y65</f>
        <v/>
      </c>
      <c r="N65" s="86" t="n">
        <v>43957</v>
      </c>
      <c r="O65" s="86" t="n">
        <v>46113</v>
      </c>
      <c r="P65" s="86" t="n">
        <v>46635</v>
      </c>
      <c r="R65" s="85" t="n">
        <v>0</v>
      </c>
      <c r="S65" s="85" t="n">
        <v>0</v>
      </c>
      <c r="T65" s="85" t="n">
        <v>0</v>
      </c>
      <c r="Y65" s="85" t="n">
        <v>1200</v>
      </c>
    </row>
    <row r="66">
      <c r="A66" s="72">
        <f>$D$19</f>
        <v/>
      </c>
      <c r="B66" s="72">
        <f>B65+1</f>
        <v/>
      </c>
      <c r="C66" s="72">
        <f>IF(K66="Vacant","Vac",IF(K66="Model","Model",IF(K66="Admin","Admin",IF(K66="Down","Down",IF(K66="Super","Super","Occ")))))</f>
        <v/>
      </c>
      <c r="D66" s="72">
        <f>INDEX($C$5:$C$6,MATCH(I66,$D$5:$D$6,0))</f>
        <v/>
      </c>
      <c r="E66" s="72">
        <f>INDEX($E$5:$E$6,MATCH(D66,$C$5:$C$6,0))</f>
        <v/>
      </c>
      <c r="F66" s="72">
        <f>INDEX($F$5:$F$6,MATCH(D66,$C$5:$C$6,0))</f>
        <v/>
      </c>
      <c r="G66" s="72">
        <f>INDEX($G$5:$G$6,MATCH(D66,$C$5:$C$6,0))</f>
        <v/>
      </c>
      <c r="H66" s="72" t="inlineStr">
        <is>
          <t>1212-5</t>
        </is>
      </c>
      <c r="I66" s="72" t="inlineStr">
        <is>
          <t>2x2-Gentry</t>
        </is>
      </c>
      <c r="J66" s="84" t="n">
        <v>860</v>
      </c>
      <c r="K66" s="72" t="inlineStr">
        <is>
          <t>Swanson, Brandon</t>
        </is>
      </c>
      <c r="L66" s="85" t="n">
        <v>1175</v>
      </c>
      <c r="M66" s="85">
        <f>Y66</f>
        <v/>
      </c>
      <c r="N66" s="86" t="n">
        <v>43980</v>
      </c>
      <c r="O66" s="86" t="n">
        <v>46174</v>
      </c>
      <c r="P66" s="86" t="n">
        <v>46635</v>
      </c>
      <c r="R66" s="85" t="n">
        <v>0</v>
      </c>
      <c r="S66" s="85" t="n">
        <v>0</v>
      </c>
      <c r="T66" s="85" t="n">
        <v>0</v>
      </c>
      <c r="Y66" s="85" t="n">
        <v>1178</v>
      </c>
    </row>
    <row r="67">
      <c r="A67" s="72">
        <f>$D$19</f>
        <v/>
      </c>
      <c r="B67" s="72">
        <f>B66+1</f>
        <v/>
      </c>
      <c r="C67" s="72">
        <f>IF(K67="Vacant","Vac",IF(K67="Model","Model",IF(K67="Admin","Admin",IF(K67="Down","Down",IF(K67="Super","Super","Occ")))))</f>
        <v/>
      </c>
      <c r="D67" s="72">
        <f>INDEX($C$5:$C$6,MATCH(I67,$D$5:$D$6,0))</f>
        <v/>
      </c>
      <c r="E67" s="72">
        <f>INDEX($E$5:$E$6,MATCH(D67,$C$5:$C$6,0))</f>
        <v/>
      </c>
      <c r="F67" s="72">
        <f>INDEX($F$5:$F$6,MATCH(D67,$C$5:$C$6,0))</f>
        <v/>
      </c>
      <c r="G67" s="72">
        <f>INDEX($G$5:$G$6,MATCH(D67,$C$5:$C$6,0))</f>
        <v/>
      </c>
      <c r="H67" s="72" t="inlineStr">
        <is>
          <t>1212-6</t>
        </is>
      </c>
      <c r="I67" s="72" t="inlineStr">
        <is>
          <t>2x2-Parkwood</t>
        </is>
      </c>
      <c r="J67" s="84" t="n">
        <v>964</v>
      </c>
      <c r="K67" s="72" t="inlineStr">
        <is>
          <t>Green, Latania</t>
        </is>
      </c>
      <c r="L67" s="85" t="n">
        <v>1206</v>
      </c>
      <c r="M67" s="85">
        <f>Y67</f>
        <v/>
      </c>
      <c r="N67" s="86" t="n">
        <v>46155</v>
      </c>
      <c r="O67" s="86" t="n">
        <v>46155</v>
      </c>
      <c r="P67" s="86" t="n">
        <v>46586</v>
      </c>
      <c r="R67" s="85" t="n">
        <v>0</v>
      </c>
      <c r="S67" s="85" t="n">
        <v>0</v>
      </c>
      <c r="T67" s="85" t="n">
        <v>0</v>
      </c>
      <c r="Y67" s="85" t="n">
        <v>1206</v>
      </c>
    </row>
    <row r="68">
      <c r="A68" s="72">
        <f>$D$19</f>
        <v/>
      </c>
      <c r="B68" s="72">
        <f>B67+1</f>
        <v/>
      </c>
      <c r="C68" s="72">
        <f>IF(K68="Vacant","Vac",IF(K68="Model","Model",IF(K68="Admin","Admin",IF(K68="Down","Down",IF(K68="Super","Super","Occ")))))</f>
        <v/>
      </c>
      <c r="D68" s="72">
        <f>INDEX($C$5:$C$6,MATCH(I68,$D$5:$D$6,0))</f>
        <v/>
      </c>
      <c r="E68" s="72">
        <f>INDEX($E$5:$E$6,MATCH(D68,$C$5:$C$6,0))</f>
        <v/>
      </c>
      <c r="F68" s="72">
        <f>INDEX($F$5:$F$6,MATCH(D68,$C$5:$C$6,0))</f>
        <v/>
      </c>
      <c r="G68" s="72">
        <f>INDEX($G$5:$G$6,MATCH(D68,$C$5:$C$6,0))</f>
        <v/>
      </c>
      <c r="H68" s="72" t="inlineStr">
        <is>
          <t>1213-1</t>
        </is>
      </c>
      <c r="I68" s="72" t="inlineStr">
        <is>
          <t>2x2-Parkwood</t>
        </is>
      </c>
      <c r="J68" s="84" t="n">
        <v>964</v>
      </c>
      <c r="K68" s="72" t="inlineStr">
        <is>
          <t>lockard, catherine</t>
        </is>
      </c>
      <c r="L68" s="85" t="n">
        <v>1256</v>
      </c>
      <c r="M68" s="85">
        <f>Y68</f>
        <v/>
      </c>
      <c r="N68" s="86" t="n">
        <v>46248</v>
      </c>
      <c r="O68" s="86" t="n">
        <v>46248</v>
      </c>
      <c r="P68" s="86" t="n">
        <v>46796</v>
      </c>
      <c r="R68" s="85" t="n">
        <v>0</v>
      </c>
      <c r="S68" s="85" t="n">
        <v>0</v>
      </c>
      <c r="T68" s="85" t="n">
        <v>0</v>
      </c>
      <c r="Y68" s="85" t="n">
        <v>1298</v>
      </c>
    </row>
    <row r="69">
      <c r="A69" s="80">
        <f>$D$19</f>
        <v/>
      </c>
      <c r="B69" s="80">
        <f>B68+1</f>
        <v/>
      </c>
      <c r="C69" s="80">
        <f>IF(K69="Vacant","Vac",IF(K69="Model","Model",IF(K69="Admin","Admin",IF(K69="Down","Down",IF(K69="Super","Super","Occ")))))</f>
        <v/>
      </c>
      <c r="D69" s="80">
        <f>INDEX($C$5:$C$6,MATCH(I69,$D$5:$D$6,0))</f>
        <v/>
      </c>
      <c r="E69" s="80">
        <f>INDEX($E$5:$E$6,MATCH(D69,$C$5:$C$6,0))</f>
        <v/>
      </c>
      <c r="F69" s="80">
        <f>INDEX($F$5:$F$6,MATCH(D69,$C$5:$C$6,0))</f>
        <v/>
      </c>
      <c r="G69" s="80">
        <f>INDEX($G$5:$G$6,MATCH(D69,$C$5:$C$6,0))</f>
        <v/>
      </c>
      <c r="H69" s="80" t="inlineStr">
        <is>
          <t>1213-2</t>
        </is>
      </c>
      <c r="I69" s="80" t="inlineStr">
        <is>
          <t>2x2-Gentry</t>
        </is>
      </c>
      <c r="J69" s="81" t="n">
        <v>860</v>
      </c>
      <c r="K69" s="80" t="inlineStr">
        <is>
          <t>Vacant</t>
        </is>
      </c>
      <c r="L69" s="82" t="n">
        <v>1176</v>
      </c>
      <c r="M69" s="82">
        <f>Y69</f>
        <v/>
      </c>
      <c r="N69" s="83" t="n"/>
      <c r="O69" s="83" t="n"/>
      <c r="P69" s="83" t="n"/>
      <c r="Q69" s="83" t="n"/>
      <c r="R69" s="82" t="n">
        <v>0</v>
      </c>
      <c r="S69" s="82" t="n">
        <v>0</v>
      </c>
      <c r="T69" s="82" t="n">
        <v>0</v>
      </c>
      <c r="U69" s="83" t="n"/>
      <c r="V69" s="83" t="n"/>
      <c r="W69" s="83" t="n"/>
      <c r="X69" s="83" t="n"/>
      <c r="Y69" s="82" t="n">
        <v>0</v>
      </c>
    </row>
    <row r="70">
      <c r="A70" s="72">
        <f>$D$19</f>
        <v/>
      </c>
      <c r="B70" s="72">
        <f>B69+1</f>
        <v/>
      </c>
      <c r="C70" s="72">
        <f>IF(K70="Vacant","Vac",IF(K70="Model","Model",IF(K70="Admin","Admin",IF(K70="Down","Down",IF(K70="Super","Super","Occ")))))</f>
        <v/>
      </c>
      <c r="D70" s="72">
        <f>INDEX($C$5:$C$6,MATCH(I70,$D$5:$D$6,0))</f>
        <v/>
      </c>
      <c r="E70" s="72">
        <f>INDEX($E$5:$E$6,MATCH(D70,$C$5:$C$6,0))</f>
        <v/>
      </c>
      <c r="F70" s="72">
        <f>INDEX($F$5:$F$6,MATCH(D70,$C$5:$C$6,0))</f>
        <v/>
      </c>
      <c r="G70" s="72">
        <f>INDEX($G$5:$G$6,MATCH(D70,$C$5:$C$6,0))</f>
        <v/>
      </c>
      <c r="H70" s="72" t="inlineStr">
        <is>
          <t>1213-3</t>
        </is>
      </c>
      <c r="I70" s="72" t="inlineStr">
        <is>
          <t>2x2-Parkwood</t>
        </is>
      </c>
      <c r="J70" s="84" t="n">
        <v>964</v>
      </c>
      <c r="K70" s="72" t="inlineStr">
        <is>
          <t>Kelly, John</t>
        </is>
      </c>
      <c r="L70" s="85" t="n">
        <v>1225</v>
      </c>
      <c r="M70" s="85">
        <f>Y70</f>
        <v/>
      </c>
      <c r="N70" s="86" t="n">
        <v>46218</v>
      </c>
      <c r="O70" s="86" t="n">
        <v>46218</v>
      </c>
      <c r="P70" s="86" t="n">
        <v>46495</v>
      </c>
      <c r="R70" s="85" t="n">
        <v>0</v>
      </c>
      <c r="S70" s="85" t="n">
        <v>0</v>
      </c>
      <c r="T70" s="85" t="n">
        <v>0</v>
      </c>
      <c r="Y70" s="85" t="n">
        <v>1226</v>
      </c>
    </row>
    <row r="71">
      <c r="A71" s="72">
        <f>$D$19</f>
        <v/>
      </c>
      <c r="B71" s="72">
        <f>B70+1</f>
        <v/>
      </c>
      <c r="C71" s="72">
        <f>IF(K71="Vacant","Vac",IF(K71="Model","Model",IF(K71="Admin","Admin",IF(K71="Down","Down",IF(K71="Super","Super","Occ")))))</f>
        <v/>
      </c>
      <c r="D71" s="72">
        <f>INDEX($C$5:$C$6,MATCH(I71,$D$5:$D$6,0))</f>
        <v/>
      </c>
      <c r="E71" s="72">
        <f>INDEX($E$5:$E$6,MATCH(D71,$C$5:$C$6,0))</f>
        <v/>
      </c>
      <c r="F71" s="72">
        <f>INDEX($F$5:$F$6,MATCH(D71,$C$5:$C$6,0))</f>
        <v/>
      </c>
      <c r="G71" s="72">
        <f>INDEX($G$5:$G$6,MATCH(D71,$C$5:$C$6,0))</f>
        <v/>
      </c>
      <c r="H71" s="72" t="inlineStr">
        <is>
          <t>1213-4</t>
        </is>
      </c>
      <c r="I71" s="72" t="inlineStr">
        <is>
          <t>2x2-Parkwood</t>
        </is>
      </c>
      <c r="J71" s="84" t="n">
        <v>964</v>
      </c>
      <c r="K71" s="72" t="inlineStr">
        <is>
          <t>Anderson, Cristopher</t>
        </is>
      </c>
      <c r="L71" s="85" t="n">
        <v>1155</v>
      </c>
      <c r="M71" s="85">
        <f>Y71</f>
        <v/>
      </c>
      <c r="N71" s="86" t="n">
        <v>46129</v>
      </c>
      <c r="O71" s="86" t="n">
        <v>46129</v>
      </c>
      <c r="P71" s="86" t="n">
        <v>46621</v>
      </c>
      <c r="R71" s="85" t="n">
        <v>0</v>
      </c>
      <c r="S71" s="85" t="n">
        <v>0</v>
      </c>
      <c r="T71" s="85" t="n">
        <v>0</v>
      </c>
      <c r="Y71" s="85" t="n">
        <v>1152</v>
      </c>
    </row>
    <row r="72">
      <c r="A72" s="72">
        <f>$D$19</f>
        <v/>
      </c>
      <c r="B72" s="72">
        <f>B71+1</f>
        <v/>
      </c>
      <c r="C72" s="72">
        <f>IF(K72="Vacant","Vac",IF(K72="Model","Model",IF(K72="Admin","Admin",IF(K72="Down","Down",IF(K72="Super","Super","Occ")))))</f>
        <v/>
      </c>
      <c r="D72" s="72">
        <f>INDEX($C$5:$C$6,MATCH(I72,$D$5:$D$6,0))</f>
        <v/>
      </c>
      <c r="E72" s="72">
        <f>INDEX($E$5:$E$6,MATCH(D72,$C$5:$C$6,0))</f>
        <v/>
      </c>
      <c r="F72" s="72">
        <f>INDEX($F$5:$F$6,MATCH(D72,$C$5:$C$6,0))</f>
        <v/>
      </c>
      <c r="G72" s="72">
        <f>INDEX($G$5:$G$6,MATCH(D72,$C$5:$C$6,0))</f>
        <v/>
      </c>
      <c r="H72" s="72" t="inlineStr">
        <is>
          <t>1213-5</t>
        </is>
      </c>
      <c r="I72" s="72" t="inlineStr">
        <is>
          <t>2x2-Gentry</t>
        </is>
      </c>
      <c r="J72" s="84" t="n">
        <v>860</v>
      </c>
      <c r="K72" s="72" t="inlineStr">
        <is>
          <t>Vuolo, Matthew</t>
        </is>
      </c>
      <c r="L72" s="85" t="n">
        <v>1305</v>
      </c>
      <c r="M72" s="85">
        <f>Y72</f>
        <v/>
      </c>
      <c r="N72" s="86" t="n">
        <v>45884</v>
      </c>
      <c r="O72" s="86" t="n">
        <v>46251</v>
      </c>
      <c r="P72" s="86" t="n">
        <v>46649</v>
      </c>
      <c r="R72" s="85" t="n">
        <v>0</v>
      </c>
      <c r="S72" s="85" t="n">
        <v>0</v>
      </c>
      <c r="T72" s="85" t="n">
        <v>0</v>
      </c>
      <c r="Y72" s="85" t="n">
        <v>1176</v>
      </c>
    </row>
    <row r="73">
      <c r="A73" s="72">
        <f>$D$19</f>
        <v/>
      </c>
      <c r="B73" s="72">
        <f>B72+1</f>
        <v/>
      </c>
      <c r="C73" s="72">
        <f>IF(K73="Vacant","Vac",IF(K73="Model","Model",IF(K73="Admin","Admin",IF(K73="Down","Down",IF(K73="Super","Super","Occ")))))</f>
        <v/>
      </c>
      <c r="D73" s="72">
        <f>INDEX($C$5:$C$6,MATCH(I73,$D$5:$D$6,0))</f>
        <v/>
      </c>
      <c r="E73" s="72">
        <f>INDEX($E$5:$E$6,MATCH(D73,$C$5:$C$6,0))</f>
        <v/>
      </c>
      <c r="F73" s="72">
        <f>INDEX($F$5:$F$6,MATCH(D73,$C$5:$C$6,0))</f>
        <v/>
      </c>
      <c r="G73" s="72">
        <f>INDEX($G$5:$G$6,MATCH(D73,$C$5:$C$6,0))</f>
        <v/>
      </c>
      <c r="H73" s="72" t="inlineStr">
        <is>
          <t>1213-6</t>
        </is>
      </c>
      <c r="I73" s="72" t="inlineStr">
        <is>
          <t>2x2-Parkwood</t>
        </is>
      </c>
      <c r="J73" s="84" t="n">
        <v>964</v>
      </c>
      <c r="K73" s="72" t="inlineStr">
        <is>
          <t>Goodman EMPLOYEE, Lorie</t>
        </is>
      </c>
      <c r="L73" s="85" t="n">
        <v>1364</v>
      </c>
      <c r="M73" s="85">
        <f>Y73</f>
        <v/>
      </c>
      <c r="N73" s="86" t="n">
        <v>45966</v>
      </c>
      <c r="O73" s="86" t="n">
        <v>45966</v>
      </c>
      <c r="P73" s="86" t="n">
        <v>46516</v>
      </c>
      <c r="R73" s="85" t="n">
        <v>0</v>
      </c>
      <c r="S73" s="85" t="n">
        <v>0</v>
      </c>
      <c r="T73" s="85" t="n">
        <v>0</v>
      </c>
      <c r="Y73" s="85" t="n">
        <v>1215</v>
      </c>
    </row>
    <row r="74">
      <c r="A74" s="72">
        <f>$D$19</f>
        <v/>
      </c>
      <c r="B74" s="72">
        <f>B73+1</f>
        <v/>
      </c>
      <c r="C74" s="72">
        <f>IF(K74="Vacant","Vac",IF(K74="Model","Model",IF(K74="Admin","Admin",IF(K74="Down","Down",IF(K74="Super","Super","Occ")))))</f>
        <v/>
      </c>
      <c r="D74" s="72">
        <f>INDEX($C$5:$C$6,MATCH(I74,$D$5:$D$6,0))</f>
        <v/>
      </c>
      <c r="E74" s="72">
        <f>INDEX($E$5:$E$6,MATCH(D74,$C$5:$C$6,0))</f>
        <v/>
      </c>
      <c r="F74" s="72">
        <f>INDEX($F$5:$F$6,MATCH(D74,$C$5:$C$6,0))</f>
        <v/>
      </c>
      <c r="G74" s="72">
        <f>INDEX($G$5:$G$6,MATCH(D74,$C$5:$C$6,0))</f>
        <v/>
      </c>
      <c r="H74" s="72" t="inlineStr">
        <is>
          <t>1215-1</t>
        </is>
      </c>
      <c r="I74" s="72" t="inlineStr">
        <is>
          <t>2x2-Parkwood</t>
        </is>
      </c>
      <c r="J74" s="84" t="n">
        <v>964</v>
      </c>
      <c r="K74" s="72" t="inlineStr">
        <is>
          <t>Riesen, Evan</t>
        </is>
      </c>
      <c r="L74" s="85" t="n">
        <v>1099</v>
      </c>
      <c r="M74" s="85">
        <f>Y74</f>
        <v/>
      </c>
      <c r="N74" s="86" t="n">
        <v>46102</v>
      </c>
      <c r="O74" s="86" t="n">
        <v>46102</v>
      </c>
      <c r="P74" s="86" t="n">
        <v>46593</v>
      </c>
      <c r="R74" s="85" t="n">
        <v>0</v>
      </c>
      <c r="S74" s="85" t="n">
        <v>0</v>
      </c>
      <c r="T74" s="85" t="n">
        <v>0</v>
      </c>
      <c r="Y74" s="85" t="n">
        <v>1099</v>
      </c>
    </row>
    <row r="75">
      <c r="A75" s="72">
        <f>$D$19</f>
        <v/>
      </c>
      <c r="B75" s="72">
        <f>B74+1</f>
        <v/>
      </c>
      <c r="C75" s="72">
        <f>IF(K75="Vacant","Vac",IF(K75="Model","Model",IF(K75="Admin","Admin",IF(K75="Down","Down",IF(K75="Super","Super","Occ")))))</f>
        <v/>
      </c>
      <c r="D75" s="72">
        <f>INDEX($C$5:$C$6,MATCH(I75,$D$5:$D$6,0))</f>
        <v/>
      </c>
      <c r="E75" s="72">
        <f>INDEX($E$5:$E$6,MATCH(D75,$C$5:$C$6,0))</f>
        <v/>
      </c>
      <c r="F75" s="72">
        <f>INDEX($F$5:$F$6,MATCH(D75,$C$5:$C$6,0))</f>
        <v/>
      </c>
      <c r="G75" s="72">
        <f>INDEX($G$5:$G$6,MATCH(D75,$C$5:$C$6,0))</f>
        <v/>
      </c>
      <c r="H75" s="72" t="inlineStr">
        <is>
          <t>1215-2</t>
        </is>
      </c>
      <c r="I75" s="72" t="inlineStr">
        <is>
          <t>2x2-Gentry</t>
        </is>
      </c>
      <c r="J75" s="84" t="n">
        <v>860</v>
      </c>
      <c r="K75" s="72" t="inlineStr">
        <is>
          <t>Bennett, Octavia</t>
        </is>
      </c>
      <c r="L75" s="85" t="n">
        <v>1175</v>
      </c>
      <c r="M75" s="85">
        <f>Y75</f>
        <v/>
      </c>
      <c r="N75" s="86" t="n">
        <v>45422</v>
      </c>
      <c r="O75" s="86" t="n">
        <v>46174</v>
      </c>
      <c r="P75" s="86" t="n">
        <v>46635</v>
      </c>
      <c r="R75" s="85" t="n">
        <v>0</v>
      </c>
      <c r="S75" s="85" t="n">
        <v>0</v>
      </c>
      <c r="T75" s="85" t="n">
        <v>0</v>
      </c>
      <c r="Y75" s="85" t="n">
        <v>1198</v>
      </c>
    </row>
    <row r="76">
      <c r="A76" s="72">
        <f>$D$19</f>
        <v/>
      </c>
      <c r="B76" s="72">
        <f>B75+1</f>
        <v/>
      </c>
      <c r="C76" s="72">
        <f>IF(K76="Vacant","Vac",IF(K76="Model","Model",IF(K76="Admin","Admin",IF(K76="Down","Down",IF(K76="Super","Super","Occ")))))</f>
        <v/>
      </c>
      <c r="D76" s="72">
        <f>INDEX($C$5:$C$6,MATCH(I76,$D$5:$D$6,0))</f>
        <v/>
      </c>
      <c r="E76" s="72">
        <f>INDEX($E$5:$E$6,MATCH(D76,$C$5:$C$6,0))</f>
        <v/>
      </c>
      <c r="F76" s="72">
        <f>INDEX($F$5:$F$6,MATCH(D76,$C$5:$C$6,0))</f>
        <v/>
      </c>
      <c r="G76" s="72">
        <f>INDEX($G$5:$G$6,MATCH(D76,$C$5:$C$6,0))</f>
        <v/>
      </c>
      <c r="H76" s="72" t="inlineStr">
        <is>
          <t>1215-3</t>
        </is>
      </c>
      <c r="I76" s="72" t="inlineStr">
        <is>
          <t>2x2-Parkwood</t>
        </is>
      </c>
      <c r="J76" s="84" t="n">
        <v>964</v>
      </c>
      <c r="K76" s="72" t="inlineStr">
        <is>
          <t>Wyatt, Daquan</t>
        </is>
      </c>
      <c r="L76" s="85" t="n">
        <v>1233</v>
      </c>
      <c r="M76" s="85">
        <f>Y76</f>
        <v/>
      </c>
      <c r="N76" s="86" t="n">
        <v>45973</v>
      </c>
      <c r="O76" s="86" t="n">
        <v>45973</v>
      </c>
      <c r="P76" s="86" t="n">
        <v>46523</v>
      </c>
      <c r="R76" s="85" t="n">
        <v>0</v>
      </c>
      <c r="S76" s="85" t="n">
        <v>0</v>
      </c>
      <c r="T76" s="85" t="n">
        <v>0</v>
      </c>
      <c r="Y76" s="85" t="n">
        <v>1150</v>
      </c>
    </row>
    <row r="77">
      <c r="A77" s="72">
        <f>$D$19</f>
        <v/>
      </c>
      <c r="B77" s="72">
        <f>B76+1</f>
        <v/>
      </c>
      <c r="C77" s="72">
        <f>IF(K77="Vacant","Vac",IF(K77="Model","Model",IF(K77="Admin","Admin",IF(K77="Down","Down",IF(K77="Super","Super","Occ")))))</f>
        <v/>
      </c>
      <c r="D77" s="72">
        <f>INDEX($C$5:$C$6,MATCH(I77,$D$5:$D$6,0))</f>
        <v/>
      </c>
      <c r="E77" s="72">
        <f>INDEX($E$5:$E$6,MATCH(D77,$C$5:$C$6,0))</f>
        <v/>
      </c>
      <c r="F77" s="72">
        <f>INDEX($F$5:$F$6,MATCH(D77,$C$5:$C$6,0))</f>
        <v/>
      </c>
      <c r="G77" s="72">
        <f>INDEX($G$5:$G$6,MATCH(D77,$C$5:$C$6,0))</f>
        <v/>
      </c>
      <c r="H77" s="72" t="inlineStr">
        <is>
          <t>1215-4</t>
        </is>
      </c>
      <c r="I77" s="72" t="inlineStr">
        <is>
          <t>2x2-Parkwood</t>
        </is>
      </c>
      <c r="J77" s="84" t="n">
        <v>964</v>
      </c>
      <c r="K77" s="72" t="inlineStr">
        <is>
          <t>Thomas, Kobe</t>
        </is>
      </c>
      <c r="L77" s="85" t="n">
        <v>1200</v>
      </c>
      <c r="M77" s="85">
        <f>Y77</f>
        <v/>
      </c>
      <c r="N77" s="86" t="n">
        <v>45819</v>
      </c>
      <c r="O77" s="86" t="n">
        <v>46188</v>
      </c>
      <c r="P77" s="86" t="n">
        <v>46558</v>
      </c>
      <c r="R77" s="85" t="n">
        <v>0</v>
      </c>
      <c r="S77" s="85" t="n">
        <v>0</v>
      </c>
      <c r="T77" s="85" t="n">
        <v>0</v>
      </c>
      <c r="Y77" s="85" t="n">
        <v>1228</v>
      </c>
    </row>
    <row r="78">
      <c r="A78" s="80">
        <f>$D$19</f>
        <v/>
      </c>
      <c r="B78" s="80">
        <f>B77+1</f>
        <v/>
      </c>
      <c r="C78" s="80">
        <f>IF(K78="Vacant","Vac",IF(K78="Model","Model",IF(K78="Admin","Admin",IF(K78="Down","Down",IF(K78="Super","Super","Occ")))))</f>
        <v/>
      </c>
      <c r="D78" s="80">
        <f>INDEX($C$5:$C$6,MATCH(I78,$D$5:$D$6,0))</f>
        <v/>
      </c>
      <c r="E78" s="80">
        <f>INDEX($E$5:$E$6,MATCH(D78,$C$5:$C$6,0))</f>
        <v/>
      </c>
      <c r="F78" s="80">
        <f>INDEX($F$5:$F$6,MATCH(D78,$C$5:$C$6,0))</f>
        <v/>
      </c>
      <c r="G78" s="80">
        <f>INDEX($G$5:$G$6,MATCH(D78,$C$5:$C$6,0))</f>
        <v/>
      </c>
      <c r="H78" s="80" t="inlineStr">
        <is>
          <t>1215-5</t>
        </is>
      </c>
      <c r="I78" s="80" t="inlineStr">
        <is>
          <t>2x2-Gentry</t>
        </is>
      </c>
      <c r="J78" s="81" t="n">
        <v>860</v>
      </c>
      <c r="K78" s="80" t="inlineStr">
        <is>
          <t>Vacant</t>
        </is>
      </c>
      <c r="L78" s="82" t="n">
        <v>1176</v>
      </c>
      <c r="M78" s="82">
        <f>Y78</f>
        <v/>
      </c>
      <c r="N78" s="83" t="n"/>
      <c r="O78" s="83" t="n"/>
      <c r="P78" s="83" t="n"/>
      <c r="Q78" s="83" t="n"/>
      <c r="R78" s="82" t="n">
        <v>0</v>
      </c>
      <c r="S78" s="82" t="n">
        <v>0</v>
      </c>
      <c r="T78" s="82" t="n">
        <v>0</v>
      </c>
      <c r="U78" s="83" t="n"/>
      <c r="V78" s="83" t="n"/>
      <c r="W78" s="83" t="n"/>
      <c r="X78" s="83" t="n"/>
      <c r="Y78" s="82" t="n">
        <v>0</v>
      </c>
    </row>
    <row r="79">
      <c r="A79" s="72">
        <f>$D$19</f>
        <v/>
      </c>
      <c r="B79" s="72">
        <f>B78+1</f>
        <v/>
      </c>
      <c r="C79" s="72">
        <f>IF(K79="Vacant","Vac",IF(K79="Model","Model",IF(K79="Admin","Admin",IF(K79="Down","Down",IF(K79="Super","Super","Occ")))))</f>
        <v/>
      </c>
      <c r="D79" s="72">
        <f>INDEX($C$5:$C$6,MATCH(I79,$D$5:$D$6,0))</f>
        <v/>
      </c>
      <c r="E79" s="72">
        <f>INDEX($E$5:$E$6,MATCH(D79,$C$5:$C$6,0))</f>
        <v/>
      </c>
      <c r="F79" s="72">
        <f>INDEX($F$5:$F$6,MATCH(D79,$C$5:$C$6,0))</f>
        <v/>
      </c>
      <c r="G79" s="72">
        <f>INDEX($G$5:$G$6,MATCH(D79,$C$5:$C$6,0))</f>
        <v/>
      </c>
      <c r="H79" s="72" t="inlineStr">
        <is>
          <t>1215-6</t>
        </is>
      </c>
      <c r="I79" s="72" t="inlineStr">
        <is>
          <t>2x2-Parkwood</t>
        </is>
      </c>
      <c r="J79" s="84" t="n">
        <v>964</v>
      </c>
      <c r="K79" s="72" t="inlineStr">
        <is>
          <t>Smith, Morgan</t>
        </is>
      </c>
      <c r="L79" s="85" t="n">
        <v>1271</v>
      </c>
      <c r="M79" s="85">
        <f>Y79</f>
        <v/>
      </c>
      <c r="N79" s="86" t="n">
        <v>45919</v>
      </c>
      <c r="O79" s="86" t="n">
        <v>45919</v>
      </c>
      <c r="P79" s="86" t="n">
        <v>46467</v>
      </c>
      <c r="R79" s="85" t="n">
        <v>0</v>
      </c>
      <c r="S79" s="85" t="n">
        <v>0</v>
      </c>
      <c r="T79" s="85" t="n">
        <v>0</v>
      </c>
      <c r="Y79" s="85" t="n">
        <v>1099</v>
      </c>
    </row>
    <row r="80">
      <c r="A80" s="72">
        <f>$D$19</f>
        <v/>
      </c>
      <c r="B80" s="72">
        <f>B79+1</f>
        <v/>
      </c>
      <c r="C80" s="72">
        <f>IF(K80="Vacant","Vac",IF(K80="Model","Model",IF(K80="Admin","Admin",IF(K80="Down","Down",IF(K80="Super","Super","Occ")))))</f>
        <v/>
      </c>
      <c r="D80" s="72">
        <f>INDEX($C$5:$C$6,MATCH(I80,$D$5:$D$6,0))</f>
        <v/>
      </c>
      <c r="E80" s="72">
        <f>INDEX($E$5:$E$6,MATCH(D80,$C$5:$C$6,0))</f>
        <v/>
      </c>
      <c r="F80" s="72">
        <f>INDEX($F$5:$F$6,MATCH(D80,$C$5:$C$6,0))</f>
        <v/>
      </c>
      <c r="G80" s="72">
        <f>INDEX($G$5:$G$6,MATCH(D80,$C$5:$C$6,0))</f>
        <v/>
      </c>
      <c r="H80" s="72" t="inlineStr">
        <is>
          <t>8600-1</t>
        </is>
      </c>
      <c r="I80" s="72" t="inlineStr">
        <is>
          <t>2x2-Parkwood</t>
        </is>
      </c>
      <c r="J80" s="84" t="n">
        <v>964</v>
      </c>
      <c r="K80" s="72" t="inlineStr">
        <is>
          <t>Howser, Lisa</t>
        </is>
      </c>
      <c r="L80" s="85" t="n">
        <v>1200</v>
      </c>
      <c r="M80" s="85">
        <f>Y80</f>
        <v/>
      </c>
      <c r="N80" s="86" t="n">
        <v>44002</v>
      </c>
      <c r="O80" s="86" t="n">
        <v>46209</v>
      </c>
      <c r="P80" s="86" t="n">
        <v>46579</v>
      </c>
      <c r="R80" s="85" t="n">
        <v>0</v>
      </c>
      <c r="S80" s="85" t="n">
        <v>0</v>
      </c>
      <c r="T80" s="85" t="n">
        <v>0</v>
      </c>
      <c r="Y80" s="85" t="n">
        <v>1172</v>
      </c>
    </row>
    <row r="81">
      <c r="A81" s="72">
        <f>$D$19</f>
        <v/>
      </c>
      <c r="B81" s="72">
        <f>B80+1</f>
        <v/>
      </c>
      <c r="C81" s="72">
        <f>IF(K81="Vacant","Vac",IF(K81="Model","Model",IF(K81="Admin","Admin",IF(K81="Down","Down",IF(K81="Super","Super","Occ")))))</f>
        <v/>
      </c>
      <c r="D81" s="72">
        <f>INDEX($C$5:$C$6,MATCH(I81,$D$5:$D$6,0))</f>
        <v/>
      </c>
      <c r="E81" s="72">
        <f>INDEX($E$5:$E$6,MATCH(D81,$C$5:$C$6,0))</f>
        <v/>
      </c>
      <c r="F81" s="72">
        <f>INDEX($F$5:$F$6,MATCH(D81,$C$5:$C$6,0))</f>
        <v/>
      </c>
      <c r="G81" s="72">
        <f>INDEX($G$5:$G$6,MATCH(D81,$C$5:$C$6,0))</f>
        <v/>
      </c>
      <c r="H81" s="72" t="inlineStr">
        <is>
          <t>8600-2</t>
        </is>
      </c>
      <c r="I81" s="72" t="inlineStr">
        <is>
          <t>2x2-Gentry</t>
        </is>
      </c>
      <c r="J81" s="84" t="n">
        <v>860</v>
      </c>
      <c r="K81" s="72" t="inlineStr">
        <is>
          <t>Williams, Candice</t>
        </is>
      </c>
      <c r="L81" s="85" t="n">
        <v>1151</v>
      </c>
      <c r="M81" s="85">
        <f>Y81</f>
        <v/>
      </c>
      <c r="N81" s="86" t="n">
        <v>46185</v>
      </c>
      <c r="O81" s="86" t="n">
        <v>46185</v>
      </c>
      <c r="P81" s="86" t="n">
        <v>46551</v>
      </c>
      <c r="R81" s="85" t="n">
        <v>0</v>
      </c>
      <c r="S81" s="85" t="n">
        <v>0</v>
      </c>
      <c r="T81" s="85" t="n">
        <v>0</v>
      </c>
      <c r="Y81" s="85" t="n">
        <v>1151</v>
      </c>
    </row>
    <row r="82">
      <c r="A82" s="72">
        <f>$D$19</f>
        <v/>
      </c>
      <c r="B82" s="72">
        <f>B81+1</f>
        <v/>
      </c>
      <c r="C82" s="72">
        <f>IF(K82="Vacant","Vac",IF(K82="Model","Model",IF(K82="Admin","Admin",IF(K82="Down","Down",IF(K82="Super","Super","Occ")))))</f>
        <v/>
      </c>
      <c r="D82" s="72">
        <f>INDEX($C$5:$C$6,MATCH(I82,$D$5:$D$6,0))</f>
        <v/>
      </c>
      <c r="E82" s="72">
        <f>INDEX($E$5:$E$6,MATCH(D82,$C$5:$C$6,0))</f>
        <v/>
      </c>
      <c r="F82" s="72">
        <f>INDEX($F$5:$F$6,MATCH(D82,$C$5:$C$6,0))</f>
        <v/>
      </c>
      <c r="G82" s="72">
        <f>INDEX($G$5:$G$6,MATCH(D82,$C$5:$C$6,0))</f>
        <v/>
      </c>
      <c r="H82" s="72" t="inlineStr">
        <is>
          <t>8600-3</t>
        </is>
      </c>
      <c r="I82" s="72" t="inlineStr">
        <is>
          <t>2x2-Parkwood</t>
        </is>
      </c>
      <c r="J82" s="84" t="n">
        <v>964</v>
      </c>
      <c r="K82" s="72" t="inlineStr">
        <is>
          <t>Pineda, Drew</t>
        </is>
      </c>
      <c r="L82" s="85" t="n">
        <v>1233</v>
      </c>
      <c r="M82" s="85">
        <f>Y82</f>
        <v/>
      </c>
      <c r="N82" s="86" t="n">
        <v>45976</v>
      </c>
      <c r="O82" s="86" t="n">
        <v>45976</v>
      </c>
      <c r="P82" s="86" t="n">
        <v>46285</v>
      </c>
      <c r="R82" s="85" t="n">
        <v>0</v>
      </c>
      <c r="S82" s="85" t="n">
        <v>0</v>
      </c>
      <c r="T82" s="85" t="n">
        <v>0</v>
      </c>
      <c r="Y82" s="85" t="n">
        <v>1290</v>
      </c>
    </row>
    <row r="83">
      <c r="A83" s="72">
        <f>$D$19</f>
        <v/>
      </c>
      <c r="B83" s="72">
        <f>B82+1</f>
        <v/>
      </c>
      <c r="C83" s="72">
        <f>IF(K83="Vacant","Vac",IF(K83="Model","Model",IF(K83="Admin","Admin",IF(K83="Down","Down",IF(K83="Super","Super","Occ")))))</f>
        <v/>
      </c>
      <c r="D83" s="72">
        <f>INDEX($C$5:$C$6,MATCH(I83,$D$5:$D$6,0))</f>
        <v/>
      </c>
      <c r="E83" s="72">
        <f>INDEX($E$5:$E$6,MATCH(D83,$C$5:$C$6,0))</f>
        <v/>
      </c>
      <c r="F83" s="72">
        <f>INDEX($F$5:$F$6,MATCH(D83,$C$5:$C$6,0))</f>
        <v/>
      </c>
      <c r="G83" s="72">
        <f>INDEX($G$5:$G$6,MATCH(D83,$C$5:$C$6,0))</f>
        <v/>
      </c>
      <c r="H83" s="72" t="inlineStr">
        <is>
          <t>8600-4</t>
        </is>
      </c>
      <c r="I83" s="72" t="inlineStr">
        <is>
          <t>2x2-Parkwood</t>
        </is>
      </c>
      <c r="J83" s="84" t="n">
        <v>964</v>
      </c>
      <c r="K83" s="72" t="inlineStr">
        <is>
          <t>Barker, Tavarius</t>
        </is>
      </c>
      <c r="L83" s="85" t="n">
        <v>1263</v>
      </c>
      <c r="M83" s="85">
        <f>Y83</f>
        <v/>
      </c>
      <c r="N83" s="86" t="n">
        <v>45952</v>
      </c>
      <c r="O83" s="86" t="n">
        <v>45952</v>
      </c>
      <c r="P83" s="86" t="n">
        <v>46502</v>
      </c>
      <c r="R83" s="85" t="n">
        <v>0</v>
      </c>
      <c r="S83" s="85" t="n">
        <v>0</v>
      </c>
      <c r="T83" s="85" t="n">
        <v>0</v>
      </c>
      <c r="Y83" s="85" t="n">
        <v>1128</v>
      </c>
    </row>
    <row r="84">
      <c r="A84" s="72">
        <f>$D$19</f>
        <v/>
      </c>
      <c r="B84" s="72">
        <f>B83+1</f>
        <v/>
      </c>
      <c r="C84" s="72">
        <f>IF(K84="Vacant","Vac",IF(K84="Model","Model",IF(K84="Admin","Admin",IF(K84="Down","Down",IF(K84="Super","Super","Occ")))))</f>
        <v/>
      </c>
      <c r="D84" s="72">
        <f>INDEX($C$5:$C$6,MATCH(I84,$D$5:$D$6,0))</f>
        <v/>
      </c>
      <c r="E84" s="72">
        <f>INDEX($E$5:$E$6,MATCH(D84,$C$5:$C$6,0))</f>
        <v/>
      </c>
      <c r="F84" s="72">
        <f>INDEX($F$5:$F$6,MATCH(D84,$C$5:$C$6,0))</f>
        <v/>
      </c>
      <c r="G84" s="72">
        <f>INDEX($G$5:$G$6,MATCH(D84,$C$5:$C$6,0))</f>
        <v/>
      </c>
      <c r="H84" s="72" t="inlineStr">
        <is>
          <t>8600-5</t>
        </is>
      </c>
      <c r="I84" s="72" t="inlineStr">
        <is>
          <t>2x2-Gentry</t>
        </is>
      </c>
      <c r="J84" s="84" t="n">
        <v>860</v>
      </c>
      <c r="K84" s="72" t="inlineStr">
        <is>
          <t>Green, Elaine</t>
        </is>
      </c>
      <c r="L84" s="85" t="n">
        <v>1150</v>
      </c>
      <c r="M84" s="85">
        <f>Y84</f>
        <v/>
      </c>
      <c r="N84" s="86" t="n">
        <v>44779</v>
      </c>
      <c r="O84" s="86" t="n">
        <v>45901</v>
      </c>
      <c r="P84" s="86" t="n">
        <v>46271</v>
      </c>
      <c r="Q84" s="86" t="n">
        <v>46271</v>
      </c>
      <c r="R84" s="85" t="n">
        <v>0</v>
      </c>
      <c r="S84" s="85" t="n">
        <v>0</v>
      </c>
      <c r="T84" s="85" t="n">
        <v>0</v>
      </c>
      <c r="Y84" s="85" t="n">
        <v>1137</v>
      </c>
    </row>
    <row r="85">
      <c r="A85" s="72">
        <f>$D$19</f>
        <v/>
      </c>
      <c r="B85" s="72">
        <f>B84+1</f>
        <v/>
      </c>
      <c r="C85" s="72">
        <f>IF(K85="Vacant","Vac",IF(K85="Model","Model",IF(K85="Admin","Admin",IF(K85="Down","Down",IF(K85="Super","Super","Occ")))))</f>
        <v/>
      </c>
      <c r="D85" s="72">
        <f>INDEX($C$5:$C$6,MATCH(I85,$D$5:$D$6,0))</f>
        <v/>
      </c>
      <c r="E85" s="72">
        <f>INDEX($E$5:$E$6,MATCH(D85,$C$5:$C$6,0))</f>
        <v/>
      </c>
      <c r="F85" s="72">
        <f>INDEX($F$5:$F$6,MATCH(D85,$C$5:$C$6,0))</f>
        <v/>
      </c>
      <c r="G85" s="72">
        <f>INDEX($G$5:$G$6,MATCH(D85,$C$5:$C$6,0))</f>
        <v/>
      </c>
      <c r="H85" s="72" t="inlineStr">
        <is>
          <t>8600-6</t>
        </is>
      </c>
      <c r="I85" s="72" t="inlineStr">
        <is>
          <t>2x2-Parkwood</t>
        </is>
      </c>
      <c r="J85" s="84" t="n">
        <v>964</v>
      </c>
      <c r="K85" s="72" t="inlineStr">
        <is>
          <t>Rezk, Robert</t>
        </is>
      </c>
      <c r="L85" s="85" t="n">
        <v>1200</v>
      </c>
      <c r="M85" s="85">
        <f>Y85</f>
        <v/>
      </c>
      <c r="N85" s="86" t="n">
        <v>45117</v>
      </c>
      <c r="O85" s="86" t="n">
        <v>46237</v>
      </c>
      <c r="P85" s="86" t="n">
        <v>46544</v>
      </c>
      <c r="R85" s="85" t="n">
        <v>0</v>
      </c>
      <c r="S85" s="85" t="n">
        <v>0</v>
      </c>
      <c r="T85" s="85" t="n">
        <v>0</v>
      </c>
      <c r="Y85" s="85" t="n">
        <v>1245</v>
      </c>
    </row>
    <row r="86">
      <c r="A86" s="72">
        <f>$D$19</f>
        <v/>
      </c>
      <c r="B86" s="72">
        <f>B85+1</f>
        <v/>
      </c>
      <c r="C86" s="72">
        <f>IF(K86="Vacant","Vac",IF(K86="Model","Model",IF(K86="Admin","Admin",IF(K86="Down","Down",IF(K86="Super","Super","Occ")))))</f>
        <v/>
      </c>
      <c r="D86" s="72">
        <f>INDEX($C$5:$C$6,MATCH(I86,$D$5:$D$6,0))</f>
        <v/>
      </c>
      <c r="E86" s="72">
        <f>INDEX($E$5:$E$6,MATCH(D86,$C$5:$C$6,0))</f>
        <v/>
      </c>
      <c r="F86" s="72">
        <f>INDEX($F$5:$F$6,MATCH(D86,$C$5:$C$6,0))</f>
        <v/>
      </c>
      <c r="G86" s="72">
        <f>INDEX($G$5:$G$6,MATCH(D86,$C$5:$C$6,0))</f>
        <v/>
      </c>
      <c r="H86" s="72" t="inlineStr">
        <is>
          <t>8601-1</t>
        </is>
      </c>
      <c r="I86" s="72" t="inlineStr">
        <is>
          <t>2x2-Parkwood</t>
        </is>
      </c>
      <c r="J86" s="84" t="n">
        <v>964</v>
      </c>
      <c r="K86" s="72" t="inlineStr">
        <is>
          <t>Allen, Michael</t>
        </is>
      </c>
      <c r="L86" s="85" t="n">
        <v>1200</v>
      </c>
      <c r="M86" s="85">
        <f>Y86</f>
        <v/>
      </c>
      <c r="N86" s="86" t="n">
        <v>45491</v>
      </c>
      <c r="O86" s="86" t="n">
        <v>46237</v>
      </c>
      <c r="P86" s="86" t="n">
        <v>46544</v>
      </c>
      <c r="R86" s="85" t="n">
        <v>0</v>
      </c>
      <c r="S86" s="85" t="n">
        <v>0</v>
      </c>
      <c r="T86" s="85" t="n">
        <v>0</v>
      </c>
      <c r="Y86" s="85" t="n">
        <v>1215</v>
      </c>
    </row>
    <row r="87">
      <c r="A87" s="72">
        <f>$D$19</f>
        <v/>
      </c>
      <c r="B87" s="72">
        <f>B86+1</f>
        <v/>
      </c>
      <c r="C87" s="72">
        <f>IF(K87="Vacant","Vac",IF(K87="Model","Model",IF(K87="Admin","Admin",IF(K87="Down","Down",IF(K87="Super","Super","Occ")))))</f>
        <v/>
      </c>
      <c r="D87" s="72">
        <f>INDEX($C$5:$C$6,MATCH(I87,$D$5:$D$6,0))</f>
        <v/>
      </c>
      <c r="E87" s="72">
        <f>INDEX($E$5:$E$6,MATCH(D87,$C$5:$C$6,0))</f>
        <v/>
      </c>
      <c r="F87" s="72">
        <f>INDEX($F$5:$F$6,MATCH(D87,$C$5:$C$6,0))</f>
        <v/>
      </c>
      <c r="G87" s="72">
        <f>INDEX($G$5:$G$6,MATCH(D87,$C$5:$C$6,0))</f>
        <v/>
      </c>
      <c r="H87" s="72" t="inlineStr">
        <is>
          <t>8601-2</t>
        </is>
      </c>
      <c r="I87" s="72" t="inlineStr">
        <is>
          <t>2x2-Gentry</t>
        </is>
      </c>
      <c r="J87" s="84" t="n">
        <v>860</v>
      </c>
      <c r="K87" s="72" t="inlineStr">
        <is>
          <t>Beardsley, Grace</t>
        </is>
      </c>
      <c r="L87" s="85" t="n">
        <v>1175</v>
      </c>
      <c r="M87" s="85">
        <f>Y87</f>
        <v/>
      </c>
      <c r="N87" s="86" t="n">
        <v>45080</v>
      </c>
      <c r="O87" s="86" t="n">
        <v>46118</v>
      </c>
      <c r="P87" s="86" t="n">
        <v>46488</v>
      </c>
      <c r="R87" s="85" t="n">
        <v>0</v>
      </c>
      <c r="S87" s="85" t="n">
        <v>0</v>
      </c>
      <c r="T87" s="85" t="n">
        <v>0</v>
      </c>
      <c r="Y87" s="85" t="n">
        <v>1222</v>
      </c>
    </row>
    <row r="88">
      <c r="A88" s="72">
        <f>$D$19</f>
        <v/>
      </c>
      <c r="B88" s="72">
        <f>B87+1</f>
        <v/>
      </c>
      <c r="C88" s="72">
        <f>IF(K88="Vacant","Vac",IF(K88="Model","Model",IF(K88="Admin","Admin",IF(K88="Down","Down",IF(K88="Super","Super","Occ")))))</f>
        <v/>
      </c>
      <c r="D88" s="72">
        <f>INDEX($C$5:$C$6,MATCH(I88,$D$5:$D$6,0))</f>
        <v/>
      </c>
      <c r="E88" s="72">
        <f>INDEX($E$5:$E$6,MATCH(D88,$C$5:$C$6,0))</f>
        <v/>
      </c>
      <c r="F88" s="72">
        <f>INDEX($F$5:$F$6,MATCH(D88,$C$5:$C$6,0))</f>
        <v/>
      </c>
      <c r="G88" s="72">
        <f>INDEX($G$5:$G$6,MATCH(D88,$C$5:$C$6,0))</f>
        <v/>
      </c>
      <c r="H88" s="72" t="inlineStr">
        <is>
          <t>8601-3</t>
        </is>
      </c>
      <c r="I88" s="72" t="inlineStr">
        <is>
          <t>2x2-Parkwood</t>
        </is>
      </c>
      <c r="J88" s="84" t="n">
        <v>964</v>
      </c>
      <c r="K88" s="72" t="inlineStr">
        <is>
          <t>Pisacrita, Robert</t>
        </is>
      </c>
      <c r="L88" s="85" t="n">
        <v>1200</v>
      </c>
      <c r="M88" s="85">
        <f>Y88</f>
        <v/>
      </c>
      <c r="N88" s="86" t="n">
        <v>44021</v>
      </c>
      <c r="O88" s="86" t="n">
        <v>46237</v>
      </c>
      <c r="P88" s="86" t="n">
        <v>46509</v>
      </c>
      <c r="R88" s="85" t="n">
        <v>0</v>
      </c>
      <c r="S88" s="85" t="n">
        <v>0</v>
      </c>
      <c r="T88" s="85" t="n">
        <v>0</v>
      </c>
      <c r="Y88" s="85" t="n">
        <v>1198</v>
      </c>
    </row>
    <row r="89">
      <c r="A89" s="72">
        <f>$D$19</f>
        <v/>
      </c>
      <c r="B89" s="72">
        <f>B88+1</f>
        <v/>
      </c>
      <c r="C89" s="72">
        <f>IF(K89="Vacant","Vac",IF(K89="Model","Model",IF(K89="Admin","Admin",IF(K89="Down","Down",IF(K89="Super","Super","Occ")))))</f>
        <v/>
      </c>
      <c r="D89" s="72">
        <f>INDEX($C$5:$C$6,MATCH(I89,$D$5:$D$6,0))</f>
        <v/>
      </c>
      <c r="E89" s="72">
        <f>INDEX($E$5:$E$6,MATCH(D89,$C$5:$C$6,0))</f>
        <v/>
      </c>
      <c r="F89" s="72">
        <f>INDEX($F$5:$F$6,MATCH(D89,$C$5:$C$6,0))</f>
        <v/>
      </c>
      <c r="G89" s="72">
        <f>INDEX($G$5:$G$6,MATCH(D89,$C$5:$C$6,0))</f>
        <v/>
      </c>
      <c r="H89" s="72" t="inlineStr">
        <is>
          <t>8601-4</t>
        </is>
      </c>
      <c r="I89" s="72" t="inlineStr">
        <is>
          <t>2x2-Parkwood</t>
        </is>
      </c>
      <c r="J89" s="84" t="n">
        <v>964</v>
      </c>
      <c r="K89" s="72" t="inlineStr">
        <is>
          <t>Goodloe, Cierra</t>
        </is>
      </c>
      <c r="L89" s="85" t="n">
        <v>1200</v>
      </c>
      <c r="M89" s="85">
        <f>Y89</f>
        <v/>
      </c>
      <c r="N89" s="86" t="n">
        <v>45509</v>
      </c>
      <c r="O89" s="86" t="n">
        <v>45901</v>
      </c>
      <c r="P89" s="86" t="n">
        <v>46271</v>
      </c>
      <c r="R89" s="85" t="n">
        <v>0</v>
      </c>
      <c r="S89" s="85" t="n">
        <v>0</v>
      </c>
      <c r="T89" s="85" t="n">
        <v>0</v>
      </c>
      <c r="Y89" s="85" t="n">
        <v>1200</v>
      </c>
    </row>
    <row r="90">
      <c r="A90" s="72">
        <f>$D$19</f>
        <v/>
      </c>
      <c r="B90" s="72">
        <f>B89+1</f>
        <v/>
      </c>
      <c r="C90" s="72">
        <f>IF(K90="Vacant","Vac",IF(K90="Model","Model",IF(K90="Admin","Admin",IF(K90="Down","Down",IF(K90="Super","Super","Occ")))))</f>
        <v/>
      </c>
      <c r="D90" s="72">
        <f>INDEX($C$5:$C$6,MATCH(I90,$D$5:$D$6,0))</f>
        <v/>
      </c>
      <c r="E90" s="72">
        <f>INDEX($E$5:$E$6,MATCH(D90,$C$5:$C$6,0))</f>
        <v/>
      </c>
      <c r="F90" s="72">
        <f>INDEX($F$5:$F$6,MATCH(D90,$C$5:$C$6,0))</f>
        <v/>
      </c>
      <c r="G90" s="72">
        <f>INDEX($G$5:$G$6,MATCH(D90,$C$5:$C$6,0))</f>
        <v/>
      </c>
      <c r="H90" s="72" t="inlineStr">
        <is>
          <t>8601-5</t>
        </is>
      </c>
      <c r="I90" s="72" t="inlineStr">
        <is>
          <t>2x2-Gentry</t>
        </is>
      </c>
      <c r="J90" s="84" t="n">
        <v>860</v>
      </c>
      <c r="K90" s="72" t="inlineStr">
        <is>
          <t>Lusco, Megan</t>
        </is>
      </c>
      <c r="L90" s="85" t="n">
        <v>1175</v>
      </c>
      <c r="M90" s="85">
        <f>Y90</f>
        <v/>
      </c>
      <c r="N90" s="86" t="n">
        <v>43700</v>
      </c>
      <c r="O90" s="86" t="n">
        <v>45901</v>
      </c>
      <c r="P90" s="86" t="n">
        <v>46271</v>
      </c>
      <c r="R90" s="85" t="n">
        <v>0</v>
      </c>
      <c r="S90" s="85" t="n">
        <v>0</v>
      </c>
      <c r="T90" s="85" t="n">
        <v>0</v>
      </c>
      <c r="Y90" s="85" t="n">
        <v>1137</v>
      </c>
    </row>
    <row r="91">
      <c r="A91" s="72">
        <f>$D$19</f>
        <v/>
      </c>
      <c r="B91" s="72">
        <f>B90+1</f>
        <v/>
      </c>
      <c r="C91" s="72">
        <f>IF(K91="Vacant","Vac",IF(K91="Model","Model",IF(K91="Admin","Admin",IF(K91="Down","Down",IF(K91="Super","Super","Occ")))))</f>
        <v/>
      </c>
      <c r="D91" s="72">
        <f>INDEX($C$5:$C$6,MATCH(I91,$D$5:$D$6,0))</f>
        <v/>
      </c>
      <c r="E91" s="72">
        <f>INDEX($E$5:$E$6,MATCH(D91,$C$5:$C$6,0))</f>
        <v/>
      </c>
      <c r="F91" s="72">
        <f>INDEX($F$5:$F$6,MATCH(D91,$C$5:$C$6,0))</f>
        <v/>
      </c>
      <c r="G91" s="72">
        <f>INDEX($G$5:$G$6,MATCH(D91,$C$5:$C$6,0))</f>
        <v/>
      </c>
      <c r="H91" s="72" t="inlineStr">
        <is>
          <t>8601-6</t>
        </is>
      </c>
      <c r="I91" s="72" t="inlineStr">
        <is>
          <t>2x2-Parkwood</t>
        </is>
      </c>
      <c r="J91" s="84" t="n">
        <v>964</v>
      </c>
      <c r="K91" s="72" t="inlineStr">
        <is>
          <t>Sanchez, Carlos</t>
        </is>
      </c>
      <c r="L91" s="85" t="n">
        <v>1245</v>
      </c>
      <c r="M91" s="85">
        <f>Y91</f>
        <v/>
      </c>
      <c r="N91" s="86" t="n">
        <v>45926</v>
      </c>
      <c r="O91" s="86" t="n">
        <v>45926</v>
      </c>
      <c r="P91" s="86" t="n">
        <v>46474</v>
      </c>
      <c r="R91" s="85" t="n">
        <v>0</v>
      </c>
      <c r="S91" s="85" t="n">
        <v>0</v>
      </c>
      <c r="T91" s="85" t="n">
        <v>0</v>
      </c>
      <c r="Y91" s="85" t="n">
        <v>1099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L90"/>
  <sheetViews>
    <sheetView showGridLines="1" workbookViewId="0">
      <selection activeCell="A1" sqref="A1"/>
    </sheetView>
  </sheetViews>
  <sheetFormatPr baseColWidth="8" defaultRowHeight="15"/>
  <cols>
    <col width="13.5703125" customWidth="1" min="1" max="1"/>
    <col width="10.7109375" customWidth="1" min="4" max="4"/>
    <col width="13.5703125" customWidth="1" min="5" max="5"/>
    <col width="10.7109375" customWidth="1" min="7" max="7"/>
    <col width="9" customWidth="1" min="14" max="14"/>
  </cols>
  <sheetData>
    <row r="2">
      <c r="A2" t="inlineStr">
        <is>
          <t>Rent Roll</t>
        </is>
      </c>
    </row>
    <row r="3">
      <c r="A3" t="inlineStr">
        <is>
          <t>Lyndon Crossings</t>
        </is>
      </c>
    </row>
    <row r="4">
      <c r="A4" t="inlineStr">
        <is>
          <t>Aug 2026</t>
        </is>
      </c>
    </row>
    <row r="6">
      <c r="A6" t="inlineStr">
        <is>
          <t>Unit Details</t>
        </is>
      </c>
    </row>
    <row r="7">
      <c r="A7" t="inlineStr">
        <is>
          <t>Property</t>
        </is>
      </c>
      <c r="B7" t="inlineStr">
        <is>
          <t>Bldg-Unit</t>
        </is>
      </c>
      <c r="C7" t="inlineStr">
        <is>
          <t>Unit Type</t>
        </is>
      </c>
      <c r="D7" t="inlineStr">
        <is>
          <t>SQFT</t>
        </is>
      </c>
      <c r="E7" t="inlineStr">
        <is>
          <t>Unit Status</t>
        </is>
      </c>
      <c r="F7" t="inlineStr">
        <is>
          <t>Resident</t>
        </is>
      </c>
      <c r="G7" t="inlineStr">
        <is>
          <t>Move-In</t>
        </is>
      </c>
      <c r="H7" t="inlineStr">
        <is>
          <t>Lease Start</t>
        </is>
      </c>
      <c r="I7" t="inlineStr">
        <is>
          <t>Lease End</t>
        </is>
      </c>
      <c r="J7" t="inlineStr">
        <is>
          <t>Expected Move-Out</t>
        </is>
      </c>
      <c r="K7" t="inlineStr">
        <is>
          <t>Market Rent</t>
        </is>
      </c>
      <c r="L7" t="inlineStr">
        <is>
          <t>Scheduled Charges</t>
        </is>
      </c>
      <c r="M7" t="inlineStr">
        <is>
          <t>Deposit Held</t>
        </is>
      </c>
    </row>
    <row r="8">
      <c r="A8" t="inlineStr">
        <is>
          <t>Lyndon Crossings</t>
        </is>
      </c>
      <c r="B8" t="inlineStr">
        <is>
          <t>1200-1</t>
        </is>
      </c>
      <c r="C8" t="inlineStr">
        <is>
          <t>2x2-Parkwood</t>
        </is>
      </c>
      <c r="D8" s="87" t="n">
        <v>964</v>
      </c>
      <c r="E8" t="inlineStr">
        <is>
          <t>Vacant Rented Not Ready</t>
        </is>
      </c>
      <c r="F8" t="inlineStr">
        <is>
          <t>-- Vacant --</t>
        </is>
      </c>
      <c r="K8" s="88" t="n">
        <v>1149</v>
      </c>
      <c r="L8" s="88" t="n">
        <v>0</v>
      </c>
      <c r="M8" s="88" t="n">
        <v>0</v>
      </c>
    </row>
    <row r="9">
      <c r="A9" t="inlineStr">
        <is>
          <t>Lyndon Crossings</t>
        </is>
      </c>
      <c r="B9" t="inlineStr">
        <is>
          <t>1200-2</t>
        </is>
      </c>
      <c r="C9" t="inlineStr">
        <is>
          <t>2x2-Gentry</t>
        </is>
      </c>
      <c r="D9" s="87" t="n">
        <v>860</v>
      </c>
      <c r="E9" t="inlineStr">
        <is>
          <t>Occupied No Notice</t>
        </is>
      </c>
      <c r="F9" t="inlineStr">
        <is>
          <t>Jarboe, Rebekah</t>
        </is>
      </c>
      <c r="G9" s="89" t="n">
        <v>46204</v>
      </c>
      <c r="H9" s="89" t="n">
        <v>46204</v>
      </c>
      <c r="I9" s="89" t="n">
        <v>46572</v>
      </c>
      <c r="K9" s="88" t="n">
        <v>1109</v>
      </c>
      <c r="L9" s="88" t="n">
        <v>1216</v>
      </c>
      <c r="M9" s="88" t="n">
        <v>500</v>
      </c>
    </row>
    <row r="10">
      <c r="A10" t="inlineStr">
        <is>
          <t>Lyndon Crossings</t>
        </is>
      </c>
      <c r="B10" t="inlineStr">
        <is>
          <t>1200-3</t>
        </is>
      </c>
      <c r="C10" t="inlineStr">
        <is>
          <t>2x2-Parkwood</t>
        </is>
      </c>
      <c r="D10" s="87" t="n">
        <v>964</v>
      </c>
      <c r="E10" t="inlineStr">
        <is>
          <t>Occupied No Notice</t>
        </is>
      </c>
      <c r="F10" t="inlineStr">
        <is>
          <t>Wallace, Christina</t>
        </is>
      </c>
      <c r="G10" s="89" t="n">
        <v>46179</v>
      </c>
      <c r="H10" s="89" t="n">
        <v>46179</v>
      </c>
      <c r="I10" s="89" t="n">
        <v>46579</v>
      </c>
      <c r="K10" s="88" t="n">
        <v>1214</v>
      </c>
      <c r="L10" s="88" t="n">
        <v>1214</v>
      </c>
      <c r="M10" s="88" t="n">
        <v>500</v>
      </c>
    </row>
    <row r="11">
      <c r="A11" t="inlineStr">
        <is>
          <t>Lyndon Crossings</t>
        </is>
      </c>
      <c r="B11" t="inlineStr">
        <is>
          <t>1200-4</t>
        </is>
      </c>
      <c r="C11" t="inlineStr">
        <is>
          <t>2x2-Parkwood</t>
        </is>
      </c>
      <c r="D11" s="87" t="n">
        <v>964</v>
      </c>
      <c r="E11" t="inlineStr">
        <is>
          <t>Occupied No Notice</t>
        </is>
      </c>
      <c r="F11" t="inlineStr">
        <is>
          <t>Strait, Conner</t>
        </is>
      </c>
      <c r="G11" s="89" t="n">
        <v>45955</v>
      </c>
      <c r="H11" s="89" t="n">
        <v>45955</v>
      </c>
      <c r="I11" s="89" t="n">
        <v>46502</v>
      </c>
      <c r="K11" s="88" t="n">
        <v>1231</v>
      </c>
      <c r="L11" s="88" t="n">
        <v>1099</v>
      </c>
      <c r="M11" s="88" t="n">
        <v>500</v>
      </c>
    </row>
    <row r="12">
      <c r="A12" t="inlineStr">
        <is>
          <t>Lyndon Crossings</t>
        </is>
      </c>
      <c r="B12" t="inlineStr">
        <is>
          <t>1200-5</t>
        </is>
      </c>
      <c r="C12" t="inlineStr">
        <is>
          <t>2x2-Gentry</t>
        </is>
      </c>
      <c r="D12" s="87" t="n">
        <v>860</v>
      </c>
      <c r="E12" t="inlineStr">
        <is>
          <t>Occupied No Notice</t>
        </is>
      </c>
      <c r="F12" t="inlineStr">
        <is>
          <t>Moore, Torey</t>
        </is>
      </c>
      <c r="G12" s="89" t="n">
        <v>43922</v>
      </c>
      <c r="H12" s="89" t="n">
        <v>46143</v>
      </c>
      <c r="I12" s="89" t="n">
        <v>46572</v>
      </c>
      <c r="K12" s="88" t="n">
        <v>1140</v>
      </c>
      <c r="L12" s="88" t="n">
        <v>1078</v>
      </c>
      <c r="M12" s="88" t="n">
        <v>700</v>
      </c>
    </row>
    <row r="13">
      <c r="A13" t="inlineStr">
        <is>
          <t>Lyndon Crossings</t>
        </is>
      </c>
      <c r="B13" t="inlineStr">
        <is>
          <t>1200-6</t>
        </is>
      </c>
      <c r="C13" t="inlineStr">
        <is>
          <t>2x2-Parkwood</t>
        </is>
      </c>
      <c r="D13" s="87" t="n">
        <v>964</v>
      </c>
      <c r="E13" t="inlineStr">
        <is>
          <t>Occupied No Notice</t>
        </is>
      </c>
      <c r="F13" t="inlineStr">
        <is>
          <t>Styer, Hannah</t>
        </is>
      </c>
      <c r="G13" s="89" t="n">
        <v>42928</v>
      </c>
      <c r="H13" s="89" t="n">
        <v>46113</v>
      </c>
      <c r="I13" s="89" t="n">
        <v>46663</v>
      </c>
      <c r="K13" s="88" t="n">
        <v>1165</v>
      </c>
      <c r="L13" s="88" t="n">
        <v>1240</v>
      </c>
      <c r="M13" s="88" t="n">
        <v>700</v>
      </c>
    </row>
    <row r="14">
      <c r="A14" t="inlineStr">
        <is>
          <t>Lyndon Crossings</t>
        </is>
      </c>
      <c r="B14" t="inlineStr">
        <is>
          <t>1201-1</t>
        </is>
      </c>
      <c r="C14" t="inlineStr">
        <is>
          <t>2x2-Parkwood</t>
        </is>
      </c>
      <c r="D14" s="87" t="n">
        <v>964</v>
      </c>
      <c r="E14" t="inlineStr">
        <is>
          <t>Notice Unrented</t>
        </is>
      </c>
      <c r="F14" t="inlineStr">
        <is>
          <t>Johnson, Christopher</t>
        </is>
      </c>
      <c r="G14" s="89" t="n">
        <v>44494</v>
      </c>
      <c r="H14" s="89" t="n">
        <v>46113</v>
      </c>
      <c r="I14" s="89" t="n">
        <v>46271</v>
      </c>
      <c r="J14" s="89" t="n">
        <v>46271</v>
      </c>
      <c r="K14" s="88" t="n">
        <v>1291</v>
      </c>
      <c r="L14" s="88" t="n">
        <v>1299</v>
      </c>
      <c r="M14" s="88" t="n">
        <v>400</v>
      </c>
    </row>
    <row r="15">
      <c r="A15" t="inlineStr">
        <is>
          <t>Lyndon Crossings</t>
        </is>
      </c>
      <c r="B15" t="inlineStr">
        <is>
          <t>1201-2</t>
        </is>
      </c>
      <c r="C15" t="inlineStr">
        <is>
          <t>2x2-Gentry</t>
        </is>
      </c>
      <c r="D15" s="87" t="n">
        <v>860</v>
      </c>
      <c r="E15" t="inlineStr">
        <is>
          <t>Occupied No Notice</t>
        </is>
      </c>
      <c r="F15" t="inlineStr">
        <is>
          <t>Mabinda, Marie</t>
        </is>
      </c>
      <c r="G15" s="89" t="n">
        <v>45178</v>
      </c>
      <c r="H15" s="89" t="n">
        <v>45931</v>
      </c>
      <c r="I15" s="89" t="n">
        <v>46481</v>
      </c>
      <c r="K15" s="88" t="n">
        <v>1175</v>
      </c>
      <c r="L15" s="88" t="n">
        <v>1096</v>
      </c>
      <c r="M15" s="88" t="n">
        <v>1000</v>
      </c>
    </row>
    <row r="16">
      <c r="A16" t="inlineStr">
        <is>
          <t>Lyndon Crossings</t>
        </is>
      </c>
      <c r="B16" t="inlineStr">
        <is>
          <t>1201-3</t>
        </is>
      </c>
      <c r="C16" t="inlineStr">
        <is>
          <t>2x2-Parkwood</t>
        </is>
      </c>
      <c r="D16" s="87" t="n">
        <v>964</v>
      </c>
      <c r="E16" t="inlineStr">
        <is>
          <t>Occupied No Notice</t>
        </is>
      </c>
      <c r="F16" t="inlineStr">
        <is>
          <t>Thornton, Roderick</t>
        </is>
      </c>
      <c r="G16" s="89" t="n">
        <v>42461</v>
      </c>
      <c r="H16" s="89" t="n">
        <v>45962</v>
      </c>
      <c r="I16" s="89" t="n">
        <v>46509</v>
      </c>
      <c r="K16" s="88" t="n">
        <v>1200</v>
      </c>
      <c r="L16" s="88" t="n">
        <v>1108</v>
      </c>
      <c r="M16" s="88" t="n">
        <v>400</v>
      </c>
    </row>
    <row r="17">
      <c r="A17" t="inlineStr">
        <is>
          <t>Lyndon Crossings</t>
        </is>
      </c>
      <c r="B17" t="inlineStr">
        <is>
          <t>1201-4</t>
        </is>
      </c>
      <c r="C17" t="inlineStr">
        <is>
          <t>2x2-Parkwood</t>
        </is>
      </c>
      <c r="D17" s="87" t="n">
        <v>964</v>
      </c>
      <c r="E17" t="inlineStr">
        <is>
          <t>Occupied No Notice</t>
        </is>
      </c>
      <c r="F17" t="inlineStr">
        <is>
          <t>Amback, Brian</t>
        </is>
      </c>
      <c r="G17" s="89" t="n">
        <v>45164</v>
      </c>
      <c r="H17" s="89" t="n">
        <v>45901</v>
      </c>
      <c r="I17" s="89" t="n">
        <v>46271</v>
      </c>
      <c r="K17" s="88" t="n">
        <v>1200</v>
      </c>
      <c r="L17" s="88" t="n">
        <v>1200</v>
      </c>
      <c r="M17" s="88" t="n">
        <v>1000</v>
      </c>
    </row>
    <row r="18">
      <c r="A18" t="inlineStr">
        <is>
          <t>Lyndon Crossings</t>
        </is>
      </c>
      <c r="B18" t="inlineStr">
        <is>
          <t>1201-5</t>
        </is>
      </c>
      <c r="C18" t="inlineStr">
        <is>
          <t>2x2-Gentry</t>
        </is>
      </c>
      <c r="D18" s="87" t="n">
        <v>860</v>
      </c>
      <c r="E18" t="inlineStr">
        <is>
          <t>Occupied No Notice</t>
        </is>
      </c>
      <c r="F18" t="inlineStr">
        <is>
          <t>Lozano, Yajaira</t>
        </is>
      </c>
      <c r="G18" s="89" t="n">
        <v>45773</v>
      </c>
      <c r="H18" s="89" t="n">
        <v>46202</v>
      </c>
      <c r="I18" s="89" t="n">
        <v>46600</v>
      </c>
      <c r="K18" s="88" t="n">
        <v>1175</v>
      </c>
      <c r="L18" s="88" t="n">
        <v>1185</v>
      </c>
      <c r="M18" s="88" t="n">
        <v>500</v>
      </c>
    </row>
    <row r="19">
      <c r="A19" t="inlineStr">
        <is>
          <t>Lyndon Crossings</t>
        </is>
      </c>
      <c r="B19" t="inlineStr">
        <is>
          <t>1201-6</t>
        </is>
      </c>
      <c r="C19" t="inlineStr">
        <is>
          <t>2x2-Parkwood</t>
        </is>
      </c>
      <c r="D19" s="87" t="n">
        <v>964</v>
      </c>
      <c r="E19" t="inlineStr">
        <is>
          <t>Occupied No Notice</t>
        </is>
      </c>
      <c r="F19" t="inlineStr">
        <is>
          <t>Jackson, Bryonnie</t>
        </is>
      </c>
      <c r="G19" s="89" t="n">
        <v>46153</v>
      </c>
      <c r="H19" s="89" t="n">
        <v>46153</v>
      </c>
      <c r="I19" s="89" t="n">
        <v>46614</v>
      </c>
      <c r="K19" s="88" t="n">
        <v>1140</v>
      </c>
      <c r="L19" s="88" t="n">
        <v>1180</v>
      </c>
      <c r="M19" s="88" t="n">
        <v>1180</v>
      </c>
    </row>
    <row r="20">
      <c r="A20" t="inlineStr">
        <is>
          <t>Lyndon Crossings</t>
        </is>
      </c>
      <c r="B20" t="inlineStr">
        <is>
          <t>1202-1</t>
        </is>
      </c>
      <c r="C20" t="inlineStr">
        <is>
          <t>2x2-Parkwood</t>
        </is>
      </c>
      <c r="D20" s="87" t="n">
        <v>964</v>
      </c>
      <c r="E20" t="inlineStr">
        <is>
          <t>Vacant Rented Ready</t>
        </is>
      </c>
      <c r="F20" t="inlineStr">
        <is>
          <t>-- Vacant --</t>
        </is>
      </c>
      <c r="K20" s="88" t="n">
        <v>1242</v>
      </c>
      <c r="L20" s="88" t="n">
        <v>0</v>
      </c>
    </row>
    <row r="21">
      <c r="A21" t="inlineStr">
        <is>
          <t>Lyndon Crossings</t>
        </is>
      </c>
      <c r="B21" t="inlineStr">
        <is>
          <t>1202-2</t>
        </is>
      </c>
      <c r="C21" t="inlineStr">
        <is>
          <t>2x2-Gentry</t>
        </is>
      </c>
      <c r="D21" s="87" t="n">
        <v>860</v>
      </c>
      <c r="E21" t="inlineStr">
        <is>
          <t>Occupied No Notice</t>
        </is>
      </c>
      <c r="F21" t="inlineStr">
        <is>
          <t>Broadwater, Eric</t>
        </is>
      </c>
      <c r="G21" s="89" t="n">
        <v>46137</v>
      </c>
      <c r="H21" s="89" t="n">
        <v>46137</v>
      </c>
      <c r="I21" s="89" t="n">
        <v>46628</v>
      </c>
      <c r="K21" s="88" t="n">
        <v>1075</v>
      </c>
      <c r="L21" s="88" t="n">
        <v>1118</v>
      </c>
      <c r="M21" s="88" t="n">
        <v>500</v>
      </c>
    </row>
    <row r="22">
      <c r="A22" t="inlineStr">
        <is>
          <t>Lyndon Crossings</t>
        </is>
      </c>
      <c r="B22" t="inlineStr">
        <is>
          <t>1202-3</t>
        </is>
      </c>
      <c r="C22" t="inlineStr">
        <is>
          <t>2x2-Parkwood</t>
        </is>
      </c>
      <c r="D22" s="87" t="n">
        <v>964</v>
      </c>
      <c r="E22" t="inlineStr">
        <is>
          <t>Occupied No Notice</t>
        </is>
      </c>
      <c r="F22" t="inlineStr">
        <is>
          <t>Kavanah, Ryan</t>
        </is>
      </c>
      <c r="G22" s="89" t="n">
        <v>45219</v>
      </c>
      <c r="H22" s="89" t="n">
        <v>45962</v>
      </c>
      <c r="I22" s="89" t="n">
        <v>46509</v>
      </c>
      <c r="K22" s="88" t="n">
        <v>1200</v>
      </c>
      <c r="L22" s="88" t="n">
        <v>1145</v>
      </c>
      <c r="M22" s="88" t="n">
        <v>1000</v>
      </c>
    </row>
    <row r="23">
      <c r="A23" t="inlineStr">
        <is>
          <t>Lyndon Crossings</t>
        </is>
      </c>
      <c r="B23" t="inlineStr">
        <is>
          <t>1202-4</t>
        </is>
      </c>
      <c r="C23" t="inlineStr">
        <is>
          <t>2x2-Parkwood</t>
        </is>
      </c>
      <c r="D23" s="87" t="n">
        <v>964</v>
      </c>
      <c r="E23" t="inlineStr">
        <is>
          <t>Occupied No Notice</t>
        </is>
      </c>
      <c r="F23" t="inlineStr">
        <is>
          <t>Dunigan, Sydney</t>
        </is>
      </c>
      <c r="G23" s="89" t="n">
        <v>45877</v>
      </c>
      <c r="H23" s="89" t="n">
        <v>46244</v>
      </c>
      <c r="I23" s="89" t="n">
        <v>46551</v>
      </c>
      <c r="K23" s="88" t="n">
        <v>1177</v>
      </c>
      <c r="L23" s="88" t="n">
        <v>1275</v>
      </c>
      <c r="M23" s="88" t="n">
        <v>500</v>
      </c>
    </row>
    <row r="24">
      <c r="A24" t="inlineStr">
        <is>
          <t>Lyndon Crossings</t>
        </is>
      </c>
      <c r="B24" t="inlineStr">
        <is>
          <t>1202-5</t>
        </is>
      </c>
      <c r="C24" t="inlineStr">
        <is>
          <t>2x2-Gentry</t>
        </is>
      </c>
      <c r="D24" s="87" t="n">
        <v>860</v>
      </c>
      <c r="E24" t="inlineStr">
        <is>
          <t>Occupied No Notice</t>
        </is>
      </c>
      <c r="F24" t="inlineStr">
        <is>
          <t>Bohning, Kimberly</t>
        </is>
      </c>
      <c r="G24" s="89" t="n">
        <v>45840</v>
      </c>
      <c r="H24" s="89" t="n">
        <v>46209</v>
      </c>
      <c r="I24" s="89" t="n">
        <v>46488</v>
      </c>
      <c r="K24" s="88" t="n">
        <v>1175</v>
      </c>
      <c r="L24" s="88" t="n">
        <v>1218</v>
      </c>
      <c r="M24" s="88" t="n">
        <v>0</v>
      </c>
    </row>
    <row r="25">
      <c r="A25" t="inlineStr">
        <is>
          <t>Lyndon Crossings</t>
        </is>
      </c>
      <c r="B25" t="inlineStr">
        <is>
          <t>1202-6</t>
        </is>
      </c>
      <c r="C25" t="inlineStr">
        <is>
          <t>2x2-Parkwood</t>
        </is>
      </c>
      <c r="D25" s="87" t="n">
        <v>964</v>
      </c>
      <c r="E25" t="inlineStr">
        <is>
          <t>Occupied No Notice</t>
        </is>
      </c>
      <c r="F25" t="inlineStr">
        <is>
          <t>Howes, Justin</t>
        </is>
      </c>
      <c r="G25" s="89" t="n">
        <v>45426</v>
      </c>
      <c r="H25" s="89" t="n">
        <v>46176</v>
      </c>
      <c r="I25" s="89" t="n">
        <v>46544</v>
      </c>
      <c r="K25" s="88" t="n">
        <v>1200</v>
      </c>
      <c r="L25" s="88" t="n">
        <v>1231</v>
      </c>
      <c r="M25" s="88" t="n">
        <v>500</v>
      </c>
    </row>
    <row r="26">
      <c r="A26" t="inlineStr">
        <is>
          <t>Lyndon Crossings</t>
        </is>
      </c>
      <c r="B26" t="inlineStr">
        <is>
          <t>1209-1</t>
        </is>
      </c>
      <c r="C26" t="inlineStr">
        <is>
          <t>2x2-Parkwood</t>
        </is>
      </c>
      <c r="D26" s="87" t="n">
        <v>964</v>
      </c>
      <c r="E26" t="inlineStr">
        <is>
          <t>Occupied No Notice</t>
        </is>
      </c>
      <c r="F26" t="inlineStr">
        <is>
          <t>Shearer, Roy (Keith)</t>
        </is>
      </c>
      <c r="G26" s="89" t="n">
        <v>43525</v>
      </c>
      <c r="H26" s="89" t="n">
        <v>46181</v>
      </c>
      <c r="I26" s="89" t="n">
        <v>46579</v>
      </c>
      <c r="K26" s="88" t="n">
        <v>1200</v>
      </c>
      <c r="L26" s="88" t="n">
        <v>1099</v>
      </c>
      <c r="M26" s="88" t="n">
        <v>400</v>
      </c>
    </row>
    <row r="27">
      <c r="A27" t="inlineStr">
        <is>
          <t>Lyndon Crossings</t>
        </is>
      </c>
      <c r="B27" t="inlineStr">
        <is>
          <t>1209-2</t>
        </is>
      </c>
      <c r="C27" t="inlineStr">
        <is>
          <t>2x2-Gentry</t>
        </is>
      </c>
      <c r="D27" s="87" t="n">
        <v>860</v>
      </c>
      <c r="E27" t="inlineStr">
        <is>
          <t>Occupied No Notice</t>
        </is>
      </c>
      <c r="F27" t="inlineStr">
        <is>
          <t>VanDyke, Benjamin</t>
        </is>
      </c>
      <c r="G27" s="89" t="n">
        <v>46076</v>
      </c>
      <c r="H27" s="89" t="n">
        <v>46076</v>
      </c>
      <c r="I27" s="89" t="n">
        <v>46621</v>
      </c>
      <c r="K27" s="88" t="n">
        <v>1160</v>
      </c>
      <c r="L27" s="88" t="n">
        <v>1068</v>
      </c>
      <c r="M27" s="88" t="n">
        <v>0</v>
      </c>
    </row>
    <row r="28">
      <c r="A28" t="inlineStr">
        <is>
          <t>Lyndon Crossings</t>
        </is>
      </c>
      <c r="B28" t="inlineStr">
        <is>
          <t>1209-3</t>
        </is>
      </c>
      <c r="C28" t="inlineStr">
        <is>
          <t>2x2-Parkwood</t>
        </is>
      </c>
      <c r="D28" s="87" t="n">
        <v>964</v>
      </c>
      <c r="E28" t="inlineStr">
        <is>
          <t>Occupied No Notice</t>
        </is>
      </c>
      <c r="F28" t="inlineStr">
        <is>
          <t>Maly, Mary</t>
        </is>
      </c>
      <c r="G28" s="89" t="n">
        <v>43792</v>
      </c>
      <c r="H28" s="89" t="n">
        <v>45992</v>
      </c>
      <c r="I28" s="89" t="n">
        <v>46544</v>
      </c>
      <c r="K28" s="88" t="n">
        <v>1200</v>
      </c>
      <c r="L28" s="88" t="n">
        <v>1146</v>
      </c>
      <c r="M28" s="88" t="n">
        <v>900</v>
      </c>
    </row>
    <row r="29">
      <c r="A29" t="inlineStr">
        <is>
          <t>Lyndon Crossings</t>
        </is>
      </c>
      <c r="B29" t="inlineStr">
        <is>
          <t>1209-4</t>
        </is>
      </c>
      <c r="C29" t="inlineStr">
        <is>
          <t>2x2-Parkwood</t>
        </is>
      </c>
      <c r="D29" s="87" t="n">
        <v>964</v>
      </c>
      <c r="E29" t="inlineStr">
        <is>
          <t>Occupied No Notice</t>
        </is>
      </c>
      <c r="F29" t="inlineStr">
        <is>
          <t>Purvis, Jason</t>
        </is>
      </c>
      <c r="G29" s="89" t="n">
        <v>45582</v>
      </c>
      <c r="H29" s="89" t="n">
        <v>45962</v>
      </c>
      <c r="I29" s="89" t="n">
        <v>46509</v>
      </c>
      <c r="K29" s="88" t="n">
        <v>1200</v>
      </c>
      <c r="L29" s="88" t="n">
        <v>1212</v>
      </c>
      <c r="M29" s="88" t="n">
        <v>500</v>
      </c>
    </row>
    <row r="30">
      <c r="A30" t="inlineStr">
        <is>
          <t>Lyndon Crossings</t>
        </is>
      </c>
      <c r="B30" t="inlineStr">
        <is>
          <t>1209-5</t>
        </is>
      </c>
      <c r="C30" t="inlineStr">
        <is>
          <t>2x2-Gentry</t>
        </is>
      </c>
      <c r="D30" s="87" t="n">
        <v>860</v>
      </c>
      <c r="E30" t="inlineStr">
        <is>
          <t>Occupied No Notice</t>
        </is>
      </c>
      <c r="F30" t="inlineStr">
        <is>
          <t>Powers, Neika</t>
        </is>
      </c>
      <c r="G30" s="89" t="n">
        <v>43586</v>
      </c>
      <c r="H30" s="89" t="n">
        <v>45992</v>
      </c>
      <c r="I30" s="89" t="n">
        <v>46362</v>
      </c>
      <c r="K30" s="88" t="n">
        <v>1175</v>
      </c>
      <c r="L30" s="88" t="n">
        <v>1137</v>
      </c>
      <c r="M30" s="88" t="n">
        <v>400</v>
      </c>
    </row>
    <row r="31">
      <c r="A31" t="inlineStr">
        <is>
          <t>Lyndon Crossings</t>
        </is>
      </c>
      <c r="B31" t="inlineStr">
        <is>
          <t>1209-6</t>
        </is>
      </c>
      <c r="C31" t="inlineStr">
        <is>
          <t>2x2-Parkwood</t>
        </is>
      </c>
      <c r="D31" s="87" t="n">
        <v>964</v>
      </c>
      <c r="E31" t="inlineStr">
        <is>
          <t>Occupied No Notice</t>
        </is>
      </c>
      <c r="F31" t="inlineStr">
        <is>
          <t>Screen, Joseph</t>
        </is>
      </c>
      <c r="G31" s="89" t="n">
        <v>45804</v>
      </c>
      <c r="H31" s="89" t="n">
        <v>46174</v>
      </c>
      <c r="I31" s="89" t="n">
        <v>46600</v>
      </c>
      <c r="K31" s="88" t="n">
        <v>1275</v>
      </c>
      <c r="L31" s="88" t="n">
        <v>1195</v>
      </c>
      <c r="M31" s="88" t="n">
        <v>500</v>
      </c>
    </row>
    <row r="32">
      <c r="A32" t="inlineStr">
        <is>
          <t>Lyndon Crossings</t>
        </is>
      </c>
      <c r="B32" t="inlineStr">
        <is>
          <t>1211-1</t>
        </is>
      </c>
      <c r="C32" t="inlineStr">
        <is>
          <t>2x2-Parkwood</t>
        </is>
      </c>
      <c r="D32" s="87" t="n">
        <v>964</v>
      </c>
      <c r="E32" t="inlineStr">
        <is>
          <t>Occupied No Notice</t>
        </is>
      </c>
      <c r="F32" t="inlineStr">
        <is>
          <t>Reasons, Justin</t>
        </is>
      </c>
      <c r="G32" s="89" t="n">
        <v>44470</v>
      </c>
      <c r="H32" s="89" t="n">
        <v>45931</v>
      </c>
      <c r="I32" s="89" t="n">
        <v>46481</v>
      </c>
      <c r="K32" s="88" t="n">
        <v>1200</v>
      </c>
      <c r="L32" s="88" t="n">
        <v>1125</v>
      </c>
      <c r="M32" s="88" t="n">
        <v>900</v>
      </c>
    </row>
    <row r="33">
      <c r="A33" t="inlineStr">
        <is>
          <t>Lyndon Crossings</t>
        </is>
      </c>
      <c r="B33" t="inlineStr">
        <is>
          <t>1211-2</t>
        </is>
      </c>
      <c r="C33" t="inlineStr">
        <is>
          <t>2x2-Gentry</t>
        </is>
      </c>
      <c r="D33" s="87" t="n">
        <v>860</v>
      </c>
      <c r="E33" t="inlineStr">
        <is>
          <t>Occupied No Notice</t>
        </is>
      </c>
      <c r="F33" t="inlineStr">
        <is>
          <t>Smith, Stuart</t>
        </is>
      </c>
      <c r="G33" s="89" t="n">
        <v>46157</v>
      </c>
      <c r="H33" s="89" t="n">
        <v>46157</v>
      </c>
      <c r="I33" s="89" t="n">
        <v>46586</v>
      </c>
      <c r="K33" s="88" t="n">
        <v>1199</v>
      </c>
      <c r="L33" s="88" t="n">
        <v>1199</v>
      </c>
      <c r="M33" s="88" t="n">
        <v>0</v>
      </c>
    </row>
    <row r="34">
      <c r="A34" t="inlineStr">
        <is>
          <t>Lyndon Crossings</t>
        </is>
      </c>
      <c r="B34" t="inlineStr">
        <is>
          <t>1211-3</t>
        </is>
      </c>
      <c r="C34" t="inlineStr">
        <is>
          <t>2x2-Parkwood</t>
        </is>
      </c>
      <c r="D34" s="87" t="n">
        <v>964</v>
      </c>
      <c r="E34" t="inlineStr">
        <is>
          <t>Occupied No Notice</t>
        </is>
      </c>
      <c r="F34" t="inlineStr">
        <is>
          <t>Watson, Mhairi</t>
        </is>
      </c>
      <c r="G34" s="89" t="n">
        <v>45871</v>
      </c>
      <c r="H34" s="89" t="n">
        <v>46237</v>
      </c>
      <c r="I34" s="89" t="n">
        <v>46544</v>
      </c>
      <c r="K34" s="88" t="n">
        <v>1221</v>
      </c>
      <c r="L34" s="88" t="n">
        <v>1296</v>
      </c>
      <c r="M34" s="88" t="n">
        <v>648</v>
      </c>
    </row>
    <row r="35">
      <c r="A35" t="inlineStr">
        <is>
          <t>Lyndon Crossings</t>
        </is>
      </c>
      <c r="B35" t="inlineStr">
        <is>
          <t>1211-4</t>
        </is>
      </c>
      <c r="C35" t="inlineStr">
        <is>
          <t>2x2-Parkwood</t>
        </is>
      </c>
      <c r="D35" s="87" t="n">
        <v>964</v>
      </c>
      <c r="E35" t="inlineStr">
        <is>
          <t>Occupied No Notice</t>
        </is>
      </c>
      <c r="F35" t="inlineStr">
        <is>
          <t>Selter, Aundrea</t>
        </is>
      </c>
      <c r="G35" s="89" t="n">
        <v>46118</v>
      </c>
      <c r="H35" s="89" t="n">
        <v>46118</v>
      </c>
      <c r="I35" s="89" t="n">
        <v>46607</v>
      </c>
      <c r="K35" s="88" t="n">
        <v>1174</v>
      </c>
      <c r="L35" s="88" t="n">
        <v>1140</v>
      </c>
      <c r="M35" s="88" t="n">
        <v>500</v>
      </c>
    </row>
    <row r="36">
      <c r="A36" t="inlineStr">
        <is>
          <t>Lyndon Crossings</t>
        </is>
      </c>
      <c r="B36" t="inlineStr">
        <is>
          <t>1211-5</t>
        </is>
      </c>
      <c r="C36" t="inlineStr">
        <is>
          <t>2x2-Gentry</t>
        </is>
      </c>
      <c r="D36" s="87" t="n">
        <v>860</v>
      </c>
      <c r="E36" t="inlineStr">
        <is>
          <t>Vacant Unrented Ready</t>
        </is>
      </c>
      <c r="F36" t="inlineStr">
        <is>
          <t>-- Vacant --</t>
        </is>
      </c>
      <c r="K36" s="88" t="n">
        <v>1153</v>
      </c>
      <c r="L36" s="88" t="n">
        <v>0</v>
      </c>
      <c r="M36" s="88" t="n">
        <v>0</v>
      </c>
    </row>
    <row r="37">
      <c r="A37" t="inlineStr">
        <is>
          <t>Lyndon Crossings</t>
        </is>
      </c>
      <c r="B37" t="inlineStr">
        <is>
          <t>1211-6</t>
        </is>
      </c>
      <c r="C37" t="inlineStr">
        <is>
          <t>2x2-Parkwood</t>
        </is>
      </c>
      <c r="D37" s="87" t="n">
        <v>964</v>
      </c>
      <c r="E37" t="inlineStr">
        <is>
          <t>Occupied No Notice</t>
        </is>
      </c>
      <c r="F37" t="inlineStr">
        <is>
          <t>Presley, Allen</t>
        </is>
      </c>
      <c r="G37" s="89" t="n">
        <v>44348</v>
      </c>
      <c r="H37" s="89" t="n">
        <v>45992</v>
      </c>
      <c r="I37" s="89" t="n">
        <v>46544</v>
      </c>
      <c r="K37" s="88" t="n">
        <v>1200</v>
      </c>
      <c r="L37" s="88" t="n">
        <v>973</v>
      </c>
      <c r="M37" s="88" t="n">
        <v>900</v>
      </c>
    </row>
    <row r="38">
      <c r="A38" t="inlineStr">
        <is>
          <t>Lyndon Crossings</t>
        </is>
      </c>
      <c r="B38" t="inlineStr">
        <is>
          <t>1212-1</t>
        </is>
      </c>
      <c r="C38" t="inlineStr">
        <is>
          <t>2x2-Parkwood</t>
        </is>
      </c>
      <c r="D38" s="87" t="n">
        <v>964</v>
      </c>
      <c r="E38" t="inlineStr">
        <is>
          <t>Occupied No Notice</t>
        </is>
      </c>
      <c r="F38" t="inlineStr">
        <is>
          <t>Johnson, Marvet</t>
        </is>
      </c>
      <c r="G38" s="89" t="n">
        <v>44228</v>
      </c>
      <c r="H38" s="89" t="n">
        <v>46146</v>
      </c>
      <c r="I38" s="89" t="n">
        <v>46516</v>
      </c>
      <c r="K38" s="88" t="n">
        <v>1200</v>
      </c>
      <c r="L38" s="88" t="n">
        <v>1131</v>
      </c>
      <c r="M38" s="88" t="n">
        <v>400</v>
      </c>
    </row>
    <row r="39">
      <c r="A39" t="inlineStr">
        <is>
          <t>Lyndon Crossings</t>
        </is>
      </c>
      <c r="B39" t="inlineStr">
        <is>
          <t>1212-2</t>
        </is>
      </c>
      <c r="C39" t="inlineStr">
        <is>
          <t>2x2-Gentry</t>
        </is>
      </c>
      <c r="D39" s="87" t="n">
        <v>860</v>
      </c>
      <c r="E39" t="inlineStr">
        <is>
          <t>Occupied No Notice</t>
        </is>
      </c>
      <c r="F39" t="inlineStr">
        <is>
          <t>Russell, Marie</t>
        </is>
      </c>
      <c r="G39" s="89" t="n">
        <v>45199</v>
      </c>
      <c r="H39" s="89" t="n">
        <v>45931</v>
      </c>
      <c r="I39" s="89" t="n">
        <v>46481</v>
      </c>
      <c r="K39" s="88" t="n">
        <v>1175</v>
      </c>
      <c r="L39" s="88" t="n">
        <v>1096</v>
      </c>
      <c r="M39" s="88" t="n">
        <v>1000</v>
      </c>
    </row>
    <row r="40">
      <c r="A40" t="inlineStr">
        <is>
          <t>Lyndon Crossings</t>
        </is>
      </c>
      <c r="B40" t="inlineStr">
        <is>
          <t>1212-3</t>
        </is>
      </c>
      <c r="C40" t="inlineStr">
        <is>
          <t>2x2-Parkwood</t>
        </is>
      </c>
      <c r="D40" s="87" t="n">
        <v>964</v>
      </c>
      <c r="E40" t="inlineStr">
        <is>
          <t>Occupied No Notice</t>
        </is>
      </c>
      <c r="F40" t="inlineStr">
        <is>
          <t>Culp, Bethany</t>
        </is>
      </c>
      <c r="G40" s="89" t="n">
        <v>45976</v>
      </c>
      <c r="H40" s="89" t="n">
        <v>45976</v>
      </c>
      <c r="I40" s="89" t="n">
        <v>46523</v>
      </c>
      <c r="K40" s="88" t="n">
        <v>1235</v>
      </c>
      <c r="L40" s="88" t="n">
        <v>1184</v>
      </c>
      <c r="M40" s="88" t="n">
        <v>500</v>
      </c>
    </row>
    <row r="41">
      <c r="A41" t="inlineStr">
        <is>
          <t>Lyndon Crossings</t>
        </is>
      </c>
      <c r="B41" t="inlineStr">
        <is>
          <t>1212-4</t>
        </is>
      </c>
      <c r="C41" t="inlineStr">
        <is>
          <t>2x2-Parkwood</t>
        </is>
      </c>
      <c r="D41" s="87" t="n">
        <v>964</v>
      </c>
      <c r="E41" t="inlineStr">
        <is>
          <t>Occupied No Notice</t>
        </is>
      </c>
      <c r="F41" t="inlineStr">
        <is>
          <t>Accuardi, John</t>
        </is>
      </c>
      <c r="G41" s="89" t="n">
        <v>43957</v>
      </c>
      <c r="H41" s="89" t="n">
        <v>46113</v>
      </c>
      <c r="I41" s="89" t="n">
        <v>46635</v>
      </c>
      <c r="K41" s="88" t="n">
        <v>1200</v>
      </c>
      <c r="L41" s="88" t="n">
        <v>1200</v>
      </c>
      <c r="M41" s="88" t="n">
        <v>400</v>
      </c>
    </row>
    <row r="42">
      <c r="A42" t="inlineStr">
        <is>
          <t>Lyndon Crossings</t>
        </is>
      </c>
      <c r="B42" t="inlineStr">
        <is>
          <t>1212-5</t>
        </is>
      </c>
      <c r="C42" t="inlineStr">
        <is>
          <t>2x2-Gentry</t>
        </is>
      </c>
      <c r="D42" s="87" t="n">
        <v>860</v>
      </c>
      <c r="E42" t="inlineStr">
        <is>
          <t>Occupied No Notice</t>
        </is>
      </c>
      <c r="F42" t="inlineStr">
        <is>
          <t>Swanson, Brandon</t>
        </is>
      </c>
      <c r="G42" s="89" t="n">
        <v>43980</v>
      </c>
      <c r="H42" s="89" t="n">
        <v>46174</v>
      </c>
      <c r="I42" s="89" t="n">
        <v>46635</v>
      </c>
      <c r="K42" s="88" t="n">
        <v>1175</v>
      </c>
      <c r="L42" s="88" t="n">
        <v>1178</v>
      </c>
      <c r="M42" s="88" t="n">
        <v>400</v>
      </c>
    </row>
    <row r="43">
      <c r="A43" t="inlineStr">
        <is>
          <t>Lyndon Crossings</t>
        </is>
      </c>
      <c r="B43" t="inlineStr">
        <is>
          <t>1212-6</t>
        </is>
      </c>
      <c r="C43" t="inlineStr">
        <is>
          <t>2x2-Parkwood</t>
        </is>
      </c>
      <c r="D43" s="87" t="n">
        <v>964</v>
      </c>
      <c r="E43" t="inlineStr">
        <is>
          <t>Occupied No Notice</t>
        </is>
      </c>
      <c r="F43" t="inlineStr">
        <is>
          <t>Green, Latania</t>
        </is>
      </c>
      <c r="G43" s="89" t="n">
        <v>46155</v>
      </c>
      <c r="H43" s="89" t="n">
        <v>46155</v>
      </c>
      <c r="I43" s="89" t="n">
        <v>46586</v>
      </c>
      <c r="K43" s="88" t="n">
        <v>1206</v>
      </c>
      <c r="L43" s="88" t="n">
        <v>1206</v>
      </c>
      <c r="M43" s="88" t="n">
        <v>1206</v>
      </c>
    </row>
    <row r="44">
      <c r="A44" t="inlineStr">
        <is>
          <t>Lyndon Crossings</t>
        </is>
      </c>
      <c r="B44" t="inlineStr">
        <is>
          <t>1213-1</t>
        </is>
      </c>
      <c r="C44" t="inlineStr">
        <is>
          <t>2x2-Parkwood</t>
        </is>
      </c>
      <c r="D44" s="87" t="n">
        <v>964</v>
      </c>
      <c r="E44" t="inlineStr">
        <is>
          <t>Occupied No Notice</t>
        </is>
      </c>
      <c r="F44" t="inlineStr">
        <is>
          <t>lockard, catherine</t>
        </is>
      </c>
      <c r="G44" s="89" t="n">
        <v>46248</v>
      </c>
      <c r="H44" s="89" t="n">
        <v>46248</v>
      </c>
      <c r="I44" s="89" t="n">
        <v>46796</v>
      </c>
      <c r="K44" s="88" t="n">
        <v>1256</v>
      </c>
      <c r="L44" s="88" t="n">
        <v>1298</v>
      </c>
      <c r="M44" s="88" t="n">
        <v>1298</v>
      </c>
    </row>
    <row r="45">
      <c r="A45" t="inlineStr">
        <is>
          <t>Lyndon Crossings</t>
        </is>
      </c>
      <c r="B45" t="inlineStr">
        <is>
          <t>1213-2</t>
        </is>
      </c>
      <c r="C45" t="inlineStr">
        <is>
          <t>2x2-Gentry</t>
        </is>
      </c>
      <c r="D45" s="87" t="n">
        <v>860</v>
      </c>
      <c r="E45" t="inlineStr">
        <is>
          <t>Vacant Unrented Ready</t>
        </is>
      </c>
      <c r="F45" t="inlineStr">
        <is>
          <t>-- Vacant --</t>
        </is>
      </c>
      <c r="K45" s="88" t="n">
        <v>1123</v>
      </c>
      <c r="L45" s="88" t="n">
        <v>0</v>
      </c>
      <c r="M45" s="88" t="n">
        <v>0</v>
      </c>
    </row>
    <row r="46">
      <c r="A46" t="inlineStr">
        <is>
          <t>Lyndon Crossings</t>
        </is>
      </c>
      <c r="B46" t="inlineStr">
        <is>
          <t>1213-3</t>
        </is>
      </c>
      <c r="C46" t="inlineStr">
        <is>
          <t>2x2-Parkwood</t>
        </is>
      </c>
      <c r="D46" s="87" t="n">
        <v>964</v>
      </c>
      <c r="E46" t="inlineStr">
        <is>
          <t>Occupied No Notice</t>
        </is>
      </c>
      <c r="F46" t="inlineStr">
        <is>
          <t>Kelly, John</t>
        </is>
      </c>
      <c r="G46" s="89" t="n">
        <v>46218</v>
      </c>
      <c r="H46" s="89" t="n">
        <v>46218</v>
      </c>
      <c r="I46" s="89" t="n">
        <v>46495</v>
      </c>
      <c r="K46" s="88" t="n">
        <v>1225</v>
      </c>
      <c r="L46" s="88" t="n">
        <v>1226</v>
      </c>
      <c r="M46" s="88" t="n">
        <v>500</v>
      </c>
    </row>
    <row r="47">
      <c r="A47" t="inlineStr">
        <is>
          <t>Lyndon Crossings</t>
        </is>
      </c>
      <c r="B47" t="inlineStr">
        <is>
          <t>1213-4</t>
        </is>
      </c>
      <c r="C47" t="inlineStr">
        <is>
          <t>2x2-Parkwood</t>
        </is>
      </c>
      <c r="D47" s="87" t="n">
        <v>964</v>
      </c>
      <c r="E47" t="inlineStr">
        <is>
          <t>Occupied No Notice</t>
        </is>
      </c>
      <c r="F47" t="inlineStr">
        <is>
          <t>Anderson, Cristopher</t>
        </is>
      </c>
      <c r="G47" s="89" t="n">
        <v>46129</v>
      </c>
      <c r="H47" s="89" t="n">
        <v>46129</v>
      </c>
      <c r="I47" s="89" t="n">
        <v>46621</v>
      </c>
      <c r="K47" s="88" t="n">
        <v>1155</v>
      </c>
      <c r="L47" s="88" t="n">
        <v>1152</v>
      </c>
      <c r="M47" s="88" t="n">
        <v>500</v>
      </c>
    </row>
    <row r="48">
      <c r="A48" t="inlineStr">
        <is>
          <t>Lyndon Crossings</t>
        </is>
      </c>
      <c r="B48" t="inlineStr">
        <is>
          <t>1213-5</t>
        </is>
      </c>
      <c r="C48" t="inlineStr">
        <is>
          <t>2x2-Gentry</t>
        </is>
      </c>
      <c r="D48" s="87" t="n">
        <v>860</v>
      </c>
      <c r="E48" t="inlineStr">
        <is>
          <t>Occupied No Notice</t>
        </is>
      </c>
      <c r="F48" t="inlineStr">
        <is>
          <t>Vuolo, Matthew</t>
        </is>
      </c>
      <c r="G48" s="89" t="n">
        <v>45884</v>
      </c>
      <c r="H48" s="89" t="n">
        <v>46251</v>
      </c>
      <c r="I48" s="89" t="n">
        <v>46649</v>
      </c>
      <c r="K48" s="88" t="n">
        <v>1305</v>
      </c>
      <c r="L48" s="88" t="n">
        <v>1176</v>
      </c>
      <c r="M48" s="88" t="n">
        <v>553.5</v>
      </c>
    </row>
    <row r="49">
      <c r="A49" t="inlineStr">
        <is>
          <t>Lyndon Crossings</t>
        </is>
      </c>
      <c r="B49" t="inlineStr">
        <is>
          <t>1213-6</t>
        </is>
      </c>
      <c r="C49" t="inlineStr">
        <is>
          <t>2x2-Parkwood</t>
        </is>
      </c>
      <c r="D49" s="87" t="n">
        <v>964</v>
      </c>
      <c r="E49" t="inlineStr">
        <is>
          <t>Occupied No Notice</t>
        </is>
      </c>
      <c r="F49" t="inlineStr">
        <is>
          <t>Goodman EMPLOYEE, Lorie</t>
        </is>
      </c>
      <c r="G49" s="89" t="n">
        <v>45966</v>
      </c>
      <c r="H49" s="89" t="n">
        <v>45966</v>
      </c>
      <c r="I49" s="89" t="n">
        <v>46516</v>
      </c>
      <c r="K49" s="88" t="n">
        <v>1364</v>
      </c>
      <c r="L49" s="88" t="n">
        <v>1215</v>
      </c>
      <c r="M49" s="88" t="n">
        <v>0</v>
      </c>
    </row>
    <row r="50">
      <c r="A50" t="inlineStr">
        <is>
          <t>Lyndon Crossings</t>
        </is>
      </c>
      <c r="B50" t="inlineStr">
        <is>
          <t>1215-1</t>
        </is>
      </c>
      <c r="C50" t="inlineStr">
        <is>
          <t>2x2-Parkwood</t>
        </is>
      </c>
      <c r="D50" s="87" t="n">
        <v>964</v>
      </c>
      <c r="E50" t="inlineStr">
        <is>
          <t>Occupied No Notice</t>
        </is>
      </c>
      <c r="F50" t="inlineStr">
        <is>
          <t>Riesen, Evan</t>
        </is>
      </c>
      <c r="G50" s="89" t="n">
        <v>46102</v>
      </c>
      <c r="H50" s="89" t="n">
        <v>46102</v>
      </c>
      <c r="I50" s="89" t="n">
        <v>46593</v>
      </c>
      <c r="K50" s="88" t="n">
        <v>1099</v>
      </c>
      <c r="L50" s="88" t="n">
        <v>1099</v>
      </c>
      <c r="M50" s="88" t="n">
        <v>0</v>
      </c>
    </row>
    <row r="51">
      <c r="A51" t="inlineStr">
        <is>
          <t>Lyndon Crossings</t>
        </is>
      </c>
      <c r="B51" t="inlineStr">
        <is>
          <t>1215-2</t>
        </is>
      </c>
      <c r="C51" t="inlineStr">
        <is>
          <t>2x2-Gentry</t>
        </is>
      </c>
      <c r="D51" s="87" t="n">
        <v>860</v>
      </c>
      <c r="E51" t="inlineStr">
        <is>
          <t>Occupied No Notice</t>
        </is>
      </c>
      <c r="F51" t="inlineStr">
        <is>
          <t>Bennett, Octavia</t>
        </is>
      </c>
      <c r="G51" s="89" t="n">
        <v>45422</v>
      </c>
      <c r="H51" s="89" t="n">
        <v>46174</v>
      </c>
      <c r="I51" s="89" t="n">
        <v>46635</v>
      </c>
      <c r="K51" s="88" t="n">
        <v>1175</v>
      </c>
      <c r="L51" s="88" t="n">
        <v>1198</v>
      </c>
      <c r="M51" s="88" t="n">
        <v>500</v>
      </c>
    </row>
    <row r="52">
      <c r="A52" t="inlineStr">
        <is>
          <t>Lyndon Crossings</t>
        </is>
      </c>
      <c r="B52" t="inlineStr">
        <is>
          <t>1215-3</t>
        </is>
      </c>
      <c r="C52" t="inlineStr">
        <is>
          <t>2x2-Parkwood</t>
        </is>
      </c>
      <c r="D52" s="87" t="n">
        <v>964</v>
      </c>
      <c r="E52" t="inlineStr">
        <is>
          <t>Occupied No Notice</t>
        </is>
      </c>
      <c r="F52" t="inlineStr">
        <is>
          <t>Wyatt, Daquan</t>
        </is>
      </c>
      <c r="G52" s="89" t="n">
        <v>45973</v>
      </c>
      <c r="H52" s="89" t="n">
        <v>45973</v>
      </c>
      <c r="I52" s="89" t="n">
        <v>46523</v>
      </c>
      <c r="K52" s="88" t="n">
        <v>1233</v>
      </c>
      <c r="L52" s="88" t="n">
        <v>1150</v>
      </c>
      <c r="M52" s="88" t="n">
        <v>500</v>
      </c>
    </row>
    <row r="53">
      <c r="A53" t="inlineStr">
        <is>
          <t>Lyndon Crossings</t>
        </is>
      </c>
      <c r="B53" t="inlineStr">
        <is>
          <t>1215-4</t>
        </is>
      </c>
      <c r="C53" t="inlineStr">
        <is>
          <t>2x2-Parkwood</t>
        </is>
      </c>
      <c r="D53" s="87" t="n">
        <v>964</v>
      </c>
      <c r="E53" t="inlineStr">
        <is>
          <t>Occupied No Notice</t>
        </is>
      </c>
      <c r="F53" t="inlineStr">
        <is>
          <t>Thomas, Kobe</t>
        </is>
      </c>
      <c r="G53" s="89" t="n">
        <v>45819</v>
      </c>
      <c r="H53" s="89" t="n">
        <v>46188</v>
      </c>
      <c r="I53" s="89" t="n">
        <v>46558</v>
      </c>
      <c r="K53" s="88" t="n">
        <v>1200</v>
      </c>
      <c r="L53" s="88" t="n">
        <v>1228</v>
      </c>
      <c r="M53" s="88" t="n">
        <v>0</v>
      </c>
    </row>
    <row r="54">
      <c r="A54" t="inlineStr">
        <is>
          <t>Lyndon Crossings</t>
        </is>
      </c>
      <c r="B54" t="inlineStr">
        <is>
          <t>1215-5</t>
        </is>
      </c>
      <c r="C54" t="inlineStr">
        <is>
          <t>2x2-Gentry</t>
        </is>
      </c>
      <c r="D54" s="87" t="n">
        <v>860</v>
      </c>
      <c r="E54" t="inlineStr">
        <is>
          <t>Vacant Rented Ready</t>
        </is>
      </c>
      <c r="F54" t="inlineStr">
        <is>
          <t>-- Vacant --</t>
        </is>
      </c>
      <c r="K54" s="88" t="n">
        <v>1099</v>
      </c>
      <c r="L54" s="88" t="n">
        <v>0</v>
      </c>
      <c r="M54" s="88" t="n">
        <v>0</v>
      </c>
    </row>
    <row r="55">
      <c r="A55" t="inlineStr">
        <is>
          <t>Lyndon Crossings</t>
        </is>
      </c>
      <c r="B55" t="inlineStr">
        <is>
          <t>1215-6</t>
        </is>
      </c>
      <c r="C55" t="inlineStr">
        <is>
          <t>2x2-Parkwood</t>
        </is>
      </c>
      <c r="D55" s="87" t="n">
        <v>964</v>
      </c>
      <c r="E55" t="inlineStr">
        <is>
          <t>Occupied No Notice</t>
        </is>
      </c>
      <c r="F55" t="inlineStr">
        <is>
          <t>Smith, Morgan</t>
        </is>
      </c>
      <c r="G55" s="89" t="n">
        <v>45919</v>
      </c>
      <c r="H55" s="89" t="n">
        <v>45919</v>
      </c>
      <c r="I55" s="89" t="n">
        <v>46467</v>
      </c>
      <c r="K55" s="88" t="n">
        <v>1271</v>
      </c>
      <c r="L55" s="88" t="n">
        <v>1099</v>
      </c>
      <c r="M55" s="88" t="n">
        <v>549.5</v>
      </c>
    </row>
    <row r="56">
      <c r="A56" t="inlineStr">
        <is>
          <t>Lyndon Crossings</t>
        </is>
      </c>
      <c r="B56" t="inlineStr">
        <is>
          <t>8600-1</t>
        </is>
      </c>
      <c r="C56" t="inlineStr">
        <is>
          <t>2x2-Parkwood</t>
        </is>
      </c>
      <c r="D56" s="87" t="n">
        <v>964</v>
      </c>
      <c r="E56" t="inlineStr">
        <is>
          <t>Occupied No Notice</t>
        </is>
      </c>
      <c r="F56" t="inlineStr">
        <is>
          <t>Howser, Lisa</t>
        </is>
      </c>
      <c r="G56" s="89" t="n">
        <v>44002</v>
      </c>
      <c r="H56" s="89" t="n">
        <v>46209</v>
      </c>
      <c r="I56" s="89" t="n">
        <v>46579</v>
      </c>
      <c r="K56" s="88" t="n">
        <v>1200</v>
      </c>
      <c r="L56" s="88" t="n">
        <v>1172</v>
      </c>
      <c r="M56" s="88" t="n">
        <v>400</v>
      </c>
    </row>
    <row r="57">
      <c r="A57" t="inlineStr">
        <is>
          <t>Lyndon Crossings</t>
        </is>
      </c>
      <c r="B57" t="inlineStr">
        <is>
          <t>8600-2</t>
        </is>
      </c>
      <c r="C57" t="inlineStr">
        <is>
          <t>2x2-Gentry</t>
        </is>
      </c>
      <c r="D57" s="87" t="n">
        <v>860</v>
      </c>
      <c r="E57" t="inlineStr">
        <is>
          <t>Occupied No Notice</t>
        </is>
      </c>
      <c r="F57" t="inlineStr">
        <is>
          <t>Williams, Candice</t>
        </is>
      </c>
      <c r="G57" s="89" t="n">
        <v>46185</v>
      </c>
      <c r="H57" s="89" t="n">
        <v>46185</v>
      </c>
      <c r="I57" s="89" t="n">
        <v>46551</v>
      </c>
      <c r="K57" s="88" t="n">
        <v>1151</v>
      </c>
      <c r="L57" s="88" t="n">
        <v>1151</v>
      </c>
      <c r="M57" s="88" t="n">
        <v>0</v>
      </c>
    </row>
    <row r="58">
      <c r="A58" t="inlineStr">
        <is>
          <t>Lyndon Crossings</t>
        </is>
      </c>
      <c r="B58" t="inlineStr">
        <is>
          <t>8600-3</t>
        </is>
      </c>
      <c r="C58" t="inlineStr">
        <is>
          <t>2x2-Parkwood</t>
        </is>
      </c>
      <c r="D58" s="87" t="n">
        <v>964</v>
      </c>
      <c r="E58" t="inlineStr">
        <is>
          <t>Occupied No Notice</t>
        </is>
      </c>
      <c r="F58" t="inlineStr">
        <is>
          <t>Pineda, Drew</t>
        </is>
      </c>
      <c r="G58" s="89" t="n">
        <v>45976</v>
      </c>
      <c r="H58" s="89" t="n">
        <v>45976</v>
      </c>
      <c r="I58" s="89" t="n">
        <v>46285</v>
      </c>
      <c r="K58" s="88" t="n">
        <v>1233</v>
      </c>
      <c r="L58" s="88" t="n">
        <v>1290</v>
      </c>
      <c r="M58" s="88" t="n">
        <v>500</v>
      </c>
    </row>
    <row r="59">
      <c r="A59" t="inlineStr">
        <is>
          <t>Lyndon Crossings</t>
        </is>
      </c>
      <c r="B59" t="inlineStr">
        <is>
          <t>8600-4</t>
        </is>
      </c>
      <c r="C59" t="inlineStr">
        <is>
          <t>2x2-Parkwood</t>
        </is>
      </c>
      <c r="D59" s="87" t="n">
        <v>964</v>
      </c>
      <c r="E59" t="inlineStr">
        <is>
          <t>Occupied No Notice</t>
        </is>
      </c>
      <c r="F59" t="inlineStr">
        <is>
          <t>Barker, Tavarius</t>
        </is>
      </c>
      <c r="G59" s="89" t="n">
        <v>45952</v>
      </c>
      <c r="H59" s="89" t="n">
        <v>45952</v>
      </c>
      <c r="I59" s="89" t="n">
        <v>46502</v>
      </c>
      <c r="K59" s="88" t="n">
        <v>1263</v>
      </c>
      <c r="L59" s="88" t="n">
        <v>1128</v>
      </c>
      <c r="M59" s="88" t="n">
        <v>0</v>
      </c>
    </row>
    <row r="60">
      <c r="A60" t="inlineStr">
        <is>
          <t>Lyndon Crossings</t>
        </is>
      </c>
      <c r="B60" t="inlineStr">
        <is>
          <t>8600-5</t>
        </is>
      </c>
      <c r="C60" t="inlineStr">
        <is>
          <t>2x2-Gentry</t>
        </is>
      </c>
      <c r="D60" s="87" t="n">
        <v>860</v>
      </c>
      <c r="E60" t="inlineStr">
        <is>
          <t>Notice Unrented</t>
        </is>
      </c>
      <c r="F60" t="inlineStr">
        <is>
          <t>Green, Elaine</t>
        </is>
      </c>
      <c r="G60" s="89" t="n">
        <v>44779</v>
      </c>
      <c r="H60" s="89" t="n">
        <v>45901</v>
      </c>
      <c r="I60" s="89" t="n">
        <v>46271</v>
      </c>
      <c r="J60" s="89" t="n">
        <v>46271</v>
      </c>
      <c r="K60" s="88" t="n">
        <v>1150</v>
      </c>
      <c r="L60" s="88" t="n">
        <v>1137</v>
      </c>
      <c r="M60" s="88" t="n">
        <v>700</v>
      </c>
    </row>
    <row r="61">
      <c r="A61" t="inlineStr">
        <is>
          <t>Lyndon Crossings</t>
        </is>
      </c>
      <c r="B61" t="inlineStr">
        <is>
          <t>8600-6</t>
        </is>
      </c>
      <c r="C61" t="inlineStr">
        <is>
          <t>2x2-Parkwood</t>
        </is>
      </c>
      <c r="D61" s="87" t="n">
        <v>964</v>
      </c>
      <c r="E61" t="inlineStr">
        <is>
          <t>Occupied No Notice</t>
        </is>
      </c>
      <c r="F61" t="inlineStr">
        <is>
          <t>Rezk, Robert</t>
        </is>
      </c>
      <c r="G61" s="89" t="n">
        <v>45117</v>
      </c>
      <c r="H61" s="89" t="n">
        <v>46237</v>
      </c>
      <c r="I61" s="89" t="n">
        <v>46544</v>
      </c>
      <c r="K61" s="88" t="n">
        <v>1200</v>
      </c>
      <c r="L61" s="88" t="n">
        <v>1245</v>
      </c>
      <c r="M61" s="88" t="n">
        <v>1000</v>
      </c>
    </row>
    <row r="62">
      <c r="A62" t="inlineStr">
        <is>
          <t>Lyndon Crossings</t>
        </is>
      </c>
      <c r="B62" t="inlineStr">
        <is>
          <t>8601-1</t>
        </is>
      </c>
      <c r="C62" t="inlineStr">
        <is>
          <t>2x2-Parkwood</t>
        </is>
      </c>
      <c r="D62" s="87" t="n">
        <v>964</v>
      </c>
      <c r="E62" t="inlineStr">
        <is>
          <t>Occupied No Notice</t>
        </is>
      </c>
      <c r="F62" t="inlineStr">
        <is>
          <t>Allen, Michael</t>
        </is>
      </c>
      <c r="G62" s="89" t="n">
        <v>45491</v>
      </c>
      <c r="H62" s="89" t="n">
        <v>46237</v>
      </c>
      <c r="I62" s="89" t="n">
        <v>46544</v>
      </c>
      <c r="K62" s="88" t="n">
        <v>1200</v>
      </c>
      <c r="L62" s="88" t="n">
        <v>1215</v>
      </c>
      <c r="M62" s="88" t="n">
        <v>500</v>
      </c>
    </row>
    <row r="63">
      <c r="A63" t="inlineStr">
        <is>
          <t>Lyndon Crossings</t>
        </is>
      </c>
      <c r="B63" t="inlineStr">
        <is>
          <t>8601-2</t>
        </is>
      </c>
      <c r="C63" t="inlineStr">
        <is>
          <t>2x2-Gentry</t>
        </is>
      </c>
      <c r="D63" s="87" t="n">
        <v>860</v>
      </c>
      <c r="E63" t="inlineStr">
        <is>
          <t>Occupied No Notice</t>
        </is>
      </c>
      <c r="F63" t="inlineStr">
        <is>
          <t>Beardsley, Grace</t>
        </is>
      </c>
      <c r="G63" s="89" t="n">
        <v>45080</v>
      </c>
      <c r="H63" s="89" t="n">
        <v>46118</v>
      </c>
      <c r="I63" s="89" t="n">
        <v>46488</v>
      </c>
      <c r="K63" s="88" t="n">
        <v>1175</v>
      </c>
      <c r="L63" s="88" t="n">
        <v>1222</v>
      </c>
      <c r="M63" s="88" t="n">
        <v>1000</v>
      </c>
    </row>
    <row r="64">
      <c r="A64" t="inlineStr">
        <is>
          <t>Lyndon Crossings</t>
        </is>
      </c>
      <c r="B64" t="inlineStr">
        <is>
          <t>8601-3</t>
        </is>
      </c>
      <c r="C64" t="inlineStr">
        <is>
          <t>2x2-Parkwood</t>
        </is>
      </c>
      <c r="D64" s="87" t="n">
        <v>964</v>
      </c>
      <c r="E64" t="inlineStr">
        <is>
          <t>Occupied No Notice</t>
        </is>
      </c>
      <c r="F64" t="inlineStr">
        <is>
          <t>Pisacrita, Robert</t>
        </is>
      </c>
      <c r="G64" s="89" t="n">
        <v>44021</v>
      </c>
      <c r="H64" s="89" t="n">
        <v>46237</v>
      </c>
      <c r="I64" s="89" t="n">
        <v>46509</v>
      </c>
      <c r="K64" s="88" t="n">
        <v>1200</v>
      </c>
      <c r="L64" s="88" t="n">
        <v>1198</v>
      </c>
      <c r="M64" s="88" t="n">
        <v>400</v>
      </c>
    </row>
    <row r="65">
      <c r="A65" t="inlineStr">
        <is>
          <t>Lyndon Crossings</t>
        </is>
      </c>
      <c r="B65" t="inlineStr">
        <is>
          <t>8601-4</t>
        </is>
      </c>
      <c r="C65" t="inlineStr">
        <is>
          <t>2x2-Parkwood</t>
        </is>
      </c>
      <c r="D65" s="87" t="n">
        <v>964</v>
      </c>
      <c r="E65" t="inlineStr">
        <is>
          <t>Occupied No Notice</t>
        </is>
      </c>
      <c r="F65" t="inlineStr">
        <is>
          <t>Goodloe, Cierra</t>
        </is>
      </c>
      <c r="G65" s="89" t="n">
        <v>45509</v>
      </c>
      <c r="H65" s="89" t="n">
        <v>45901</v>
      </c>
      <c r="I65" s="89" t="n">
        <v>46271</v>
      </c>
      <c r="K65" s="88" t="n">
        <v>1200</v>
      </c>
      <c r="L65" s="88" t="n">
        <v>1200</v>
      </c>
      <c r="M65" s="88" t="n">
        <v>500</v>
      </c>
    </row>
    <row r="66">
      <c r="A66" t="inlineStr">
        <is>
          <t>Lyndon Crossings</t>
        </is>
      </c>
      <c r="B66" t="inlineStr">
        <is>
          <t>8601-5</t>
        </is>
      </c>
      <c r="C66" t="inlineStr">
        <is>
          <t>2x2-Gentry</t>
        </is>
      </c>
      <c r="D66" s="87" t="n">
        <v>860</v>
      </c>
      <c r="E66" t="inlineStr">
        <is>
          <t>Occupied No Notice</t>
        </is>
      </c>
      <c r="F66" t="inlineStr">
        <is>
          <t>Lusco, Megan</t>
        </is>
      </c>
      <c r="G66" s="89" t="n">
        <v>43700</v>
      </c>
      <c r="H66" s="89" t="n">
        <v>45901</v>
      </c>
      <c r="I66" s="89" t="n">
        <v>46271</v>
      </c>
      <c r="K66" s="88" t="n">
        <v>1175</v>
      </c>
      <c r="L66" s="88" t="n">
        <v>1137</v>
      </c>
      <c r="M66" s="88" t="n">
        <v>400</v>
      </c>
    </row>
    <row r="67">
      <c r="A67" t="inlineStr">
        <is>
          <t>Lyndon Crossings</t>
        </is>
      </c>
      <c r="B67" t="inlineStr">
        <is>
          <t>8601-6</t>
        </is>
      </c>
      <c r="C67" t="inlineStr">
        <is>
          <t>2x2-Parkwood</t>
        </is>
      </c>
      <c r="D67" s="87" t="n">
        <v>964</v>
      </c>
      <c r="E67" t="inlineStr">
        <is>
          <t>Occupied No Notice</t>
        </is>
      </c>
      <c r="F67" t="inlineStr">
        <is>
          <t>Sanchez, Carlos</t>
        </is>
      </c>
      <c r="G67" s="89" t="n">
        <v>45926</v>
      </c>
      <c r="H67" s="89" t="n">
        <v>45926</v>
      </c>
      <c r="I67" s="89" t="n">
        <v>46474</v>
      </c>
      <c r="K67" s="88" t="n">
        <v>1245</v>
      </c>
      <c r="L67" s="88" t="n">
        <v>1099</v>
      </c>
      <c r="M67" s="88" t="n">
        <v>1099</v>
      </c>
    </row>
    <row r="68">
      <c r="C68" t="inlineStr">
        <is>
          <t>Lyndon Crossings Total:</t>
        </is>
      </c>
      <c r="D68" s="87" t="n">
        <v>55760</v>
      </c>
      <c r="K68" s="88" t="n">
        <v>71703</v>
      </c>
      <c r="L68" s="88" t="n">
        <v>64522</v>
      </c>
      <c r="M68" s="88" t="n">
        <v>30334</v>
      </c>
    </row>
    <row r="70">
      <c r="A70" t="inlineStr">
        <is>
          <t>Status Summary</t>
        </is>
      </c>
      <c r="D70" t="inlineStr">
        <is>
          <t>Charge Code Summary</t>
        </is>
      </c>
    </row>
    <row r="71">
      <c r="A71" t="inlineStr">
        <is>
          <t>Description</t>
        </is>
      </c>
      <c r="B71" t="inlineStr">
        <is>
          <t>Unit Count</t>
        </is>
      </c>
      <c r="C71" t="inlineStr">
        <is>
          <t>Percent</t>
        </is>
      </c>
      <c r="D71" t="inlineStr">
        <is>
          <t>Charge Code</t>
        </is>
      </c>
      <c r="E71" t="inlineStr">
        <is>
          <t>Scheduled</t>
        </is>
      </c>
      <c r="F71" t="inlineStr">
        <is>
          <t>Charge Code Type</t>
        </is>
      </c>
      <c r="O71" t="inlineStr">
        <is>
          <t>Status Summary - Scheduled Rent</t>
        </is>
      </c>
      <c r="P71" t="inlineStr">
        <is>
          <t>Status Summary - Scheduled Other</t>
        </is>
      </c>
    </row>
    <row r="72">
      <c r="A72" t="inlineStr">
        <is>
          <t>Occupied No Notice</t>
        </is>
      </c>
      <c r="B72" s="87" t="n">
        <v>53</v>
      </c>
      <c r="C72" s="90" t="n">
        <v>0.8833333333333333</v>
      </c>
      <c r="D72" s="91" t="inlineStr">
        <is>
          <t>Ledger: Resident</t>
        </is>
      </c>
      <c r="O72" s="88" t="n">
        <v>62086</v>
      </c>
      <c r="P72" s="88" t="n">
        <v>0</v>
      </c>
    </row>
    <row r="73">
      <c r="A73" t="inlineStr">
        <is>
          <t>Notice Unrented</t>
        </is>
      </c>
      <c r="B73" s="87" t="n">
        <v>2</v>
      </c>
      <c r="C73" s="90" t="n">
        <v>0.03333333333333333</v>
      </c>
      <c r="D73" t="inlineStr">
        <is>
          <t>Amenity Rent</t>
        </is>
      </c>
      <c r="E73" s="88" t="n">
        <v>1850</v>
      </c>
      <c r="F73" t="inlineStr">
        <is>
          <t>Rent</t>
        </is>
      </c>
      <c r="O73" s="88" t="n">
        <v>2436</v>
      </c>
      <c r="P73" s="88" t="n">
        <v>0</v>
      </c>
    </row>
    <row r="74">
      <c r="A74" t="inlineStr">
        <is>
          <t>Total Occupied Units</t>
        </is>
      </c>
      <c r="B74" s="87" t="n">
        <v>55</v>
      </c>
      <c r="C74" s="90" t="n">
        <v>0.9166666666666666</v>
      </c>
      <c r="D74" t="inlineStr">
        <is>
          <t>Month to Month Rent</t>
        </is>
      </c>
      <c r="E74" s="88" t="n">
        <v>1299</v>
      </c>
      <c r="F74" t="inlineStr">
        <is>
          <t>Rent</t>
        </is>
      </c>
      <c r="O74" s="88" t="n">
        <v>64522</v>
      </c>
      <c r="P74" s="88" t="n">
        <v>0</v>
      </c>
    </row>
    <row r="75">
      <c r="A75" t="inlineStr">
        <is>
          <t>Vacant Rented Ready</t>
        </is>
      </c>
      <c r="B75" s="87" t="n">
        <v>2</v>
      </c>
      <c r="C75" s="90" t="n">
        <v>0.03333333333333333</v>
      </c>
      <c r="D75" t="inlineStr">
        <is>
          <t>Rent</t>
        </is>
      </c>
      <c r="E75" s="88" t="n">
        <v>61373</v>
      </c>
      <c r="F75" t="inlineStr">
        <is>
          <t>Rent</t>
        </is>
      </c>
      <c r="O75" s="88" t="n">
        <v>1242</v>
      </c>
      <c r="P75" s="88" t="n">
        <v>0</v>
      </c>
    </row>
    <row r="76">
      <c r="A76" t="inlineStr">
        <is>
          <t>Vacant Rented Not Ready</t>
        </is>
      </c>
      <c r="B76" s="87" t="n">
        <v>1</v>
      </c>
      <c r="C76" s="90" t="n">
        <v>0.01666666666666667</v>
      </c>
      <c r="D76" t="inlineStr">
        <is>
          <t>Resident Total:</t>
        </is>
      </c>
      <c r="E76" s="88" t="n">
        <v>64522</v>
      </c>
      <c r="O76" s="88" t="n">
        <v>0</v>
      </c>
      <c r="P76" s="88" t="n">
        <v>0</v>
      </c>
    </row>
    <row r="77">
      <c r="A77" t="inlineStr">
        <is>
          <t>Vacant Unrented Ready</t>
        </is>
      </c>
      <c r="B77" s="87" t="n">
        <v>2</v>
      </c>
      <c r="C77" s="90" t="n">
        <v>0.03333333333333333</v>
      </c>
      <c r="D77" t="inlineStr">
        <is>
          <t>Total:</t>
        </is>
      </c>
      <c r="E77" s="88" t="n">
        <v>64522</v>
      </c>
      <c r="O77" s="88" t="n">
        <v>0</v>
      </c>
      <c r="P77" s="88" t="n">
        <v>0</v>
      </c>
    </row>
    <row r="78">
      <c r="A78" t="inlineStr">
        <is>
          <t>Total Vacant Units</t>
        </is>
      </c>
      <c r="B78" s="87" t="n">
        <v>5</v>
      </c>
      <c r="C78" s="90" t="n">
        <v>0.08333333333333333</v>
      </c>
      <c r="O78" s="88" t="n">
        <v>1242</v>
      </c>
      <c r="P78" s="88" t="n">
        <v>0</v>
      </c>
    </row>
    <row r="79">
      <c r="A79" t="inlineStr">
        <is>
          <t>Total Rentable Units</t>
        </is>
      </c>
      <c r="B79" s="87" t="n">
        <v>60</v>
      </c>
      <c r="C79" s="90" t="n">
        <v>1</v>
      </c>
      <c r="O79" s="88" t="n">
        <v>65764</v>
      </c>
      <c r="P79" s="88" t="n">
        <v>0</v>
      </c>
    </row>
    <row r="81">
      <c r="A81" t="inlineStr">
        <is>
          <t>Average Charges by Unit Type Summary</t>
        </is>
      </c>
    </row>
    <row r="82">
      <c r="A82" t="inlineStr">
        <is>
          <t>Unit Type</t>
        </is>
      </c>
      <c r="B82" t="inlineStr">
        <is>
          <t>Rentable Units</t>
        </is>
      </c>
      <c r="C82" t="inlineStr">
        <is>
          <t>Occupied Units</t>
        </is>
      </c>
      <c r="D82" t="inlineStr">
        <is>
          <t>Market Rent</t>
        </is>
      </c>
      <c r="E82" t="inlineStr">
        <is>
          <t>Scheduled Charges</t>
        </is>
      </c>
      <c r="O82" t="inlineStr">
        <is>
          <t>Average Charges by Unit Type Summary - Units</t>
        </is>
      </c>
      <c r="P82" t="inlineStr">
        <is>
          <t>Average Charges by Unit Type Summary - Excluded Units</t>
        </is>
      </c>
      <c r="Q82" t="inlineStr">
        <is>
          <t>Average Charges by Unit Type Summary - 0</t>
        </is>
      </c>
      <c r="R82" t="inlineStr">
        <is>
          <t>Average Charges by Unit Type Summary - Budgeted Rent</t>
        </is>
      </c>
      <c r="S82" t="inlineStr">
        <is>
          <t>Average Charges by Unit Type Summary - Market Rent</t>
        </is>
      </c>
      <c r="T82" t="inlineStr">
        <is>
          <t>Average Charges by Unit Type Summary - Total Effective Rent</t>
        </is>
      </c>
      <c r="U82" t="inlineStr">
        <is>
          <t>Average Charges by Unit Type Summary - Total Effective Rent With Gift</t>
        </is>
      </c>
      <c r="V82" t="inlineStr">
        <is>
          <t>Average Charges by Unit Type Summary - Total Actual Rent</t>
        </is>
      </c>
      <c r="W82" t="inlineStr">
        <is>
          <t>Average Charges by Unit Type Summary - Lease Rent</t>
        </is>
      </c>
      <c r="X82" t="inlineStr">
        <is>
          <t>Average Charges by Unit Type Summary - Recurring Concessions</t>
        </is>
      </c>
      <c r="Y82" t="inlineStr">
        <is>
          <t>Average Charges by Unit Type Summary - Onetime Concessions</t>
        </is>
      </c>
      <c r="Z82" t="inlineStr">
        <is>
          <t>Average Charges by Unit Type Summary - Gift Incentives</t>
        </is>
      </c>
      <c r="AA82" t="inlineStr">
        <is>
          <t>Average Charges by Unit Type Summary - Scheduled Charges</t>
        </is>
      </c>
      <c r="AB82" t="inlineStr">
        <is>
          <t>Average Charges by Unit Type Summary - Scheduled Rent Sum</t>
        </is>
      </c>
      <c r="AC82" t="inlineStr">
        <is>
          <t>Average Charges by Unit Type Summary - Scheduled Other Sum</t>
        </is>
      </c>
      <c r="AD82" t="inlineStr">
        <is>
          <t>Average Charges by Unit Type Summary - Actual Charges</t>
        </is>
      </c>
      <c r="AE82" t="inlineStr">
        <is>
          <t>Average Charges by Unit Type Summary - Rentable Units Avg</t>
        </is>
      </c>
      <c r="AF82" t="inlineStr">
        <is>
          <t>Average Charges by Unit Type Summary - Rentable Unit Sqft</t>
        </is>
      </c>
      <c r="AG82" t="inlineStr">
        <is>
          <t>Average Charges by Unit Type Summary - Occupied Unit Sqft</t>
        </is>
      </c>
      <c r="AH82" t="inlineStr">
        <is>
          <t>Average Charges by Unit Type Summary - Total Unit Sqft</t>
        </is>
      </c>
      <c r="AI82" t="inlineStr">
        <is>
          <t>Average Charges by Unit Type Summary - Excluded Unit Sqft</t>
        </is>
      </c>
      <c r="AJ82" t="inlineStr">
        <is>
          <t>Average Charges by Unit Type Summary - Total Lease Term</t>
        </is>
      </c>
      <c r="AK82" t="inlineStr">
        <is>
          <t>Average Charges by Unit Type Summary - Total Contract Length Months</t>
        </is>
      </c>
      <c r="AL82" t="inlineStr">
        <is>
          <t>Average Charges by Unit Type Summary - Total Occupied Length Months</t>
        </is>
      </c>
    </row>
    <row r="83">
      <c r="A83" t="inlineStr">
        <is>
          <t>2x2-Gentry</t>
        </is>
      </c>
      <c r="B83" s="87" t="n">
        <v>20</v>
      </c>
      <c r="C83" s="87" t="n">
        <v>17</v>
      </c>
      <c r="D83" s="88" t="n">
        <v>1161.95</v>
      </c>
      <c r="E83" s="88" t="n">
        <v>1153.529411764706</v>
      </c>
      <c r="O83" s="87" t="n">
        <v>20</v>
      </c>
      <c r="P83" s="87" t="n">
        <v>0</v>
      </c>
      <c r="Q83" s="87" t="n">
        <v>101161</v>
      </c>
      <c r="R83" s="87" t="n">
        <v>0</v>
      </c>
      <c r="S83" s="87" t="n">
        <v>23239</v>
      </c>
      <c r="T83" s="87" t="n">
        <v>0</v>
      </c>
      <c r="U83" s="87" t="n">
        <v>0</v>
      </c>
      <c r="V83" s="87" t="n">
        <v>0</v>
      </c>
      <c r="W83" s="87" t="n">
        <v>0</v>
      </c>
      <c r="X83" s="87" t="n">
        <v>0</v>
      </c>
      <c r="Y83" s="87" t="n">
        <v>0</v>
      </c>
      <c r="Z83" s="87" t="n">
        <v>0</v>
      </c>
      <c r="AA83" s="87" t="n">
        <v>19610</v>
      </c>
      <c r="AB83" s="87" t="n">
        <v>19610</v>
      </c>
      <c r="AC83" s="87" t="n">
        <v>0</v>
      </c>
      <c r="AD83" s="87" t="n">
        <v>19574.39</v>
      </c>
      <c r="AE83" s="87" t="n">
        <v>20</v>
      </c>
      <c r="AF83" s="87" t="n">
        <v>17200</v>
      </c>
      <c r="AG83" s="87" t="n">
        <v>14620</v>
      </c>
      <c r="AH83" s="87" t="n">
        <v>17200</v>
      </c>
      <c r="AI83" s="87" t="n">
        <v>0</v>
      </c>
      <c r="AJ83" s="87" t="n">
        <v>235</v>
      </c>
      <c r="AK83" s="87" t="n">
        <v>235</v>
      </c>
      <c r="AL83" s="87" t="n">
        <v>235</v>
      </c>
    </row>
    <row r="84">
      <c r="A84" t="inlineStr">
        <is>
          <t>2x2-Parkwood</t>
        </is>
      </c>
      <c r="B84" s="87" t="n">
        <v>40</v>
      </c>
      <c r="C84" s="87" t="n">
        <v>38</v>
      </c>
      <c r="D84" s="88" t="n">
        <v>1211.6</v>
      </c>
      <c r="E84" s="88" t="n">
        <v>1181.894736842105</v>
      </c>
      <c r="O84" s="87" t="n">
        <v>40</v>
      </c>
      <c r="P84" s="87" t="n">
        <v>0</v>
      </c>
      <c r="Q84" s="87" t="n">
        <v>101161</v>
      </c>
      <c r="R84" s="87" t="n">
        <v>0</v>
      </c>
      <c r="S84" s="87" t="n">
        <v>48464</v>
      </c>
      <c r="T84" s="87" t="n">
        <v>0</v>
      </c>
      <c r="U84" s="87" t="n">
        <v>0</v>
      </c>
      <c r="V84" s="87" t="n">
        <v>0</v>
      </c>
      <c r="W84" s="87" t="n">
        <v>0</v>
      </c>
      <c r="X84" s="87" t="n">
        <v>0</v>
      </c>
      <c r="Y84" s="87" t="n">
        <v>0</v>
      </c>
      <c r="Z84" s="87" t="n">
        <v>0</v>
      </c>
      <c r="AA84" s="87" t="n">
        <v>44912</v>
      </c>
      <c r="AB84" s="87" t="n">
        <v>44912</v>
      </c>
      <c r="AC84" s="87" t="n">
        <v>0</v>
      </c>
      <c r="AD84" s="87" t="n">
        <v>44362.1</v>
      </c>
      <c r="AE84" s="87" t="n">
        <v>40</v>
      </c>
      <c r="AF84" s="87" t="n">
        <v>38560</v>
      </c>
      <c r="AG84" s="87" t="n">
        <v>36632</v>
      </c>
      <c r="AH84" s="87" t="n">
        <v>38560</v>
      </c>
      <c r="AI84" s="87" t="n">
        <v>0</v>
      </c>
      <c r="AJ84" s="87" t="n">
        <v>544</v>
      </c>
      <c r="AK84" s="87" t="n">
        <v>544</v>
      </c>
      <c r="AL84" s="87" t="n">
        <v>544</v>
      </c>
    </row>
    <row r="85">
      <c r="A85" t="inlineStr">
        <is>
          <t>Average:</t>
        </is>
      </c>
      <c r="B85" s="87" t="n">
        <v>60</v>
      </c>
      <c r="C85" s="87" t="n">
        <v>55</v>
      </c>
      <c r="D85" s="88" t="n">
        <v>1195.05</v>
      </c>
      <c r="E85" s="88" t="n">
        <v>1173.127272727273</v>
      </c>
      <c r="O85" s="87" t="n">
        <v>60</v>
      </c>
      <c r="P85" s="87" t="n">
        <v>0</v>
      </c>
      <c r="R85" s="87" t="n">
        <v>0</v>
      </c>
      <c r="S85" s="87" t="n">
        <v>71703</v>
      </c>
      <c r="T85" s="87" t="n">
        <v>0</v>
      </c>
      <c r="U85" s="87" t="n">
        <v>0</v>
      </c>
      <c r="V85" s="87" t="n">
        <v>0</v>
      </c>
      <c r="W85" s="87" t="n">
        <v>0</v>
      </c>
      <c r="X85" s="87" t="n">
        <v>0</v>
      </c>
      <c r="Y85" s="87" t="n">
        <v>0</v>
      </c>
      <c r="Z85" s="87" t="n">
        <v>0</v>
      </c>
      <c r="AA85" s="87" t="n">
        <v>64522</v>
      </c>
      <c r="AB85" s="87" t="n">
        <v>64522</v>
      </c>
      <c r="AC85" s="87" t="n">
        <v>0</v>
      </c>
      <c r="AD85" s="87" t="n">
        <v>63936.49</v>
      </c>
      <c r="AE85" s="87" t="n">
        <v>60</v>
      </c>
      <c r="AF85" s="87" t="n">
        <v>55760</v>
      </c>
      <c r="AG85" s="87" t="n">
        <v>51252</v>
      </c>
      <c r="AH85" s="87" t="n">
        <v>55760</v>
      </c>
      <c r="AI85" s="87" t="n">
        <v>0</v>
      </c>
      <c r="AJ85" s="87" t="n">
        <v>779</v>
      </c>
      <c r="AK85" s="87" t="n">
        <v>779</v>
      </c>
      <c r="AL85" s="87" t="n">
        <v>779</v>
      </c>
    </row>
    <row r="87">
      <c r="A87" t="inlineStr">
        <is>
          <t>Future Resident Details</t>
        </is>
      </c>
    </row>
    <row r="88">
      <c r="A88" t="inlineStr">
        <is>
          <t>Bldg-Unit</t>
        </is>
      </c>
      <c r="B88" t="inlineStr">
        <is>
          <t>Unit Type</t>
        </is>
      </c>
      <c r="C88" t="inlineStr">
        <is>
          <t>SQFT</t>
        </is>
      </c>
      <c r="D88" t="inlineStr">
        <is>
          <t>Unit Status</t>
        </is>
      </c>
      <c r="E88" t="inlineStr">
        <is>
          <t>Resident</t>
        </is>
      </c>
      <c r="F88" t="inlineStr">
        <is>
          <t>Move-In</t>
        </is>
      </c>
      <c r="G88" t="inlineStr">
        <is>
          <t>Lease Start</t>
        </is>
      </c>
      <c r="H88" t="inlineStr">
        <is>
          <t>Lease End</t>
        </is>
      </c>
      <c r="I88" t="inlineStr">
        <is>
          <t>Market Rent</t>
        </is>
      </c>
      <c r="J88" t="inlineStr">
        <is>
          <t>Actual Charges</t>
        </is>
      </c>
      <c r="K88" t="inlineStr">
        <is>
          <t>Scheduled Charges</t>
        </is>
      </c>
      <c r="L88" t="inlineStr">
        <is>
          <t>Balance</t>
        </is>
      </c>
      <c r="M88" t="inlineStr">
        <is>
          <t>Deposit Held</t>
        </is>
      </c>
    </row>
    <row r="89">
      <c r="A89" t="inlineStr">
        <is>
          <t>1202-1</t>
        </is>
      </c>
      <c r="B89" t="inlineStr">
        <is>
          <t>2x2-Parkwood</t>
        </is>
      </c>
      <c r="C89" s="87" t="n">
        <v>964</v>
      </c>
      <c r="D89" t="inlineStr">
        <is>
          <t>Vacant Rented Ready</t>
        </is>
      </c>
      <c r="E89" t="inlineStr">
        <is>
          <t>Fuller, William</t>
        </is>
      </c>
      <c r="F89" s="89" t="n">
        <v>46270</v>
      </c>
      <c r="G89" s="89" t="n">
        <v>46270</v>
      </c>
      <c r="H89" s="89" t="n">
        <v>46481</v>
      </c>
      <c r="I89" s="88" t="n">
        <v>1242</v>
      </c>
      <c r="J89" s="88" t="n">
        <v>0</v>
      </c>
      <c r="K89" s="88" t="n">
        <v>1242</v>
      </c>
      <c r="L89" s="88" t="n">
        <v>500</v>
      </c>
      <c r="M89" s="88" t="n">
        <v>0</v>
      </c>
    </row>
    <row r="90">
      <c r="B90" t="inlineStr">
        <is>
          <t>Lyndon Crossings Total:</t>
        </is>
      </c>
      <c r="C90" s="87" t="n">
        <v>964</v>
      </c>
      <c r="I90" s="88" t="n">
        <v>1242</v>
      </c>
      <c r="J90" s="88" t="n">
        <v>0</v>
      </c>
      <c r="K90" s="88" t="n">
        <v>1242</v>
      </c>
      <c r="L90" s="88" t="n">
        <v>500</v>
      </c>
      <c r="M90" s="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2026-10-04T17:35:43Z</dcterms:created>
  <dcterms:modified xsi:type="dcterms:W3CDTF">2026-10-04T17:35:43Z</dcterms:modified>
</cp:coreProperties>
</file>