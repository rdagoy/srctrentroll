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Assumptions" sheetId="2" state="visible" r:id="rId2"/>
    <sheet name="RR" sheetId="3" state="visible" r:id="rId3"/>
    <sheet name="P&amp;L" sheetId="4" state="visible" r:id="rId4"/>
    <sheet name="Pro Forma" sheetId="5" state="visible" r:id="rId5"/>
    <sheet name="Sources &amp; Uses" sheetId="6" state="visible" r:id="rId6"/>
    <sheet name="Debt" sheetId="7" state="visible" r:id="rId7"/>
    <sheet name="Retur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;($#,##0);&quot;-&quot;"/>
    <numFmt numFmtId="165" formatCode="0.0%"/>
    <numFmt numFmtId="166" formatCode="$#,##0.00;($#,##0.00);&quot;-&quot;"/>
    <numFmt numFmtId="167" formatCode="0.00&quot;x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i val="1"/>
      <color rgb="00808080"/>
      <sz val="10"/>
    </font>
    <font>
      <name val="Arial"/>
      <b val="1"/>
      <color rgb="00FFFFFF"/>
      <sz val="9"/>
    </font>
    <font>
      <name val="Arial"/>
      <i val="1"/>
      <color rgb="00000000"/>
      <sz val="10"/>
    </font>
    <font>
      <name val="Arial"/>
      <b val="1"/>
      <color rgb="00C00000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64" fontId="6" fillId="4" borderId="0" pivotButton="0" quotePrefix="0" xfId="0"/>
    <xf numFmtId="0" fontId="8" fillId="0" borderId="0" pivotButton="0" quotePrefix="0" xfId="0"/>
    <xf numFmtId="3" fontId="7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3" fontId="6" fillId="4" borderId="0" pivotButton="0" quotePrefix="0" xfId="0"/>
    <xf numFmtId="165" fontId="6" fillId="4" borderId="0" pivotButton="0" quotePrefix="0" xfId="0"/>
    <xf numFmtId="165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0" fontId="9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3" fontId="4" fillId="0" borderId="0" pivotButton="0" quotePrefix="0" xfId="0"/>
    <xf numFmtId="164" fontId="4" fillId="0" borderId="0" pivotButton="0" quotePrefix="0" xfId="0"/>
    <xf numFmtId="164" fontId="4" fillId="0" borderId="1" pivotButton="0" quotePrefix="0" xfId="0"/>
    <xf numFmtId="0" fontId="10" fillId="0" borderId="0" pivotButton="0" quotePrefix="0" xfId="0"/>
    <xf numFmtId="164" fontId="11" fillId="0" borderId="0" pivotButton="0" quotePrefix="0" xfId="0"/>
    <xf numFmtId="164" fontId="7" fillId="0" borderId="0" pivotButton="0" quotePrefix="0" xfId="0"/>
    <xf numFmtId="0" fontId="8" fillId="0" borderId="0" applyAlignment="1" pivotButton="0" quotePrefix="0" xfId="0">
      <alignment vertical="top" wrapText="1"/>
    </xf>
    <xf numFmtId="164" fontId="12" fillId="0" borderId="1" pivotButton="0" quotePrefix="0" xfId="0"/>
    <xf numFmtId="0" fontId="9" fillId="3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5" fontId="7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5" fontId="4" fillId="0" borderId="0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96" customWidth="1" min="2" max="2"/>
  </cols>
  <sheetData>
    <row r="1" ht="26" customHeight="1">
      <c r="A1" s="1" t="inlineStr">
        <is>
          <t>Multifamily UW Model  —  Starter Template</t>
        </is>
      </c>
    </row>
    <row r="3">
      <c r="A3" s="2" t="inlineStr">
        <is>
          <t>How to use</t>
        </is>
      </c>
      <c r="B3" s="3" t="inlineStr"/>
    </row>
    <row r="4" ht="26" customHeight="1">
      <c r="A4" s="4" t="inlineStr">
        <is>
          <t>Legend</t>
        </is>
      </c>
      <c r="B4" s="3" t="inlineStr">
        <is>
          <t>BLUE = your input / scenario lever  •  YELLOW = key assumption to fill in  •  BLACK = formula (don't overwrite)  •  GREEN = pulls from another tab.</t>
        </is>
      </c>
    </row>
    <row r="5" ht="26" customHeight="1">
      <c r="A5" s="4" t="inlineStr">
        <is>
          <t>Fill order</t>
        </is>
      </c>
      <c r="B5" s="3" t="inlineStr">
        <is>
          <t>1) Assumptions  2) RR (rent roll)  3) P&amp;L (enter in-place expenses)  4) review Pro Forma / Debt / Returns (all auto-calc).</t>
        </is>
      </c>
    </row>
    <row r="6">
      <c r="A6" s="5" t="inlineStr"/>
      <c r="B6" s="3" t="inlineStr"/>
    </row>
    <row r="7">
      <c r="A7" s="2" t="inlineStr">
        <is>
          <t>HOW THE TABS CONNECT (the model is one chain)</t>
        </is>
      </c>
      <c r="B7" s="3" t="inlineStr"/>
    </row>
    <row r="8" ht="26" customHeight="1">
      <c r="A8" s="4" t="inlineStr">
        <is>
          <t>Assumptions</t>
        </is>
      </c>
      <c r="B8" s="3" t="inlineStr">
        <is>
          <t>The control panel. Every lever lives here once — growth, vacancy, cap rates, LTV, rate, hold. Every other tab reads these cells, so you change a deal from this one tab.</t>
        </is>
      </c>
    </row>
    <row r="9" ht="39" customHeight="1">
      <c r="A9" s="4" t="inlineStr">
        <is>
          <t>RR  (Rent Roll)</t>
        </is>
      </c>
      <c r="B9" s="3" t="inlineStr">
        <is>
          <t>Unit-level income engine. Unit mix x in-place rent = in-place Gross Potential Rent (GPR); unit mix x market rent = market GPR. Feeds the top line of P&amp;L. Total unit count also flows to Assumptions and the per-unit metrics.</t>
        </is>
      </c>
    </row>
    <row r="10" ht="52" customHeight="1">
      <c r="A10" s="4" t="inlineStr">
        <is>
          <t>P&amp;L  (Operating Statement)</t>
        </is>
      </c>
      <c r="B10" s="3" t="inlineStr">
        <is>
          <t>Turns rent into cash flow. GPR (from RR)  - vacancy &amp; bad debt  + other income = EGI;  EGI - operating expenses = NOI. Two columns: In-Place (T-12 actuals you type) and Year-1 Underwritten (market rents from RR, expenses grown &amp; re-based per Assumptions). NOI is the single most important number in the model.</t>
        </is>
      </c>
    </row>
    <row r="11" ht="39" customHeight="1">
      <c r="A11" s="4" t="inlineStr">
        <is>
          <t>Pro Forma</t>
        </is>
      </c>
      <c r="B11" s="3" t="inlineStr">
        <is>
          <t>Projects the Year-1 underwritten EGI and OpEx from P&amp;L across the hold using the growth rates in Assumptions. Produces NOI for each year — the cash the property throws off before financing.</t>
        </is>
      </c>
    </row>
    <row r="12" ht="39" customHeight="1">
      <c r="A12" s="4" t="inlineStr">
        <is>
          <t>Sources &amp; Uses</t>
        </is>
      </c>
      <c r="B12" s="3" t="inlineStr">
        <is>
          <t>The capital stack. Uses = purchase price + closing costs + capex (from Assumptions). Sources = senior loan (LTV x price) + equity (the plug). Equity here is the check the investor writes — it anchors every return metric.</t>
        </is>
      </c>
    </row>
    <row r="13" ht="26" customHeight="1">
      <c r="A13" s="4" t="inlineStr">
        <is>
          <t>Debt</t>
        </is>
      </c>
      <c r="B13" s="3" t="inlineStr">
        <is>
          <t>Sizes the loan from Sources &amp; Uses and amortizes it: annual debt service, DSCR (NOI / debt service), debt yield, and the loan payoff balance at exit.</t>
        </is>
      </c>
    </row>
    <row r="14" ht="52" customHeight="1">
      <c r="A14" s="4" t="inlineStr">
        <is>
          <t>Returns</t>
        </is>
      </c>
      <c r="B14" s="3" t="inlineStr">
        <is>
          <t>Ties it all together. Levered cash flow = Pro Forma NOI - debt service each year; exit value = final-year NOI / exit cap; net sale proceeds repay the loan. From the equity outflow (Sources &amp; Uses) and these inflows it computes IRR, equity multiple, and cash-on-cash — both levered and unlevered.</t>
        </is>
      </c>
    </row>
    <row r="15">
      <c r="A15" s="5" t="inlineStr"/>
      <c r="B15" s="3" t="inlineStr"/>
    </row>
    <row r="16" ht="39" customHeight="1">
      <c r="A16" s="4" t="inlineStr">
        <is>
          <t>One sentence</t>
        </is>
      </c>
      <c r="B16" s="3" t="inlineStr">
        <is>
          <t>RR builds income -&gt; P&amp;L converts it to NOI -&gt; Pro Forma grows NOI -&gt; Sources &amp; Uses and Debt set the capital -&gt; Returns measures what the equity earns. Change an Assumption and the whole chain re-solves.</t>
        </is>
      </c>
    </row>
    <row r="17">
      <c r="A17" s="5" t="inlineStr"/>
      <c r="B17" s="3" t="inlineStr"/>
    </row>
    <row r="18" ht="26" customHeight="1">
      <c r="A18" s="4" t="inlineStr">
        <is>
          <t>Note</t>
        </is>
      </c>
      <c r="B18" s="3" t="inlineStr">
        <is>
          <t>This is a teaching/starter template with illustrative numbers (a ~100-unit deal). Replace every blue/yellow cell with your deal's data. It is not investment advice.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44" customWidth="1" min="3" max="3"/>
  </cols>
  <sheetData>
    <row r="1" ht="26" customHeight="1">
      <c r="A1" s="1" t="inlineStr">
        <is>
          <t>Assumptions  (control panel — edit here)</t>
        </is>
      </c>
    </row>
    <row r="3">
      <c r="A3" s="6" t="inlineStr">
        <is>
          <t>PROPERTY &amp; ACQUISITION</t>
        </is>
      </c>
      <c r="B3" s="7" t="n"/>
      <c r="C3" s="7" t="n"/>
    </row>
    <row r="4">
      <c r="A4" s="8" t="inlineStr">
        <is>
          <t>Purchase Price</t>
        </is>
      </c>
      <c r="B4" s="9" t="n">
        <v>16000000</v>
      </c>
      <c r="C4" s="10" t="inlineStr">
        <is>
          <t>Fill in the yellow cells for your deal.</t>
        </is>
      </c>
    </row>
    <row r="5">
      <c r="A5" s="8" t="inlineStr">
        <is>
          <t>Number of Units</t>
        </is>
      </c>
      <c r="B5" s="11">
        <f>'RR'!$B$8</f>
        <v/>
      </c>
    </row>
    <row r="6">
      <c r="A6" s="8" t="inlineStr">
        <is>
          <t>Price per Unit</t>
        </is>
      </c>
      <c r="B6" s="12">
        <f>B4/B5</f>
        <v/>
      </c>
    </row>
    <row r="7">
      <c r="A7" s="8" t="inlineStr">
        <is>
          <t>Going-in Cap Rate (Yr1 UW)</t>
        </is>
      </c>
      <c r="B7" s="13">
        <f>'P&amp;L'!$C$24/B4</f>
        <v/>
      </c>
      <c r="C7" s="10" t="inlineStr">
        <is>
          <t>Auto: Year-1 underwritten NOI / price.</t>
        </is>
      </c>
    </row>
    <row r="8">
      <c r="A8" s="8" t="inlineStr">
        <is>
          <t>Hold Period (years)</t>
        </is>
      </c>
      <c r="B8" s="14" t="n">
        <v>5</v>
      </c>
    </row>
    <row r="9">
      <c r="A9" s="8" t="inlineStr">
        <is>
          <t>Exit Cap Rate</t>
        </is>
      </c>
      <c r="B9" s="15" t="n">
        <v>0.06</v>
      </c>
      <c r="C9" s="10" t="inlineStr">
        <is>
          <t>Exit cap usually &gt;= going-in cap (be conservative).</t>
        </is>
      </c>
    </row>
    <row r="10">
      <c r="A10" s="8" t="inlineStr">
        <is>
          <t>Selling Costs (% of sale)</t>
        </is>
      </c>
      <c r="B10" s="16" t="n">
        <v>0.02</v>
      </c>
    </row>
    <row r="11">
      <c r="A11" s="8" t="inlineStr">
        <is>
          <t>Closing Costs (% of price)</t>
        </is>
      </c>
      <c r="B11" s="16" t="n">
        <v>0.02</v>
      </c>
    </row>
    <row r="13">
      <c r="A13" s="6" t="inlineStr">
        <is>
          <t>GROWTH &amp; OPERATING</t>
        </is>
      </c>
      <c r="B13" s="7" t="n"/>
      <c r="C13" s="7" t="n"/>
    </row>
    <row r="14">
      <c r="A14" s="8" t="inlineStr">
        <is>
          <t>Revenue Growth (annual)</t>
        </is>
      </c>
      <c r="B14" s="15" t="n">
        <v>0.03</v>
      </c>
    </row>
    <row r="15">
      <c r="A15" s="8" t="inlineStr">
        <is>
          <t>Expense Growth (annual)</t>
        </is>
      </c>
      <c r="B15" s="15" t="n">
        <v>0.03</v>
      </c>
    </row>
    <row r="16">
      <c r="A16" s="8" t="inlineStr">
        <is>
          <t>Economic Vacancy</t>
        </is>
      </c>
      <c r="B16" s="15" t="n">
        <v>0.05</v>
      </c>
      <c r="C16" s="10" t="inlineStr">
        <is>
          <t>Physical + economic loss vs. gross potential rent.</t>
        </is>
      </c>
    </row>
    <row r="17">
      <c r="A17" s="8" t="inlineStr">
        <is>
          <t>Bad Debt &amp; Concessions</t>
        </is>
      </c>
      <c r="B17" s="16" t="n">
        <v>0.01</v>
      </c>
    </row>
    <row r="18">
      <c r="A18" s="8" t="inlineStr">
        <is>
          <t>Management Fee (% of EGI)</t>
        </is>
      </c>
      <c r="B18" s="16" t="n">
        <v>0.03</v>
      </c>
    </row>
    <row r="19">
      <c r="A19" s="8" t="inlineStr">
        <is>
          <t>Replacement Reserves ($/unit/yr)</t>
        </is>
      </c>
      <c r="B19" s="17" t="n">
        <v>250</v>
      </c>
    </row>
    <row r="21">
      <c r="A21" s="6" t="inlineStr">
        <is>
          <t>FINANCING</t>
        </is>
      </c>
      <c r="B21" s="7" t="n"/>
      <c r="C21" s="7" t="n"/>
    </row>
    <row r="22">
      <c r="A22" s="8" t="inlineStr">
        <is>
          <t>Loan-to-Value (LTV)</t>
        </is>
      </c>
      <c r="B22" s="15" t="n">
        <v>0.65</v>
      </c>
      <c r="C22" s="10" t="inlineStr">
        <is>
          <t>Loan = LTV x purchase price (see Sources &amp; Uses).</t>
        </is>
      </c>
    </row>
    <row r="23">
      <c r="A23" s="8" t="inlineStr">
        <is>
          <t>Interest Rate</t>
        </is>
      </c>
      <c r="B23" s="15" t="n">
        <v>0.065</v>
      </c>
    </row>
    <row r="24">
      <c r="A24" s="8" t="inlineStr">
        <is>
          <t>Amortization (years)</t>
        </is>
      </c>
      <c r="B24" s="18" t="n">
        <v>30</v>
      </c>
    </row>
    <row r="25">
      <c r="A25" s="8" t="inlineStr">
        <is>
          <t>Renovation / Capex Budget</t>
        </is>
      </c>
      <c r="B25" s="9" t="n">
        <v>1000000</v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4" customWidth="1" min="4" max="4"/>
    <col width="14" customWidth="1" min="5" max="5"/>
    <col width="13" customWidth="1" min="6" max="6"/>
    <col width="14" customWidth="1" min="7" max="7"/>
    <col width="13" customWidth="1" min="8" max="8"/>
    <col width="14" customWidth="1" min="9" max="9"/>
  </cols>
  <sheetData>
    <row r="1" ht="26" customHeight="1">
      <c r="A1" s="1" t="inlineStr">
        <is>
          <t>RR  —  Rent Roll  (unit-level income engine)</t>
        </is>
      </c>
    </row>
    <row r="3" ht="28" customHeight="1">
      <c r="A3" s="19" t="inlineStr">
        <is>
          <t>Unit Type</t>
        </is>
      </c>
      <c r="B3" s="19" t="inlineStr">
        <is>
          <t># Units</t>
        </is>
      </c>
      <c r="C3" s="19" t="inlineStr">
        <is>
          <t>Avg SF</t>
        </is>
      </c>
      <c r="D3" s="19" t="inlineStr">
        <is>
          <t>In-Place Rent
($/unit/mo)</t>
        </is>
      </c>
      <c r="E3" s="19" t="inlineStr">
        <is>
          <t>Market Rent
($/unit/mo)</t>
        </is>
      </c>
      <c r="F3" s="19" t="inlineStr">
        <is>
          <t>In-Place
Monthly</t>
        </is>
      </c>
      <c r="G3" s="19" t="inlineStr">
        <is>
          <t>In-Place
Annual</t>
        </is>
      </c>
      <c r="H3" s="19" t="inlineStr">
        <is>
          <t>Market
Monthly</t>
        </is>
      </c>
      <c r="I3" s="19" t="inlineStr">
        <is>
          <t>Market
Annual</t>
        </is>
      </c>
    </row>
    <row r="4">
      <c r="A4" s="8" t="inlineStr">
        <is>
          <t>1 BD / 1 BA</t>
        </is>
      </c>
      <c r="B4" s="14" t="n">
        <v>40</v>
      </c>
      <c r="C4" s="18" t="n">
        <v>700</v>
      </c>
      <c r="D4" s="9" t="n">
        <v>1150</v>
      </c>
      <c r="E4" s="9" t="n">
        <v>1300</v>
      </c>
      <c r="F4" s="12">
        <f>B4*D4</f>
        <v/>
      </c>
      <c r="G4" s="12">
        <f>F4*12</f>
        <v/>
      </c>
      <c r="H4" s="12">
        <f>B4*E4</f>
        <v/>
      </c>
      <c r="I4" s="12">
        <f>H4*12</f>
        <v/>
      </c>
    </row>
    <row r="5">
      <c r="A5" s="8" t="inlineStr">
        <is>
          <t>2 BD / 1 BA</t>
        </is>
      </c>
      <c r="B5" s="14" t="n">
        <v>30</v>
      </c>
      <c r="C5" s="18" t="n">
        <v>950</v>
      </c>
      <c r="D5" s="9" t="n">
        <v>1400</v>
      </c>
      <c r="E5" s="9" t="n">
        <v>1575</v>
      </c>
      <c r="F5" s="12">
        <f>B5*D5</f>
        <v/>
      </c>
      <c r="G5" s="12">
        <f>F5*12</f>
        <v/>
      </c>
      <c r="H5" s="12">
        <f>B5*E5</f>
        <v/>
      </c>
      <c r="I5" s="12">
        <f>H5*12</f>
        <v/>
      </c>
    </row>
    <row r="6">
      <c r="A6" s="8" t="inlineStr">
        <is>
          <t>2 BD / 2 BA</t>
        </is>
      </c>
      <c r="B6" s="14" t="n">
        <v>20</v>
      </c>
      <c r="C6" s="18" t="n">
        <v>1050</v>
      </c>
      <c r="D6" s="9" t="n">
        <v>1550</v>
      </c>
      <c r="E6" s="9" t="n">
        <v>1725</v>
      </c>
      <c r="F6" s="12">
        <f>B6*D6</f>
        <v/>
      </c>
      <c r="G6" s="12">
        <f>F6*12</f>
        <v/>
      </c>
      <c r="H6" s="12">
        <f>B6*E6</f>
        <v/>
      </c>
      <c r="I6" s="12">
        <f>H6*12</f>
        <v/>
      </c>
    </row>
    <row r="7">
      <c r="A7" s="8" t="inlineStr">
        <is>
          <t>3 BD / 2 BA</t>
        </is>
      </c>
      <c r="B7" s="14" t="n">
        <v>10</v>
      </c>
      <c r="C7" s="18" t="n">
        <v>1250</v>
      </c>
      <c r="D7" s="9" t="n">
        <v>1850</v>
      </c>
      <c r="E7" s="9" t="n">
        <v>2050</v>
      </c>
      <c r="F7" s="12">
        <f>B7*D7</f>
        <v/>
      </c>
      <c r="G7" s="12">
        <f>F7*12</f>
        <v/>
      </c>
      <c r="H7" s="12">
        <f>B7*E7</f>
        <v/>
      </c>
      <c r="I7" s="12">
        <f>H7*12</f>
        <v/>
      </c>
    </row>
    <row r="8">
      <c r="A8" s="20" t="inlineStr">
        <is>
          <t>Total / Weighted</t>
        </is>
      </c>
      <c r="B8" s="21">
        <f>SUM(B4:B7)</f>
        <v/>
      </c>
      <c r="C8" s="21">
        <f>SUMPRODUCT(B4:B7,C4:C7)/B8</f>
        <v/>
      </c>
      <c r="D8" s="22">
        <f>F8/B8</f>
        <v/>
      </c>
      <c r="E8" s="22">
        <f>H8/B8</f>
        <v/>
      </c>
      <c r="F8" s="23">
        <f>SUM(F4:F7)</f>
        <v/>
      </c>
      <c r="G8" s="23">
        <f>SUM(G4:G7)</f>
        <v/>
      </c>
      <c r="H8" s="23">
        <f>SUM(H4:H7)</f>
        <v/>
      </c>
      <c r="I8" s="23">
        <f>SUM(I4:I7)</f>
        <v/>
      </c>
    </row>
    <row r="10">
      <c r="A10" s="24" t="inlineStr">
        <is>
          <t>Loss-to-Lease (Market - In-Place, annual)</t>
        </is>
      </c>
      <c r="I10" s="25">
        <f>I8-G8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3" customWidth="1" min="4" max="4"/>
    <col width="30" customWidth="1" min="5" max="5"/>
  </cols>
  <sheetData>
    <row r="1" ht="26" customHeight="1">
      <c r="A1" s="1" t="inlineStr">
        <is>
          <t>P&amp;L  —  Operating Statement  (income -&gt; NOI)</t>
        </is>
      </c>
    </row>
    <row r="3" ht="26" customHeight="1">
      <c r="A3" s="19" t="inlineStr">
        <is>
          <t>Line Item</t>
        </is>
      </c>
      <c r="B3" s="19" t="inlineStr">
        <is>
          <t>In-Place (T-12)</t>
        </is>
      </c>
      <c r="C3" s="19" t="inlineStr">
        <is>
          <t>Year-1 Underwritten</t>
        </is>
      </c>
      <c r="D3" s="19" t="inlineStr">
        <is>
          <t>Per Unit (UW)</t>
        </is>
      </c>
      <c r="E3" s="19" t="inlineStr">
        <is>
          <t>Notes</t>
        </is>
      </c>
    </row>
    <row r="4">
      <c r="A4" s="6" t="inlineStr">
        <is>
          <t>INCOME</t>
        </is>
      </c>
      <c r="B4" s="7" t="n"/>
      <c r="C4" s="7" t="n"/>
      <c r="D4" s="7" t="n"/>
      <c r="E4" s="7" t="n"/>
    </row>
    <row r="5">
      <c r="A5" s="8" t="inlineStr">
        <is>
          <t>Gross Potential Rent (GPR)</t>
        </is>
      </c>
      <c r="B5" s="26">
        <f>'RR'!$G$8</f>
        <v/>
      </c>
      <c r="C5" s="26">
        <f>'RR'!$I$8</f>
        <v/>
      </c>
      <c r="D5" s="12">
        <f>C5/'RR'!$B$8</f>
        <v/>
      </c>
      <c r="E5" s="27" t="inlineStr">
        <is>
          <t>In-place=RR in-place annual; UW=RR market annual.</t>
        </is>
      </c>
    </row>
    <row r="6">
      <c r="A6" s="8" t="inlineStr">
        <is>
          <t>Less: Vacancy</t>
        </is>
      </c>
      <c r="B6" s="12">
        <f>-B5*'Assumptions'!$B$16</f>
        <v/>
      </c>
      <c r="C6" s="12">
        <f>-C5*'Assumptions'!$B$16</f>
        <v/>
      </c>
      <c r="D6" s="12">
        <f>C6/'RR'!$B$8</f>
        <v/>
      </c>
      <c r="E6" s="27" t="inlineStr">
        <is>
          <t>Economic vacancy from Assumptions.</t>
        </is>
      </c>
    </row>
    <row r="7">
      <c r="A7" s="8" t="inlineStr">
        <is>
          <t>Less: Bad Debt &amp; Concessions</t>
        </is>
      </c>
      <c r="B7" s="12">
        <f>-B5*'Assumptions'!$B$17</f>
        <v/>
      </c>
      <c r="C7" s="12">
        <f>-C5*'Assumptions'!$B$17</f>
        <v/>
      </c>
      <c r="D7" s="12">
        <f>C7/'RR'!$B$8</f>
        <v/>
      </c>
    </row>
    <row r="8">
      <c r="A8" s="20" t="inlineStr">
        <is>
          <t>Net Rental Income</t>
        </is>
      </c>
      <c r="B8" s="22">
        <f>SUM(B5:B7)</f>
        <v/>
      </c>
      <c r="C8" s="22">
        <f>SUM(C5:C7)</f>
        <v/>
      </c>
      <c r="D8" s="12">
        <f>C8/'RR'!$B$8</f>
        <v/>
      </c>
    </row>
    <row r="9">
      <c r="A9" s="8" t="inlineStr">
        <is>
          <t>Other Income (RUBS, fees, laundry)</t>
        </is>
      </c>
      <c r="B9" s="17" t="n">
        <v>90000</v>
      </c>
      <c r="C9" s="12">
        <f>B9*(1+'Assumptions'!$B$14)</f>
        <v/>
      </c>
      <c r="D9" s="12">
        <f>C9/'RR'!$B$8</f>
        <v/>
      </c>
      <c r="E9" s="27" t="inlineStr">
        <is>
          <t>Type T-12 actual; UW grows it one year.</t>
        </is>
      </c>
    </row>
    <row r="10">
      <c r="A10" s="20" t="inlineStr">
        <is>
          <t>Effective Gross Income (EGI)</t>
        </is>
      </c>
      <c r="B10" s="22">
        <f>B8+B9</f>
        <v/>
      </c>
      <c r="C10" s="22">
        <f>C8+C9</f>
        <v/>
      </c>
      <c r="D10" s="12">
        <f>C10/'RR'!$B$8</f>
        <v/>
      </c>
    </row>
    <row r="12">
      <c r="A12" s="6" t="inlineStr">
        <is>
          <t>OPERATING EXPENSES</t>
        </is>
      </c>
      <c r="B12" s="7" t="n"/>
      <c r="C12" s="7" t="n"/>
      <c r="D12" s="7" t="n"/>
      <c r="E12" s="7" t="n"/>
    </row>
    <row r="13">
      <c r="A13" s="8" t="inlineStr">
        <is>
          <t>Property Taxes</t>
        </is>
      </c>
      <c r="B13" s="17" t="n">
        <v>165000</v>
      </c>
      <c r="C13" s="12">
        <f>B13*(1+'Assumptions'!$B$15)</f>
        <v/>
      </c>
      <c r="D13" s="12">
        <f>C13/'RR'!$B$8</f>
        <v/>
      </c>
    </row>
    <row r="14">
      <c r="A14" s="8" t="inlineStr">
        <is>
          <t>Insurance</t>
        </is>
      </c>
      <c r="B14" s="17" t="n">
        <v>55000</v>
      </c>
      <c r="C14" s="12">
        <f>B14*(1+'Assumptions'!$B$15)</f>
        <v/>
      </c>
      <c r="D14" s="12">
        <f>C14/'RR'!$B$8</f>
        <v/>
      </c>
    </row>
    <row r="15">
      <c r="A15" s="8" t="inlineStr">
        <is>
          <t>Utilities</t>
        </is>
      </c>
      <c r="B15" s="17" t="n">
        <v>120000</v>
      </c>
      <c r="C15" s="12">
        <f>B15*(1+'Assumptions'!$B$15)</f>
        <v/>
      </c>
      <c r="D15" s="12">
        <f>C15/'RR'!$B$8</f>
        <v/>
      </c>
    </row>
    <row r="16">
      <c r="A16" s="8" t="inlineStr">
        <is>
          <t>Repairs &amp; Maintenance</t>
        </is>
      </c>
      <c r="B16" s="17" t="n">
        <v>95000</v>
      </c>
      <c r="C16" s="12">
        <f>B16*(1+'Assumptions'!$B$15)</f>
        <v/>
      </c>
      <c r="D16" s="12">
        <f>C16/'RR'!$B$8</f>
        <v/>
      </c>
    </row>
    <row r="17">
      <c r="A17" s="8" t="inlineStr">
        <is>
          <t>Payroll</t>
        </is>
      </c>
      <c r="B17" s="17" t="n">
        <v>140000</v>
      </c>
      <c r="C17" s="12">
        <f>B17*(1+'Assumptions'!$B$15)</f>
        <v/>
      </c>
      <c r="D17" s="12">
        <f>C17/'RR'!$B$8</f>
        <v/>
      </c>
    </row>
    <row r="18">
      <c r="A18" s="8" t="inlineStr">
        <is>
          <t>Contract Services</t>
        </is>
      </c>
      <c r="B18" s="17" t="n">
        <v>45000</v>
      </c>
      <c r="C18" s="12">
        <f>B18*(1+'Assumptions'!$B$15)</f>
        <v/>
      </c>
      <c r="D18" s="12">
        <f>C18/'RR'!$B$8</f>
        <v/>
      </c>
    </row>
    <row r="19">
      <c r="A19" s="8" t="inlineStr">
        <is>
          <t>Marketing &amp; Leasing</t>
        </is>
      </c>
      <c r="B19" s="17" t="n">
        <v>20000</v>
      </c>
      <c r="C19" s="12">
        <f>B19*(1+'Assumptions'!$B$15)</f>
        <v/>
      </c>
      <c r="D19" s="12">
        <f>C19/'RR'!$B$8</f>
        <v/>
      </c>
    </row>
    <row r="20">
      <c r="A20" s="8" t="inlineStr">
        <is>
          <t>General &amp; Admin</t>
        </is>
      </c>
      <c r="B20" s="17" t="n">
        <v>30000</v>
      </c>
      <c r="C20" s="12">
        <f>B20*(1+'Assumptions'!$B$15)</f>
        <v/>
      </c>
      <c r="D20" s="12">
        <f>C20/'RR'!$B$8</f>
        <v/>
      </c>
    </row>
    <row r="21">
      <c r="A21" s="8" t="inlineStr">
        <is>
          <t>Management Fee (% of EGI)</t>
        </is>
      </c>
      <c r="B21" s="12">
        <f>B10*'Assumptions'!$B$18</f>
        <v/>
      </c>
      <c r="C21" s="12">
        <f>C10*'Assumptions'!$B$18</f>
        <v/>
      </c>
      <c r="D21" s="12">
        <f>C21/'RR'!$B$8</f>
        <v/>
      </c>
      <c r="E21" s="27" t="inlineStr">
        <is>
          <t>Computed as % of EGI.</t>
        </is>
      </c>
    </row>
    <row r="22">
      <c r="A22" s="8" t="inlineStr">
        <is>
          <t>Replacement Reserves</t>
        </is>
      </c>
      <c r="B22" s="26">
        <f>'RR'!$B$8*'Assumptions'!$B$19</f>
        <v/>
      </c>
      <c r="C22" s="26">
        <f>'RR'!$B$8*'Assumptions'!$B$19</f>
        <v/>
      </c>
      <c r="D22" s="12">
        <f>C22/'RR'!$B$8</f>
        <v/>
      </c>
      <c r="E22" s="27" t="inlineStr">
        <is>
          <t>Units x reserves/unit.</t>
        </is>
      </c>
    </row>
    <row r="23">
      <c r="A23" s="20" t="inlineStr">
        <is>
          <t>Total Operating Expenses</t>
        </is>
      </c>
      <c r="B23" s="23">
        <f>SUM(B13:B22)</f>
        <v/>
      </c>
      <c r="C23" s="23">
        <f>SUM(C13:C22)</f>
        <v/>
      </c>
      <c r="D23" s="12">
        <f>C23/'RR'!$B$8</f>
        <v/>
      </c>
    </row>
    <row r="24">
      <c r="A24" s="20" t="inlineStr">
        <is>
          <t>NET OPERATING INCOME (NOI)</t>
        </is>
      </c>
      <c r="B24" s="28">
        <f>B10-B23</f>
        <v/>
      </c>
      <c r="C24" s="28">
        <f>C10-C23</f>
        <v/>
      </c>
      <c r="D24" s="12">
        <f>C24/'RR'!$B$8</f>
        <v/>
      </c>
    </row>
    <row r="25">
      <c r="A25" s="8" t="inlineStr">
        <is>
          <t>Operating Expense Ratio</t>
        </is>
      </c>
      <c r="B25" s="13">
        <f>B23/B10</f>
        <v/>
      </c>
      <c r="C25" s="13">
        <f>C23/C10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Pro Forma  —  NOI projection over the hold</t>
        </is>
      </c>
    </row>
    <row r="3">
      <c r="A3" s="29" t="inlineStr">
        <is>
          <t>Line Item</t>
        </is>
      </c>
      <c r="B3" s="29" t="inlineStr">
        <is>
          <t>Year 1</t>
        </is>
      </c>
      <c r="C3" s="29" t="inlineStr">
        <is>
          <t>Year 2</t>
        </is>
      </c>
      <c r="D3" s="29" t="inlineStr">
        <is>
          <t>Year 3</t>
        </is>
      </c>
      <c r="E3" s="29" t="inlineStr">
        <is>
          <t>Year 4</t>
        </is>
      </c>
      <c r="F3" s="29" t="inlineStr">
        <is>
          <t>Year 5</t>
        </is>
      </c>
    </row>
    <row r="4">
      <c r="A4" s="8" t="inlineStr">
        <is>
          <t>Effective Gross Income</t>
        </is>
      </c>
      <c r="B4" s="26">
        <f>'P&amp;L'!$C$10</f>
        <v/>
      </c>
      <c r="C4" s="12">
        <f>B4*(1+'Assumptions'!$B$14)</f>
        <v/>
      </c>
      <c r="D4" s="12">
        <f>C4*(1+'Assumptions'!$B$14)</f>
        <v/>
      </c>
      <c r="E4" s="12">
        <f>D4*(1+'Assumptions'!$B$14)</f>
        <v/>
      </c>
      <c r="F4" s="12">
        <f>E4*(1+'Assumptions'!$B$14)</f>
        <v/>
      </c>
    </row>
    <row r="5">
      <c r="A5" s="8" t="inlineStr">
        <is>
          <t>Operating Expenses</t>
        </is>
      </c>
      <c r="B5" s="26">
        <f>'P&amp;L'!$C$23</f>
        <v/>
      </c>
      <c r="C5" s="12">
        <f>B5*(1+'Assumptions'!$B$15)</f>
        <v/>
      </c>
      <c r="D5" s="12">
        <f>C5*(1+'Assumptions'!$B$15)</f>
        <v/>
      </c>
      <c r="E5" s="12">
        <f>D5*(1+'Assumptions'!$B$15)</f>
        <v/>
      </c>
      <c r="F5" s="12">
        <f>E5*(1+'Assumptions'!$B$15)</f>
        <v/>
      </c>
    </row>
    <row r="6">
      <c r="A6" s="20" t="inlineStr">
        <is>
          <t>Net Operating Income</t>
        </is>
      </c>
      <c r="B6" s="23">
        <f>B4-B5</f>
        <v/>
      </c>
      <c r="C6" s="23">
        <f>C4-C5</f>
        <v/>
      </c>
      <c r="D6" s="23">
        <f>D4-D5</f>
        <v/>
      </c>
      <c r="E6" s="23">
        <f>E4-E5</f>
        <v/>
      </c>
      <c r="F6" s="23">
        <f>F4-F5</f>
        <v/>
      </c>
    </row>
    <row r="7">
      <c r="A7" s="24" t="inlineStr">
        <is>
          <t>NOI Growth %</t>
        </is>
      </c>
      <c r="B7" s="30" t="inlineStr">
        <is>
          <t>—</t>
        </is>
      </c>
      <c r="C7" s="13">
        <f>C6/B6-1</f>
        <v/>
      </c>
      <c r="D7" s="13">
        <f>D6/C6-1</f>
        <v/>
      </c>
      <c r="E7" s="13">
        <f>E6/D6-1</f>
        <v/>
      </c>
      <c r="F7" s="13">
        <f>F6/E6-1</f>
        <v/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2" customWidth="1" min="3" max="3"/>
    <col width="28" customWidth="1" min="4" max="4"/>
  </cols>
  <sheetData>
    <row r="1" ht="26" customHeight="1">
      <c r="A1" s="1" t="inlineStr">
        <is>
          <t>Sources &amp; Uses  —  capital stack</t>
        </is>
      </c>
    </row>
    <row r="3">
      <c r="A3" s="6" t="inlineStr">
        <is>
          <t>USES OF FUNDS</t>
        </is>
      </c>
      <c r="B3" s="7" t="n"/>
    </row>
    <row r="4">
      <c r="A4" s="8" t="inlineStr">
        <is>
          <t>Purchase Price</t>
        </is>
      </c>
      <c r="B4" s="26">
        <f>'Assumptions'!$B$4</f>
        <v/>
      </c>
    </row>
    <row r="5">
      <c r="A5" s="8" t="inlineStr">
        <is>
          <t>Closing Costs</t>
        </is>
      </c>
      <c r="B5" s="12">
        <f>'Assumptions'!$B$4*'Assumptions'!$B$11</f>
        <v/>
      </c>
    </row>
    <row r="6">
      <c r="A6" s="8" t="inlineStr">
        <is>
          <t>Renovation / Capex</t>
        </is>
      </c>
      <c r="B6" s="26">
        <f>'Assumptions'!$B$25</f>
        <v/>
      </c>
    </row>
    <row r="7">
      <c r="A7" s="20" t="inlineStr">
        <is>
          <t>Total Uses</t>
        </is>
      </c>
      <c r="B7" s="23">
        <f>SUM(B4:B6)</f>
        <v/>
      </c>
    </row>
    <row r="9">
      <c r="A9" s="6" t="inlineStr">
        <is>
          <t>SOURCES OF FUNDS</t>
        </is>
      </c>
      <c r="B9" s="7" t="n"/>
    </row>
    <row r="10">
      <c r="A10" s="8" t="inlineStr">
        <is>
          <t>Senior Loan</t>
        </is>
      </c>
      <c r="B10" s="12">
        <f>'Assumptions'!$B$4*'Assumptions'!$B$22</f>
        <v/>
      </c>
      <c r="C10" s="13">
        <f>B10/B7</f>
        <v/>
      </c>
      <c r="D10" s="10">
        <f> LTV x Purchase Price</f>
        <v/>
      </c>
    </row>
    <row r="11">
      <c r="A11" s="8" t="inlineStr">
        <is>
          <t>Equity (plug)</t>
        </is>
      </c>
      <c r="B11" s="12">
        <f>B7-B10</f>
        <v/>
      </c>
      <c r="C11" s="13">
        <f>B11/B7</f>
        <v/>
      </c>
      <c r="D11" s="10">
        <f> the equity check the investor writes</f>
        <v/>
      </c>
    </row>
    <row r="12">
      <c r="A12" s="20" t="inlineStr">
        <is>
          <t>Total Sources</t>
        </is>
      </c>
      <c r="B12" s="23">
        <f>SUM(B10:B11)</f>
        <v/>
      </c>
    </row>
    <row r="14">
      <c r="A14" s="24" t="inlineStr">
        <is>
          <t>Check (Sources - Uses)</t>
        </is>
      </c>
      <c r="B14" s="12">
        <f>B12-B7</f>
        <v/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40" customWidth="1" min="3" max="3"/>
  </cols>
  <sheetData>
    <row r="1" ht="26" customHeight="1">
      <c r="A1" s="1" t="inlineStr">
        <is>
          <t>Debt  —  loan sizing &amp; amortization</t>
        </is>
      </c>
    </row>
    <row r="4">
      <c r="A4" s="8" t="inlineStr">
        <is>
          <t>Loan Amount</t>
        </is>
      </c>
      <c r="B4" s="26">
        <f>'Sources &amp; Uses'!$B$10</f>
        <v/>
      </c>
      <c r="C4" s="10" t="inlineStr">
        <is>
          <t>From Sources &amp; Uses.</t>
        </is>
      </c>
    </row>
    <row r="5">
      <c r="A5" s="8" t="inlineStr">
        <is>
          <t>Interest Rate</t>
        </is>
      </c>
      <c r="B5" s="31">
        <f>'Assumptions'!$B$23</f>
        <v/>
      </c>
    </row>
    <row r="6">
      <c r="A6" s="8" t="inlineStr">
        <is>
          <t>Amortization (years)</t>
        </is>
      </c>
      <c r="B6" s="11">
        <f>'Assumptions'!$B$24</f>
        <v/>
      </c>
    </row>
    <row r="7">
      <c r="A7" s="8" t="inlineStr">
        <is>
          <t>Hold Period (years)</t>
        </is>
      </c>
      <c r="B7" s="11">
        <f>'Assumptions'!$B$8</f>
        <v/>
      </c>
    </row>
    <row r="8">
      <c r="A8" s="8" t="inlineStr">
        <is>
          <t>Monthly Payment</t>
        </is>
      </c>
      <c r="B8" s="32">
        <f>PMT(B5/12,B6*12,-B4)</f>
        <v/>
      </c>
      <c r="C8" s="10" t="inlineStr">
        <is>
          <t>Standard amortizing payment.</t>
        </is>
      </c>
    </row>
    <row r="9">
      <c r="A9" s="20" t="inlineStr">
        <is>
          <t>Annual Debt Service</t>
        </is>
      </c>
      <c r="B9" s="23">
        <f>B8*12</f>
        <v/>
      </c>
    </row>
    <row r="10">
      <c r="A10" s="8" t="inlineStr">
        <is>
          <t>DSCR (Year-1 NOI)</t>
        </is>
      </c>
      <c r="B10" s="33">
        <f>'Pro Forma'!$B$6/B9</f>
        <v/>
      </c>
      <c r="C10" s="10" t="inlineStr">
        <is>
          <t>NOI / debt service. Lenders want &gt;= ~1.25x.</t>
        </is>
      </c>
    </row>
    <row r="11">
      <c r="A11" s="8" t="inlineStr">
        <is>
          <t>Debt Yield (Year-1 NOI)</t>
        </is>
      </c>
      <c r="B11" s="13">
        <f>'Pro Forma'!$B$6/B4</f>
        <v/>
      </c>
      <c r="C11" s="10" t="inlineStr">
        <is>
          <t>NOI / loan.</t>
        </is>
      </c>
    </row>
    <row r="12">
      <c r="A12" s="8" t="inlineStr">
        <is>
          <t>Loan Balance at Exit</t>
        </is>
      </c>
      <c r="B12" s="12">
        <f>B8*(1-(1+B5/12)^-(B6*12-B7*12))/(B5/12)</f>
        <v/>
      </c>
      <c r="C12" s="10" t="inlineStr">
        <is>
          <t>Remaining principal after the hold.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Returns  —  levered &amp; unlevered</t>
        </is>
      </c>
    </row>
    <row r="3">
      <c r="A3" s="29" t="inlineStr"/>
      <c r="B3" s="29" t="inlineStr">
        <is>
          <t>Year 0</t>
        </is>
      </c>
      <c r="C3" s="29" t="inlineStr">
        <is>
          <t>Year 1</t>
        </is>
      </c>
      <c r="D3" s="29" t="inlineStr">
        <is>
          <t>Year 2</t>
        </is>
      </c>
      <c r="E3" s="29" t="inlineStr">
        <is>
          <t>Year 3</t>
        </is>
      </c>
      <c r="F3" s="29" t="inlineStr">
        <is>
          <t>Year 4</t>
        </is>
      </c>
      <c r="G3" s="29" t="inlineStr">
        <is>
          <t>Year 5</t>
        </is>
      </c>
    </row>
    <row r="4">
      <c r="A4" s="8" t="inlineStr">
        <is>
          <t>NOI (from Pro Forma)</t>
        </is>
      </c>
      <c r="C4" s="26">
        <f>'Pro Forma'!B6</f>
        <v/>
      </c>
      <c r="D4" s="26">
        <f>'Pro Forma'!C6</f>
        <v/>
      </c>
      <c r="E4" s="26">
        <f>'Pro Forma'!D6</f>
        <v/>
      </c>
      <c r="F4" s="26">
        <f>'Pro Forma'!E6</f>
        <v/>
      </c>
      <c r="G4" s="26">
        <f>'Pro Forma'!F6</f>
        <v/>
      </c>
    </row>
    <row r="5">
      <c r="A5" s="8" t="inlineStr">
        <is>
          <t>Gross Sale Price (exit)</t>
        </is>
      </c>
      <c r="G5" s="12">
        <f>G4/'Assumptions'!$B$9</f>
        <v/>
      </c>
      <c r="H5" t="inlineStr"/>
    </row>
    <row r="6">
      <c r="A6" s="8" t="inlineStr">
        <is>
          <t>Less: Selling Costs</t>
        </is>
      </c>
      <c r="G6" s="12">
        <f>-G5*'Assumptions'!$B$10</f>
        <v/>
      </c>
    </row>
    <row r="7">
      <c r="A7" s="8" t="inlineStr">
        <is>
          <t>Less: Loan Payoff</t>
        </is>
      </c>
      <c r="G7" s="12">
        <f>-'Debt'!$B$12</f>
        <v/>
      </c>
    </row>
    <row r="9">
      <c r="A9" s="6" t="inlineStr">
        <is>
          <t>LEVERED (equity) CASH FLOW</t>
        </is>
      </c>
      <c r="B9" s="7" t="n"/>
      <c r="C9" s="7" t="n"/>
      <c r="D9" s="7" t="n"/>
      <c r="E9" s="7" t="n"/>
      <c r="F9" s="7" t="n"/>
      <c r="G9" s="7" t="n"/>
      <c r="H9" s="7" t="n"/>
    </row>
    <row r="10">
      <c r="A10" s="8" t="inlineStr">
        <is>
          <t>Initial Equity</t>
        </is>
      </c>
      <c r="B10" s="26">
        <f>-'Sources &amp; Uses'!$B$11</f>
        <v/>
      </c>
    </row>
    <row r="11">
      <c r="A11" s="8" t="inlineStr">
        <is>
          <t>Debt Service</t>
        </is>
      </c>
      <c r="C11" s="12">
        <f>-'Debt'!$B$9</f>
        <v/>
      </c>
      <c r="D11" s="12">
        <f>-'Debt'!$B$9</f>
        <v/>
      </c>
      <c r="E11" s="12">
        <f>-'Debt'!$B$9</f>
        <v/>
      </c>
      <c r="F11" s="12">
        <f>-'Debt'!$B$9</f>
        <v/>
      </c>
      <c r="G11" s="12">
        <f>-'Debt'!$B$9</f>
        <v/>
      </c>
    </row>
    <row r="12">
      <c r="A12" s="20" t="inlineStr">
        <is>
          <t>Net Levered Cash Flow</t>
        </is>
      </c>
      <c r="B12" s="23">
        <f>B10</f>
        <v/>
      </c>
      <c r="C12" s="23">
        <f>C4+C11</f>
        <v/>
      </c>
      <c r="D12" s="23">
        <f>D4+D11</f>
        <v/>
      </c>
      <c r="E12" s="23">
        <f>E4+E11</f>
        <v/>
      </c>
      <c r="F12" s="23">
        <f>F4+F11</f>
        <v/>
      </c>
      <c r="G12" s="23">
        <f>G4+G11+G5+G6+G7</f>
        <v/>
      </c>
    </row>
    <row r="14">
      <c r="A14" s="6" t="inlineStr">
        <is>
          <t>UNLEVERED (all-cash) CASH FLOW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8" t="inlineStr">
        <is>
          <t>Initial Investment (Total Uses)</t>
        </is>
      </c>
      <c r="B15" s="26">
        <f>-'Sources &amp; Uses'!$B$7</f>
        <v/>
      </c>
    </row>
    <row r="16">
      <c r="A16" s="20" t="inlineStr">
        <is>
          <t>Net Unlevered Cash Flow</t>
        </is>
      </c>
      <c r="B16" s="23">
        <f>B15</f>
        <v/>
      </c>
      <c r="C16" s="23">
        <f>C4</f>
        <v/>
      </c>
      <c r="D16" s="23">
        <f>D4</f>
        <v/>
      </c>
      <c r="E16" s="23">
        <f>E4</f>
        <v/>
      </c>
      <c r="F16" s="23">
        <f>F4</f>
        <v/>
      </c>
      <c r="G16" s="23">
        <f>G4+G5+G6</f>
        <v/>
      </c>
    </row>
    <row r="18">
      <c r="A18" s="6" t="inlineStr">
        <is>
          <t>RETURN METRICS</t>
        </is>
      </c>
      <c r="B18" s="7" t="n"/>
      <c r="C18" s="7" t="n"/>
      <c r="D18" s="7" t="n"/>
      <c r="E18" s="7" t="n"/>
      <c r="F18" s="7" t="n"/>
      <c r="G18" s="7" t="n"/>
      <c r="H18" s="7" t="n"/>
    </row>
    <row r="19">
      <c r="A19" s="8" t="inlineStr">
        <is>
          <t>Levered IRR</t>
        </is>
      </c>
      <c r="B19" s="34">
        <f>IRR(B12:G12)</f>
        <v/>
      </c>
      <c r="D19" s="10" t="inlineStr">
        <is>
          <t>Annualized return to equity.</t>
        </is>
      </c>
    </row>
    <row r="20">
      <c r="A20" s="8" t="inlineStr">
        <is>
          <t>Levered Equity Multiple</t>
        </is>
      </c>
      <c r="B20" s="35">
        <f>SUM(C12:G12)/'Sources &amp; Uses'!$B$11</f>
        <v/>
      </c>
      <c r="D20" s="10" t="inlineStr">
        <is>
          <t>Total cash returned / equity in.</t>
        </is>
      </c>
    </row>
    <row r="21">
      <c r="A21" s="8" t="inlineStr">
        <is>
          <t>Avg. Cash-on-Cash (levered)</t>
        </is>
      </c>
      <c r="B21" s="34">
        <f>AVERAGE(C12:F12)/'Sources &amp; Uses'!$B$11</f>
        <v/>
      </c>
      <c r="D21" s="10" t="inlineStr">
        <is>
          <t>Avg annual operating CF / equity (pre-sale years).</t>
        </is>
      </c>
    </row>
    <row r="22">
      <c r="A22" s="8" t="inlineStr">
        <is>
          <t>Unlevered IRR</t>
        </is>
      </c>
      <c r="B22" s="34">
        <f>IRR(B16:G16)</f>
        <v/>
      </c>
    </row>
    <row r="23">
      <c r="A23" s="8" t="inlineStr">
        <is>
          <t>Going-in Cap Rate</t>
        </is>
      </c>
      <c r="B23" s="34">
        <f>'Assumptions'!$B$7</f>
        <v/>
      </c>
    </row>
    <row r="24">
      <c r="A24" s="8" t="inlineStr">
        <is>
          <t>Exit Cap Rate</t>
        </is>
      </c>
      <c r="B24" s="34">
        <f>'Assumptions'!$B$9</f>
        <v/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2026-09-18T18:53:29Z</dcterms:created>
  <dcterms:modified xsi:type="dcterms:W3CDTF">2026-09-18T18:53:29Z</dcterms:modified>
</cp:coreProperties>
</file>