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ssumptions" sheetId="2" state="visible" r:id="rId2"/>
    <sheet name="RR" sheetId="3" state="visible" r:id="rId3"/>
    <sheet name="Renovation" sheetId="4" state="visible" r:id="rId4"/>
    <sheet name="P&amp;L" sheetId="5" state="visible" r:id="rId5"/>
    <sheet name="Pro Forma" sheetId="6" state="visible" r:id="rId6"/>
    <sheet name="Sources &amp; Uses" sheetId="7" state="visible" r:id="rId7"/>
    <sheet name="Debt" sheetId="8" state="visible" r:id="rId8"/>
    <sheet name="Returns" sheetId="9" state="visible" r:id="rId9"/>
    <sheet name="Sensitivity" sheetId="10" state="visible" r:id="rId10"/>
  </sheets>
  <definedNames/>
  <calcPr calcId="124519" fullCalcOnLoad="1"/>
</workbook>
</file>

<file path=xl/styles.xml><?xml version="1.0" encoding="utf-8"?>
<styleSheet xmlns="http://schemas.openxmlformats.org/spreadsheetml/2006/main">
  <numFmts count="4">
    <numFmt numFmtId="164" formatCode="$#,##0;($#,##0);&quot;-&quot;"/>
    <numFmt numFmtId="165" formatCode="0.0%"/>
    <numFmt numFmtId="166" formatCode="$#,##0.00;($#,##0.00);&quot;-&quot;"/>
    <numFmt numFmtId="167" formatCode="0.00&quot;x&quot;"/>
  </numFmts>
  <fonts count="15">
    <font>
      <name val="Calibri"/>
      <family val="2"/>
      <color theme="1"/>
      <sz val="11"/>
      <scheme val="minor"/>
    </font>
    <font>
      <name val="Arial"/>
      <b val="1"/>
      <color rgb="00FFFFFF"/>
      <sz val="14"/>
    </font>
    <font>
      <name val="Arial"/>
      <b val="1"/>
      <color rgb="001F3864"/>
      <sz val="10"/>
    </font>
    <font>
      <name val="Arial"/>
      <color rgb="00000000"/>
      <sz val="10"/>
    </font>
    <font>
      <name val="Arial"/>
      <b val="1"/>
      <color rgb="00000000"/>
      <sz val="10"/>
    </font>
    <font>
      <name val="Arial"/>
      <b val="1"/>
      <color rgb="00FFFFFF"/>
      <sz val="10"/>
    </font>
    <font>
      <name val="Arial"/>
      <color rgb="000000FF"/>
      <sz val="10"/>
    </font>
    <font>
      <name val="Arial"/>
      <color rgb="00008000"/>
      <sz val="10"/>
    </font>
    <font>
      <name val="Arial"/>
      <i val="1"/>
      <color rgb="00808080"/>
      <sz val="10"/>
    </font>
    <font>
      <name val="Arial"/>
      <b val="1"/>
      <color rgb="00FFFFFF"/>
      <sz val="9"/>
    </font>
    <font>
      <name val="Arial"/>
      <i val="1"/>
      <color rgb="00000000"/>
      <sz val="10"/>
    </font>
    <font>
      <name val="Arial"/>
      <b val="1"/>
      <color rgb="00C00000"/>
    </font>
    <font>
      <name val="Arial"/>
      <b val="1"/>
      <sz val="11"/>
    </font>
    <font>
      <name val="Arial"/>
      <b val="1"/>
      <color rgb="00000000"/>
    </font>
    <font>
      <name val="Arial"/>
      <b val="1"/>
      <i val="1"/>
      <color rgb="00000000"/>
      <sz val="10"/>
    </font>
  </fonts>
  <fills count="6">
    <fill>
      <patternFill/>
    </fill>
    <fill>
      <patternFill patternType="gray125"/>
    </fill>
    <fill>
      <patternFill patternType="solid">
        <fgColor rgb="001F3864"/>
      </patternFill>
    </fill>
    <fill>
      <patternFill patternType="solid">
        <fgColor rgb="004472C4"/>
      </patternFill>
    </fill>
    <fill>
      <patternFill patternType="solid">
        <fgColor rgb="00FFFF00"/>
      </patternFill>
    </fill>
    <fill>
      <patternFill patternType="solid">
        <fgColor rgb="00C6EFCE"/>
      </patternFill>
    </fill>
  </fills>
  <borders count="3">
    <border>
      <left/>
      <right/>
      <top/>
      <bottom/>
      <diagonal/>
    </border>
    <border>
      <top style="thin">
        <color rgb="00000000"/>
      </top>
      <bottom style="double">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xf>
    <xf numFmtId="0" fontId="4" fillId="0" borderId="0" applyAlignment="1" pivotButton="0" quotePrefix="0" xfId="0">
      <alignment vertical="top"/>
    </xf>
    <xf numFmtId="0" fontId="5" fillId="3" borderId="0" pivotButton="0" quotePrefix="0" xfId="0"/>
    <xf numFmtId="0" fontId="0" fillId="3" borderId="0" pivotButton="0" quotePrefix="0" xfId="0"/>
    <xf numFmtId="0" fontId="3" fillId="0" borderId="0" pivotButton="0" quotePrefix="0" xfId="0"/>
    <xf numFmtId="164" fontId="6" fillId="4" borderId="0" pivotButton="0" quotePrefix="0" xfId="0"/>
    <xf numFmtId="0" fontId="8" fillId="0" borderId="0" pivotButton="0" quotePrefix="0" xfId="0"/>
    <xf numFmtId="3" fontId="7" fillId="0" borderId="0" pivotButton="0" quotePrefix="0" xfId="0"/>
    <xf numFmtId="164" fontId="3" fillId="0" borderId="0" pivotButton="0" quotePrefix="0" xfId="0"/>
    <xf numFmtId="10" fontId="3" fillId="0" borderId="0" pivotButton="0" quotePrefix="0" xfId="0"/>
    <xf numFmtId="3" fontId="6" fillId="4" borderId="0" pivotButton="0" quotePrefix="0" xfId="0"/>
    <xf numFmtId="165" fontId="6" fillId="4" borderId="0" pivotButton="0" quotePrefix="0" xfId="0"/>
    <xf numFmtId="165" fontId="6" fillId="0" borderId="0" pivotButton="0" quotePrefix="0" xfId="0"/>
    <xf numFmtId="164" fontId="6" fillId="0" borderId="0" pivotButton="0" quotePrefix="0" xfId="0"/>
    <xf numFmtId="3" fontId="6" fillId="0" borderId="0" pivotButton="0" quotePrefix="0" xfId="0"/>
    <xf numFmtId="164" fontId="7" fillId="0" borderId="0" pivotButton="0" quotePrefix="0" xfId="0"/>
    <xf numFmtId="0" fontId="9" fillId="3" borderId="0" applyAlignment="1" pivotButton="0" quotePrefix="0" xfId="0">
      <alignment horizontal="center" vertical="center" wrapText="1"/>
    </xf>
    <xf numFmtId="0" fontId="4" fillId="0" borderId="0" pivotButton="0" quotePrefix="0" xfId="0"/>
    <xf numFmtId="3" fontId="4" fillId="0" borderId="0" pivotButton="0" quotePrefix="0" xfId="0"/>
    <xf numFmtId="164" fontId="4" fillId="0" borderId="0" pivotButton="0" quotePrefix="0" xfId="0"/>
    <xf numFmtId="164" fontId="4" fillId="0" borderId="1" pivotButton="0" quotePrefix="0" xfId="0"/>
    <xf numFmtId="0" fontId="10" fillId="0" borderId="0" pivotButton="0" quotePrefix="0" xfId="0"/>
    <xf numFmtId="164" fontId="11" fillId="0" borderId="0" pivotButton="0" quotePrefix="0" xfId="0"/>
    <xf numFmtId="3" fontId="4" fillId="0" borderId="1" pivotButton="0" quotePrefix="0" xfId="0"/>
    <xf numFmtId="3" fontId="4" fillId="0" borderId="0" applyAlignment="1" pivotButton="0" quotePrefix="0" xfId="0">
      <alignment horizontal="center"/>
    </xf>
    <xf numFmtId="3" fontId="3" fillId="0" borderId="0" pivotButton="0" quotePrefix="0" xfId="0"/>
    <xf numFmtId="0" fontId="8" fillId="0" borderId="0" applyAlignment="1" pivotButton="0" quotePrefix="0" xfId="0">
      <alignment vertical="top" wrapText="1"/>
    </xf>
    <xf numFmtId="164" fontId="12" fillId="0" borderId="1" pivotButton="0" quotePrefix="0" xfId="0"/>
    <xf numFmtId="165" fontId="3" fillId="0" borderId="0" pivotButton="0" quotePrefix="0" xfId="0"/>
    <xf numFmtId="0" fontId="10" fillId="0" borderId="0" applyAlignment="1" pivotButton="0" quotePrefix="0" xfId="0">
      <alignment horizontal="center"/>
    </xf>
    <xf numFmtId="165" fontId="7" fillId="0" borderId="0" pivotButton="0" quotePrefix="0" xfId="0"/>
    <xf numFmtId="166" fontId="3" fillId="0" borderId="0" pivotButton="0" quotePrefix="0" xfId="0"/>
    <xf numFmtId="164" fontId="13" fillId="0" borderId="1" pivotButton="0" quotePrefix="0" xfId="0"/>
    <xf numFmtId="167" fontId="3" fillId="0" borderId="0" pivotButton="0" quotePrefix="0" xfId="0"/>
    <xf numFmtId="3" fontId="3" fillId="0" borderId="0" applyAlignment="1" pivotButton="0" quotePrefix="0" xfId="0">
      <alignment horizontal="center"/>
    </xf>
    <xf numFmtId="164" fontId="7" fillId="0" borderId="1" pivotButton="0" quotePrefix="0" xfId="0"/>
    <xf numFmtId="165" fontId="4" fillId="0" borderId="0" pivotButton="0" quotePrefix="0" xfId="0"/>
    <xf numFmtId="167" fontId="4" fillId="0" borderId="0" pivotButton="0" quotePrefix="0" xfId="0"/>
    <xf numFmtId="10" fontId="4" fillId="0" borderId="0" pivotButton="0" quotePrefix="0" xfId="0"/>
    <xf numFmtId="0" fontId="4" fillId="0" borderId="0" applyAlignment="1" pivotButton="0" quotePrefix="0" xfId="0">
      <alignment horizontal="right"/>
    </xf>
    <xf numFmtId="10" fontId="6" fillId="4" borderId="0" applyAlignment="1" pivotButton="0" quotePrefix="0" xfId="0">
      <alignment horizontal="center"/>
    </xf>
    <xf numFmtId="10" fontId="6" fillId="4" borderId="0" pivotButton="0" quotePrefix="0" xfId="0"/>
    <xf numFmtId="165" fontId="3" fillId="0" borderId="2" applyAlignment="1" pivotButton="0" quotePrefix="0" xfId="0">
      <alignment horizontal="center"/>
    </xf>
    <xf numFmtId="165" fontId="3" fillId="5" borderId="2" applyAlignment="1" pivotButton="0" quotePrefix="0" xfId="0">
      <alignment horizontal="center"/>
    </xf>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6" customWidth="1" min="1" max="1"/>
    <col width="104" customWidth="1" min="2" max="2"/>
  </cols>
  <sheetData>
    <row r="1" ht="26" customHeight="1">
      <c r="A1" s="1" t="inlineStr">
        <is>
          <t>Multifamily UW Model  —  Starter Template (v2)</t>
        </is>
      </c>
    </row>
    <row r="3">
      <c r="A3" s="2" t="inlineStr">
        <is>
          <t>How to use</t>
        </is>
      </c>
      <c r="B3" s="3" t="inlineStr"/>
    </row>
    <row r="4" ht="25" customHeight="1">
      <c r="A4" s="4" t="inlineStr">
        <is>
          <t>Legend</t>
        </is>
      </c>
      <c r="B4" s="3" t="inlineStr">
        <is>
          <t>BLUE = your input / scenario lever  •  YELLOW = key assumption to fill in  •  BLACK = formula (don't overwrite)  •  GREEN = pulls from another tab.</t>
        </is>
      </c>
    </row>
    <row r="5" ht="25" customHeight="1">
      <c r="A5" s="4" t="inlineStr">
        <is>
          <t>Fill order</t>
        </is>
      </c>
      <c r="B5" s="3" t="inlineStr">
        <is>
          <t>1) Assumptions  2) RR (rent roll)  3) Renovation (value-add scope &amp; timing)  4) P&amp;L (enter in-place expenses)  5) review Pro Forma / Debt / Returns / Sensitivity (all auto-calc).</t>
        </is>
      </c>
    </row>
    <row r="6">
      <c r="A6" s="5" t="inlineStr"/>
      <c r="B6" s="3" t="inlineStr"/>
    </row>
    <row r="7">
      <c r="A7" s="2" t="inlineStr">
        <is>
          <t>HOW THE TABS CONNECT (one chain)</t>
        </is>
      </c>
      <c r="B7" s="3" t="inlineStr"/>
    </row>
    <row r="8" ht="37.5" customHeight="1">
      <c r="A8" s="4" t="inlineStr">
        <is>
          <t>Assumptions</t>
        </is>
      </c>
      <c r="B8" s="3" t="inlineStr">
        <is>
          <t>Control panel. Every lever lives here once — growth, vacancy, cap rates, LTV, rate, and HOLD PERIOD (1-10 yrs; the model exits automatically in the hold year). Change a deal from this one tab.</t>
        </is>
      </c>
    </row>
    <row r="9" ht="25" customHeight="1">
      <c r="A9" s="4" t="inlineStr">
        <is>
          <t>RR  (Rent Roll)</t>
        </is>
      </c>
      <c r="B9" s="3" t="inlineStr">
        <is>
          <t>Unit-level income engine. Unit mix x in-place rent = in-place GPR; unit mix x market rent = as-is market GPR. Feeds the P&amp;L top line and the unit count.</t>
        </is>
      </c>
    </row>
    <row r="10" ht="62.5" customHeight="1">
      <c r="A10" s="4" t="inlineStr">
        <is>
          <t>Renovation  (value-add)</t>
        </is>
      </c>
      <c r="B10" s="3" t="inlineStr">
        <is>
          <t>The value-add engine. Per unit type: how many units you renovate, the cost/unit, and the rent premium/unit achieved ABOVE market. Sums to a total renovation budget (-&gt; Sources &amp; Uses) and a rent-premium schedule phased by your completion %/year (-&gt; Pro Forma). Capex is funded upfront in the capital stack; the timing row shows when the budget is drawn and when the premium is earned.</t>
        </is>
      </c>
    </row>
    <row r="11" ht="37.5" customHeight="1">
      <c r="A11" s="4" t="inlineStr">
        <is>
          <t>P&amp;L  (Operating Statement)</t>
        </is>
      </c>
      <c r="B11" s="3" t="inlineStr">
        <is>
          <t>Turns rent into cash flow. GPR (from RR) - vacancy &amp; bad debt + other income = EGI; EGI - operating expenses = NOI. Two columns: In-Place (T-12 you type) and Year-1 Underwritten (as-is market). NOI is the single most important number.</t>
        </is>
      </c>
    </row>
    <row r="12" ht="25" customHeight="1">
      <c r="A12" s="4" t="inlineStr">
        <is>
          <t>Pro Forma (10-yr)</t>
        </is>
      </c>
      <c r="B12" s="3" t="inlineStr">
        <is>
          <t>Projects Year-1 underwritten EGI &amp; OpEx across up to 10 years using the growth rates, then LAYERS ON the renovation premium schedule -&gt; NOI each year.</t>
        </is>
      </c>
    </row>
    <row r="13" ht="25" customHeight="1">
      <c r="A13" s="4" t="inlineStr">
        <is>
          <t>Sources &amp; Uses</t>
        </is>
      </c>
      <c r="B13" s="3" t="inlineStr">
        <is>
          <t>Capital stack. Uses = price + closing + renovation budget (from Renovation). Sources = senior loan (LTV x price) + equity (the plug). Equity anchors returns.</t>
        </is>
      </c>
    </row>
    <row r="14" ht="25" customHeight="1">
      <c r="A14" s="4" t="inlineStr">
        <is>
          <t>Debt</t>
        </is>
      </c>
      <c r="B14" s="3" t="inlineStr">
        <is>
          <t>Sizes &amp; amortizes the loan: annual debt service, DSCR, debt yield, and the loan payoff balance in the hold year.</t>
        </is>
      </c>
    </row>
    <row r="15" ht="37.5" customHeight="1">
      <c r="A15" s="4" t="inlineStr">
        <is>
          <t>Returns</t>
        </is>
      </c>
      <c r="B15" s="3" t="inlineStr">
        <is>
          <t>Ties it together, exiting in your chosen hold year: levered CF = Pro Forma NOI - debt service; exit value = hold-year NOI / exit cap; proceeds repay the loan -&gt; IRR, equity multiple, cash-on-cash (levered &amp; unlevered).</t>
        </is>
      </c>
    </row>
    <row r="16" ht="37.5" customHeight="1">
      <c r="A16" s="4" t="inlineStr">
        <is>
          <t>Sensitivity</t>
        </is>
      </c>
      <c r="B16" s="3" t="inlineStr">
        <is>
          <t>A 2-way grid of levered IRR across Exit Cap (columns) x Rent Growth (rows). It re-runs the full levered cash flow for each combination via backing calcs below the grid, so it updates live when you change the deal. The center cell equals the Returns tab IRR.</t>
        </is>
      </c>
    </row>
    <row r="17">
      <c r="A17" s="5" t="inlineStr"/>
      <c r="B17" s="3" t="inlineStr"/>
    </row>
    <row r="18" ht="37.5" customHeight="1">
      <c r="A18" s="4" t="inlineStr">
        <is>
          <t>One sentence</t>
        </is>
      </c>
      <c r="B18" s="3" t="inlineStr">
        <is>
          <t>RR + Renovation build income -&gt; P&amp;L converts it to NOI -&gt; Pro Forma grows &amp; renovates NOI over the hold -&gt; Sources &amp; Uses and Debt set the capital -&gt; Returns measures the equity's IRR -&gt; Sensitivity stress-tests it.</t>
        </is>
      </c>
    </row>
    <row r="19">
      <c r="A19" s="5" t="inlineStr"/>
      <c r="B19" s="3" t="inlineStr"/>
    </row>
    <row r="20" ht="37.5" customHeight="1">
      <c r="A20" s="4" t="inlineStr">
        <is>
          <t>Renovation funding note</t>
        </is>
      </c>
      <c r="B20" s="3" t="inlineStr">
        <is>
          <t>The renovation budget is included in Uses and funded at close (equity + loan), so it is NOT subtracted again from operating cash flow. The Renovation timing row is informational (draw schedule) and drives WHEN the rent premium is realized.</t>
        </is>
      </c>
    </row>
    <row r="21" ht="25" customHeight="1">
      <c r="A21" s="4" t="inlineStr">
        <is>
          <t>Note</t>
        </is>
      </c>
      <c r="B21" s="3" t="inlineStr">
        <is>
          <t>Teaching/starter template with illustrative numbers (a ~100-unit value-add deal). Replace every blue/yellow cell with your deal's data. Not investment advice.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4" customWidth="1" min="1" max="1"/>
    <col width="16" customWidth="1" min="2" max="2"/>
    <col width="46" customWidth="1" min="3" max="3"/>
  </cols>
  <sheetData>
    <row r="1" ht="26" customHeight="1">
      <c r="A1" s="1" t="inlineStr">
        <is>
          <t>Assumptions  (control panel — edit here)</t>
        </is>
      </c>
    </row>
    <row r="3">
      <c r="A3" s="6" t="inlineStr">
        <is>
          <t>PROPERTY &amp; ACQUISITION</t>
        </is>
      </c>
      <c r="B3" s="7" t="n"/>
      <c r="C3" s="7" t="n"/>
    </row>
    <row r="4">
      <c r="A4" s="8" t="inlineStr">
        <is>
          <t>Purchase Price</t>
        </is>
      </c>
      <c r="B4" s="9" t="n">
        <v>16000000</v>
      </c>
      <c r="C4" s="10" t="inlineStr">
        <is>
          <t>Fill in the yellow cells for your deal.</t>
        </is>
      </c>
    </row>
    <row r="5">
      <c r="A5" s="8" t="inlineStr">
        <is>
          <t>Number of Units</t>
        </is>
      </c>
      <c r="B5" s="11">
        <f>'RR'!$B$8</f>
        <v/>
      </c>
    </row>
    <row r="6">
      <c r="A6" s="8" t="inlineStr">
        <is>
          <t>Price per Unit</t>
        </is>
      </c>
      <c r="B6" s="12">
        <f>B4/B5</f>
        <v/>
      </c>
    </row>
    <row r="7">
      <c r="A7" s="8" t="inlineStr">
        <is>
          <t>Going-in Cap (as-is, Yr1 UW)</t>
        </is>
      </c>
      <c r="B7" s="13">
        <f>'P&amp;L'!$C$24/B4</f>
        <v/>
      </c>
      <c r="C7" s="10" t="inlineStr">
        <is>
          <t>Auto: Year-1 as-is underwritten NOI / price (excludes reno upside).</t>
        </is>
      </c>
    </row>
    <row r="8">
      <c r="A8" s="8" t="inlineStr">
        <is>
          <t>Hold Period (years, 1-10)</t>
        </is>
      </c>
      <c r="B8" s="14" t="n">
        <v>7</v>
      </c>
      <c r="C8" s="10" t="inlineStr">
        <is>
          <t>Model exits automatically in this year (max 10).</t>
        </is>
      </c>
    </row>
    <row r="9">
      <c r="A9" s="8" t="inlineStr">
        <is>
          <t>Exit Cap Rate</t>
        </is>
      </c>
      <c r="B9" s="15" t="n">
        <v>0.06</v>
      </c>
      <c r="C9" s="10" t="inlineStr">
        <is>
          <t>Exit cap usually &gt;= going-in cap (be conservative).</t>
        </is>
      </c>
    </row>
    <row r="10">
      <c r="A10" s="8" t="inlineStr">
        <is>
          <t>Selling Costs (% of sale)</t>
        </is>
      </c>
      <c r="B10" s="16" t="n">
        <v>0.02</v>
      </c>
    </row>
    <row r="11">
      <c r="A11" s="8" t="inlineStr">
        <is>
          <t>Closing Costs (% of price)</t>
        </is>
      </c>
      <c r="B11" s="16" t="n">
        <v>0.02</v>
      </c>
    </row>
    <row r="13">
      <c r="A13" s="6" t="inlineStr">
        <is>
          <t>GROWTH &amp; OPERATING</t>
        </is>
      </c>
      <c r="B13" s="7" t="n"/>
      <c r="C13" s="7" t="n"/>
    </row>
    <row r="14">
      <c r="A14" s="8" t="inlineStr">
        <is>
          <t>Revenue Growth (annual)</t>
        </is>
      </c>
      <c r="B14" s="15" t="n">
        <v>0.03</v>
      </c>
    </row>
    <row r="15">
      <c r="A15" s="8" t="inlineStr">
        <is>
          <t>Expense Growth (annual)</t>
        </is>
      </c>
      <c r="B15" s="15" t="n">
        <v>0.03</v>
      </c>
    </row>
    <row r="16">
      <c r="A16" s="8" t="inlineStr">
        <is>
          <t>Economic Vacancy</t>
        </is>
      </c>
      <c r="B16" s="15" t="n">
        <v>0.05</v>
      </c>
    </row>
    <row r="17">
      <c r="A17" s="8" t="inlineStr">
        <is>
          <t>Bad Debt &amp; Concessions</t>
        </is>
      </c>
      <c r="B17" s="16" t="n">
        <v>0.01</v>
      </c>
    </row>
    <row r="18">
      <c r="A18" s="8" t="inlineStr">
        <is>
          <t>Management Fee (% of EGI)</t>
        </is>
      </c>
      <c r="B18" s="16" t="n">
        <v>0.03</v>
      </c>
    </row>
    <row r="19">
      <c r="A19" s="8" t="inlineStr">
        <is>
          <t>Replacement Reserves ($/unit/yr)</t>
        </is>
      </c>
      <c r="B19" s="17" t="n">
        <v>250</v>
      </c>
    </row>
    <row r="21">
      <c r="A21" s="6" t="inlineStr">
        <is>
          <t>FINANCING</t>
        </is>
      </c>
      <c r="B21" s="7" t="n"/>
      <c r="C21" s="7" t="n"/>
    </row>
    <row r="22">
      <c r="A22" s="8" t="inlineStr">
        <is>
          <t>Loan-to-Value (LTV)</t>
        </is>
      </c>
      <c r="B22" s="15" t="n">
        <v>0.65</v>
      </c>
      <c r="C22" s="10" t="inlineStr">
        <is>
          <t>Loan = LTV x purchase price (see Sources &amp; Uses).</t>
        </is>
      </c>
    </row>
    <row r="23">
      <c r="A23" s="8" t="inlineStr">
        <is>
          <t>Interest Rate</t>
        </is>
      </c>
      <c r="B23" s="15" t="n">
        <v>0.065</v>
      </c>
    </row>
    <row r="24">
      <c r="A24" s="8" t="inlineStr">
        <is>
          <t>Amortization (years)</t>
        </is>
      </c>
      <c r="B24" s="18" t="n">
        <v>30</v>
      </c>
    </row>
    <row r="25">
      <c r="A25" s="8" t="inlineStr">
        <is>
          <t>Renovation Budget (auto)</t>
        </is>
      </c>
      <c r="B25" s="19">
        <f>'Renovation'!$E$9</f>
        <v/>
      </c>
      <c r="C25" s="10" t="inlineStr">
        <is>
          <t>Totals up from the Renovation tab scope.</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ySplit="3" topLeftCell="A4" activePane="bottomLeft" state="frozen"/>
      <selection pane="bottomLeft" activeCell="A1" sqref="A1"/>
    </sheetView>
  </sheetViews>
  <sheetFormatPr baseColWidth="8" defaultRowHeight="15"/>
  <cols>
    <col width="18" customWidth="1" min="1" max="1"/>
    <col width="9" customWidth="1" min="2" max="2"/>
    <col width="9" customWidth="1" min="3" max="3"/>
    <col width="13" customWidth="1" min="4" max="4"/>
    <col width="13" customWidth="1" min="5" max="5"/>
    <col width="12" customWidth="1" min="6" max="6"/>
    <col width="13" customWidth="1" min="7" max="7"/>
    <col width="12" customWidth="1" min="8" max="8"/>
    <col width="13" customWidth="1" min="9" max="9"/>
  </cols>
  <sheetData>
    <row r="1" ht="26" customHeight="1">
      <c r="A1" s="1" t="inlineStr">
        <is>
          <t>RR  —  Rent Roll  (unit-level income engine)</t>
        </is>
      </c>
    </row>
    <row r="3" ht="28" customHeight="1">
      <c r="A3" s="20" t="inlineStr">
        <is>
          <t>Unit Type</t>
        </is>
      </c>
      <c r="B3" s="20" t="inlineStr">
        <is>
          <t># Units</t>
        </is>
      </c>
      <c r="C3" s="20" t="inlineStr">
        <is>
          <t>Avg SF</t>
        </is>
      </c>
      <c r="D3" s="20" t="inlineStr">
        <is>
          <t>In-Place Rent
($/unit/mo)</t>
        </is>
      </c>
      <c r="E3" s="20" t="inlineStr">
        <is>
          <t>Market Rent
($/unit/mo)</t>
        </is>
      </c>
      <c r="F3" s="20" t="inlineStr">
        <is>
          <t>In-Place
Monthly</t>
        </is>
      </c>
      <c r="G3" s="20" t="inlineStr">
        <is>
          <t>In-Place
Annual</t>
        </is>
      </c>
      <c r="H3" s="20" t="inlineStr">
        <is>
          <t>Market
Monthly</t>
        </is>
      </c>
      <c r="I3" s="20" t="inlineStr">
        <is>
          <t>Market
Annual</t>
        </is>
      </c>
    </row>
    <row r="4">
      <c r="A4" s="8" t="inlineStr">
        <is>
          <t>1 BD / 1 BA</t>
        </is>
      </c>
      <c r="B4" s="14" t="n">
        <v>40</v>
      </c>
      <c r="C4" s="18" t="n">
        <v>700</v>
      </c>
      <c r="D4" s="9" t="n">
        <v>1150</v>
      </c>
      <c r="E4" s="9" t="n">
        <v>1300</v>
      </c>
      <c r="F4" s="12">
        <f>B4*D4</f>
        <v/>
      </c>
      <c r="G4" s="12">
        <f>F4*12</f>
        <v/>
      </c>
      <c r="H4" s="12">
        <f>B4*E4</f>
        <v/>
      </c>
      <c r="I4" s="12">
        <f>H4*12</f>
        <v/>
      </c>
    </row>
    <row r="5">
      <c r="A5" s="8" t="inlineStr">
        <is>
          <t>2 BD / 1 BA</t>
        </is>
      </c>
      <c r="B5" s="14" t="n">
        <v>30</v>
      </c>
      <c r="C5" s="18" t="n">
        <v>950</v>
      </c>
      <c r="D5" s="9" t="n">
        <v>1400</v>
      </c>
      <c r="E5" s="9" t="n">
        <v>1575</v>
      </c>
      <c r="F5" s="12">
        <f>B5*D5</f>
        <v/>
      </c>
      <c r="G5" s="12">
        <f>F5*12</f>
        <v/>
      </c>
      <c r="H5" s="12">
        <f>B5*E5</f>
        <v/>
      </c>
      <c r="I5" s="12">
        <f>H5*12</f>
        <v/>
      </c>
    </row>
    <row r="6">
      <c r="A6" s="8" t="inlineStr">
        <is>
          <t>2 BD / 2 BA</t>
        </is>
      </c>
      <c r="B6" s="14" t="n">
        <v>20</v>
      </c>
      <c r="C6" s="18" t="n">
        <v>1050</v>
      </c>
      <c r="D6" s="9" t="n">
        <v>1550</v>
      </c>
      <c r="E6" s="9" t="n">
        <v>1725</v>
      </c>
      <c r="F6" s="12">
        <f>B6*D6</f>
        <v/>
      </c>
      <c r="G6" s="12">
        <f>F6*12</f>
        <v/>
      </c>
      <c r="H6" s="12">
        <f>B6*E6</f>
        <v/>
      </c>
      <c r="I6" s="12">
        <f>H6*12</f>
        <v/>
      </c>
    </row>
    <row r="7">
      <c r="A7" s="8" t="inlineStr">
        <is>
          <t>3 BD / 2 BA</t>
        </is>
      </c>
      <c r="B7" s="14" t="n">
        <v>10</v>
      </c>
      <c r="C7" s="18" t="n">
        <v>1250</v>
      </c>
      <c r="D7" s="9" t="n">
        <v>1850</v>
      </c>
      <c r="E7" s="9" t="n">
        <v>2050</v>
      </c>
      <c r="F7" s="12">
        <f>B7*D7</f>
        <v/>
      </c>
      <c r="G7" s="12">
        <f>F7*12</f>
        <v/>
      </c>
      <c r="H7" s="12">
        <f>B7*E7</f>
        <v/>
      </c>
      <c r="I7" s="12">
        <f>H7*12</f>
        <v/>
      </c>
    </row>
    <row r="8">
      <c r="A8" s="21" t="inlineStr">
        <is>
          <t>Total / Weighted</t>
        </is>
      </c>
      <c r="B8" s="22">
        <f>SUM(B4:B7)</f>
        <v/>
      </c>
      <c r="C8" s="22">
        <f>SUMPRODUCT(B4:B7,C4:C7)/B8</f>
        <v/>
      </c>
      <c r="D8" s="23">
        <f>F8/B8</f>
        <v/>
      </c>
      <c r="E8" s="23">
        <f>H8/B8</f>
        <v/>
      </c>
      <c r="F8" s="24">
        <f>SUM(F4:F7)</f>
        <v/>
      </c>
      <c r="G8" s="24">
        <f>SUM(G4:G7)</f>
        <v/>
      </c>
      <c r="H8" s="24">
        <f>SUM(H4:H7)</f>
        <v/>
      </c>
      <c r="I8" s="24">
        <f>SUM(I4:I7)</f>
        <v/>
      </c>
    </row>
    <row r="10">
      <c r="A10" s="25" t="inlineStr">
        <is>
          <t>Loss-to-Lease (Market - In-Place, annual)</t>
        </is>
      </c>
      <c r="I10" s="26">
        <f>I8-G8</f>
        <v/>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14" customWidth="1" min="3" max="3"/>
    <col width="16" customWidth="1" min="4" max="4"/>
    <col width="15" customWidth="1" min="5" max="5"/>
    <col width="16" customWidth="1" min="6" max="6"/>
  </cols>
  <sheetData>
    <row r="1" ht="26" customHeight="1">
      <c r="A1" s="1" t="inlineStr">
        <is>
          <t>Renovation  —  value-add scope, budget &amp; timing</t>
        </is>
      </c>
    </row>
    <row r="3">
      <c r="A3" s="6" t="inlineStr">
        <is>
          <t>RENOVATION SCOPE (by unit type)</t>
        </is>
      </c>
      <c r="B3" s="7" t="n"/>
      <c r="C3" s="7" t="n"/>
      <c r="D3" s="7" t="n"/>
      <c r="E3" s="7" t="n"/>
      <c r="F3" s="7" t="n"/>
    </row>
    <row r="4" ht="26" customHeight="1">
      <c r="A4" s="20" t="inlineStr">
        <is>
          <t>Unit Type</t>
        </is>
      </c>
      <c r="B4" s="20" t="inlineStr">
        <is>
          <t># Units to Reno</t>
        </is>
      </c>
      <c r="C4" s="20" t="inlineStr">
        <is>
          <t>Reno Cost/Unit</t>
        </is>
      </c>
      <c r="D4" s="20" t="inlineStr">
        <is>
          <t>Rent Premium ($/mo)</t>
        </is>
      </c>
      <c r="E4" s="20" t="inlineStr">
        <is>
          <t>Reno Budget</t>
        </is>
      </c>
      <c r="F4" s="20" t="inlineStr">
        <is>
          <t>Annual Premium (gross)</t>
        </is>
      </c>
    </row>
    <row r="5">
      <c r="A5" s="8" t="inlineStr">
        <is>
          <t>1 BD / 1 BA</t>
        </is>
      </c>
      <c r="B5" s="14" t="n">
        <v>25</v>
      </c>
      <c r="C5" s="9" t="n">
        <v>12000</v>
      </c>
      <c r="D5" s="9" t="n">
        <v>150</v>
      </c>
      <c r="E5" s="12">
        <f>B5*C5</f>
        <v/>
      </c>
      <c r="F5" s="12">
        <f>B5*D5*12</f>
        <v/>
      </c>
    </row>
    <row r="6">
      <c r="A6" s="8" t="inlineStr">
        <is>
          <t>2 BD / 1 BA</t>
        </is>
      </c>
      <c r="B6" s="14" t="n">
        <v>20</v>
      </c>
      <c r="C6" s="9" t="n">
        <v>14000</v>
      </c>
      <c r="D6" s="9" t="n">
        <v>175</v>
      </c>
      <c r="E6" s="12">
        <f>B6*C6</f>
        <v/>
      </c>
      <c r="F6" s="12">
        <f>B6*D6*12</f>
        <v/>
      </c>
    </row>
    <row r="7">
      <c r="A7" s="8" t="inlineStr">
        <is>
          <t>2 BD / 2 BA</t>
        </is>
      </c>
      <c r="B7" s="14" t="n">
        <v>10</v>
      </c>
      <c r="C7" s="9" t="n">
        <v>15000</v>
      </c>
      <c r="D7" s="9" t="n">
        <v>200</v>
      </c>
      <c r="E7" s="12">
        <f>B7*C7</f>
        <v/>
      </c>
      <c r="F7" s="12">
        <f>B7*D7*12</f>
        <v/>
      </c>
    </row>
    <row r="8">
      <c r="A8" s="8" t="inlineStr">
        <is>
          <t>3 BD / 2 BA</t>
        </is>
      </c>
      <c r="B8" s="14" t="n">
        <v>5</v>
      </c>
      <c r="C8" s="9" t="n">
        <v>18000</v>
      </c>
      <c r="D8" s="9" t="n">
        <v>225</v>
      </c>
      <c r="E8" s="12">
        <f>B8*C8</f>
        <v/>
      </c>
      <c r="F8" s="12">
        <f>B8*D8*12</f>
        <v/>
      </c>
    </row>
    <row r="9">
      <c r="A9" s="21" t="inlineStr">
        <is>
          <t>Total</t>
        </is>
      </c>
      <c r="B9" s="27">
        <f>SUM(B5:B8)</f>
        <v/>
      </c>
      <c r="E9" s="24">
        <f>SUM(E5:E8)</f>
        <v/>
      </c>
      <c r="F9" s="24">
        <f>SUM(F5:F8)</f>
        <v/>
      </c>
    </row>
    <row r="10">
      <c r="A10" s="25" t="inlineStr">
        <is>
          <t>Blended cost / renovated unit</t>
        </is>
      </c>
      <c r="E10" s="12">
        <f>E9/B9</f>
        <v/>
      </c>
    </row>
    <row r="12">
      <c r="A12" s="6" t="inlineStr">
        <is>
          <t>RENOVATION TIMING (phased)</t>
        </is>
      </c>
      <c r="B12" s="7" t="n"/>
      <c r="C12" s="7" t="n"/>
      <c r="D12" s="7" t="n"/>
      <c r="E12" s="7" t="n"/>
      <c r="F12" s="7" t="n"/>
      <c r="G12" s="7" t="n"/>
      <c r="H12" s="7" t="n"/>
      <c r="I12" s="7" t="n"/>
      <c r="J12" s="7" t="n"/>
      <c r="K12" s="7" t="n"/>
    </row>
    <row r="13">
      <c r="A13" s="21" t="inlineStr">
        <is>
          <t>Year</t>
        </is>
      </c>
      <c r="B13" s="28" t="n">
        <v>1</v>
      </c>
      <c r="C13" s="28" t="n">
        <v>2</v>
      </c>
      <c r="D13" s="28" t="n">
        <v>3</v>
      </c>
      <c r="E13" s="28" t="n">
        <v>4</v>
      </c>
      <c r="F13" s="28" t="n">
        <v>5</v>
      </c>
      <c r="G13" s="28" t="n">
        <v>6</v>
      </c>
      <c r="H13" s="28" t="n">
        <v>7</v>
      </c>
      <c r="I13" s="28" t="n">
        <v>8</v>
      </c>
      <c r="J13" s="28" t="n">
        <v>9</v>
      </c>
      <c r="K13" s="28" t="n">
        <v>10</v>
      </c>
    </row>
    <row r="14">
      <c r="A14" s="8" t="inlineStr">
        <is>
          <t>% of Scope Complete (cumulative)</t>
        </is>
      </c>
      <c r="B14" s="15" t="n">
        <v>0.4</v>
      </c>
      <c r="C14" s="15" t="n">
        <v>0.8</v>
      </c>
      <c r="D14" s="15" t="n">
        <v>1</v>
      </c>
      <c r="E14" s="16" t="n">
        <v>1</v>
      </c>
      <c r="F14" s="16" t="n">
        <v>1</v>
      </c>
      <c r="G14" s="16" t="n">
        <v>1</v>
      </c>
      <c r="H14" s="16" t="n">
        <v>1</v>
      </c>
      <c r="I14" s="16" t="n">
        <v>1</v>
      </c>
      <c r="J14" s="16" t="n">
        <v>1</v>
      </c>
      <c r="K14" s="16" t="n">
        <v>1</v>
      </c>
    </row>
    <row r="15">
      <c r="A15" s="8" t="inlineStr">
        <is>
          <t>Cumulative Units Renovated</t>
        </is>
      </c>
      <c r="B15" s="29">
        <f>$B$9*B14</f>
        <v/>
      </c>
      <c r="C15" s="29">
        <f>$B$9*C14</f>
        <v/>
      </c>
      <c r="D15" s="29">
        <f>$B$9*D14</f>
        <v/>
      </c>
      <c r="E15" s="29">
        <f>$B$9*E14</f>
        <v/>
      </c>
      <c r="F15" s="29">
        <f>$B$9*F14</f>
        <v/>
      </c>
      <c r="G15" s="29">
        <f>$B$9*G14</f>
        <v/>
      </c>
      <c r="H15" s="29">
        <f>$B$9*H14</f>
        <v/>
      </c>
      <c r="I15" s="29">
        <f>$B$9*I14</f>
        <v/>
      </c>
      <c r="J15" s="29">
        <f>$B$9*J14</f>
        <v/>
      </c>
      <c r="K15" s="29">
        <f>$B$9*K14</f>
        <v/>
      </c>
    </row>
    <row r="16">
      <c r="A16" s="8" t="inlineStr">
        <is>
          <t>Reno Capex Draw ($)</t>
        </is>
      </c>
      <c r="B16" s="12">
        <f>$E$9*B14</f>
        <v/>
      </c>
      <c r="C16" s="12">
        <f>$E$9*(C14-B14)</f>
        <v/>
      </c>
      <c r="D16" s="12">
        <f>$E$9*(D14-C14)</f>
        <v/>
      </c>
      <c r="E16" s="12">
        <f>$E$9*(E14-D14)</f>
        <v/>
      </c>
      <c r="F16" s="12">
        <f>$E$9*(F14-E14)</f>
        <v/>
      </c>
      <c r="G16" s="12">
        <f>$E$9*(G14-F14)</f>
        <v/>
      </c>
      <c r="H16" s="12">
        <f>$E$9*(H14-G14)</f>
        <v/>
      </c>
      <c r="I16" s="12">
        <f>$E$9*(I14-H14)</f>
        <v/>
      </c>
      <c r="J16" s="12">
        <f>$E$9*(J14-I14)</f>
        <v/>
      </c>
      <c r="K16" s="12">
        <f>$E$9*(K14-J14)</f>
        <v/>
      </c>
    </row>
    <row r="17">
      <c r="A17" s="8" t="inlineStr">
        <is>
          <t>Cumulative Premium (gross annual)</t>
        </is>
      </c>
      <c r="B17" s="12">
        <f>$F$9*B14</f>
        <v/>
      </c>
      <c r="C17" s="12">
        <f>$F$9*C14</f>
        <v/>
      </c>
      <c r="D17" s="12">
        <f>$F$9*D14</f>
        <v/>
      </c>
      <c r="E17" s="12">
        <f>$F$9*E14</f>
        <v/>
      </c>
      <c r="F17" s="12">
        <f>$F$9*F14</f>
        <v/>
      </c>
      <c r="G17" s="12">
        <f>$F$9*G14</f>
        <v/>
      </c>
      <c r="H17" s="12">
        <f>$F$9*H14</f>
        <v/>
      </c>
      <c r="I17" s="12">
        <f>$F$9*I14</f>
        <v/>
      </c>
      <c r="J17" s="12">
        <f>$F$9*J14</f>
        <v/>
      </c>
      <c r="K17" s="12">
        <f>$F$9*K14</f>
        <v/>
      </c>
    </row>
    <row r="18">
      <c r="A18" s="21" t="inlineStr">
        <is>
          <t>Net Premium to EGI</t>
        </is>
      </c>
      <c r="B18" s="12">
        <f>B17*(1-'Assumptions'!$B$16-'Assumptions'!$B$17)</f>
        <v/>
      </c>
      <c r="C18" s="12">
        <f>C17*(1-'Assumptions'!$B$16-'Assumptions'!$B$17)</f>
        <v/>
      </c>
      <c r="D18" s="12">
        <f>D17*(1-'Assumptions'!$B$16-'Assumptions'!$B$17)</f>
        <v/>
      </c>
      <c r="E18" s="12">
        <f>E17*(1-'Assumptions'!$B$16-'Assumptions'!$B$17)</f>
        <v/>
      </c>
      <c r="F18" s="12">
        <f>F17*(1-'Assumptions'!$B$16-'Assumptions'!$B$17)</f>
        <v/>
      </c>
      <c r="G18" s="12">
        <f>G17*(1-'Assumptions'!$B$16-'Assumptions'!$B$17)</f>
        <v/>
      </c>
      <c r="H18" s="12">
        <f>H17*(1-'Assumptions'!$B$16-'Assumptions'!$B$17)</f>
        <v/>
      </c>
      <c r="I18" s="12">
        <f>I17*(1-'Assumptions'!$B$16-'Assumptions'!$B$17)</f>
        <v/>
      </c>
      <c r="J18" s="12">
        <f>J17*(1-'Assumptions'!$B$16-'Assumptions'!$B$17)</f>
        <v/>
      </c>
      <c r="K18" s="12">
        <f>K17*(1-'Assumptions'!$B$16-'Assumptions'!$B$17)</f>
        <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3" topLeftCell="A4" activePane="bottomLeft" state="frozen"/>
      <selection pane="bottomLeft" activeCell="A1" sqref="A1"/>
    </sheetView>
  </sheetViews>
  <sheetFormatPr baseColWidth="8" defaultRowHeight="15"/>
  <cols>
    <col width="34" customWidth="1" min="1" max="1"/>
    <col width="16" customWidth="1" min="2" max="2"/>
    <col width="16" customWidth="1" min="3" max="3"/>
    <col width="13" customWidth="1" min="4" max="4"/>
    <col width="34" customWidth="1" min="5" max="5"/>
  </cols>
  <sheetData>
    <row r="1" ht="26" customHeight="1">
      <c r="A1" s="1" t="inlineStr">
        <is>
          <t>P&amp;L  —  Operating Statement  (income -&gt; NOI)</t>
        </is>
      </c>
    </row>
    <row r="3" ht="26" customHeight="1">
      <c r="A3" s="20" t="inlineStr">
        <is>
          <t>Line Item</t>
        </is>
      </c>
      <c r="B3" s="20" t="inlineStr">
        <is>
          <t>In-Place (T-12)</t>
        </is>
      </c>
      <c r="C3" s="20" t="inlineStr">
        <is>
          <t>Year-1 Underwritten</t>
        </is>
      </c>
      <c r="D3" s="20" t="inlineStr">
        <is>
          <t>Per Unit (UW)</t>
        </is>
      </c>
      <c r="E3" s="20" t="inlineStr">
        <is>
          <t>Notes</t>
        </is>
      </c>
    </row>
    <row r="4">
      <c r="A4" s="6" t="inlineStr">
        <is>
          <t>INCOME</t>
        </is>
      </c>
      <c r="B4" s="7" t="n"/>
      <c r="C4" s="7" t="n"/>
      <c r="D4" s="7" t="n"/>
      <c r="E4" s="7" t="n"/>
    </row>
    <row r="5">
      <c r="A5" s="8" t="inlineStr">
        <is>
          <t>Gross Potential Rent (GPR)</t>
        </is>
      </c>
      <c r="B5" s="12" t="inlineStr">
        <is>
          <t>'RR'!$G$8</t>
        </is>
      </c>
      <c r="C5" s="12" t="inlineStr">
        <is>
          <t>'RR'!$I$8</t>
        </is>
      </c>
      <c r="D5" s="12">
        <f>C5/'RR'!$B$8</f>
        <v/>
      </c>
      <c r="E5" s="30" t="inlineStr">
        <is>
          <t>In-place=RR in-place annual; UW=RR as-is market annual.</t>
        </is>
      </c>
    </row>
    <row r="6">
      <c r="A6" s="8" t="inlineStr">
        <is>
          <t>Less: Vacancy</t>
        </is>
      </c>
      <c r="B6" s="12">
        <f>-B5*'Assumptions'!$B$16</f>
        <v/>
      </c>
      <c r="C6" s="12">
        <f>-C5*'Assumptions'!$B$16</f>
        <v/>
      </c>
      <c r="D6" s="12">
        <f>C6/'RR'!$B$8</f>
        <v/>
      </c>
      <c r="E6" s="30" t="inlineStr">
        <is>
          <t>Economic vacancy.</t>
        </is>
      </c>
    </row>
    <row r="7">
      <c r="A7" s="8" t="inlineStr">
        <is>
          <t>Less: Bad Debt &amp; Concessions</t>
        </is>
      </c>
      <c r="B7" s="12">
        <f>-B5*'Assumptions'!$B$17</f>
        <v/>
      </c>
      <c r="C7" s="12">
        <f>-C5*'Assumptions'!$B$17</f>
        <v/>
      </c>
      <c r="D7" s="12">
        <f>C7/'RR'!$B$8</f>
        <v/>
      </c>
    </row>
    <row r="8">
      <c r="A8" s="21" t="inlineStr">
        <is>
          <t>Net Rental Income</t>
        </is>
      </c>
      <c r="B8" s="23">
        <f>SUM(B5:B7)</f>
        <v/>
      </c>
      <c r="C8" s="23">
        <f>SUM(C5:C7)</f>
        <v/>
      </c>
      <c r="D8" s="12">
        <f>C8/'RR'!$B$8</f>
        <v/>
      </c>
    </row>
    <row r="9">
      <c r="A9" s="8" t="inlineStr">
        <is>
          <t>Other Income (RUBS, fees, laundry)</t>
        </is>
      </c>
      <c r="B9" s="17" t="n">
        <v>90000</v>
      </c>
      <c r="C9" s="12">
        <f>B9*(1+'Assumptions'!$B$14)</f>
        <v/>
      </c>
      <c r="D9" s="12">
        <f>C9/'RR'!$B$8</f>
        <v/>
      </c>
      <c r="E9" s="30" t="inlineStr">
        <is>
          <t>Type T-12 actual; UW grows it one year.</t>
        </is>
      </c>
    </row>
    <row r="10">
      <c r="A10" s="21" t="inlineStr">
        <is>
          <t>Effective Gross Income (EGI)</t>
        </is>
      </c>
      <c r="B10" s="23">
        <f>B8+B9</f>
        <v/>
      </c>
      <c r="C10" s="23">
        <f>C8+C9</f>
        <v/>
      </c>
      <c r="D10" s="12">
        <f>C10/'RR'!$B$8</f>
        <v/>
      </c>
    </row>
    <row r="12">
      <c r="A12" s="6" t="inlineStr">
        <is>
          <t>OPERATING EXPENSES</t>
        </is>
      </c>
      <c r="B12" s="7" t="n"/>
      <c r="C12" s="7" t="n"/>
      <c r="D12" s="7" t="n"/>
      <c r="E12" s="7" t="n"/>
    </row>
    <row r="13">
      <c r="A13" s="8" t="inlineStr">
        <is>
          <t>Property Taxes</t>
        </is>
      </c>
      <c r="B13" s="17" t="n">
        <v>165000</v>
      </c>
      <c r="C13" s="12">
        <f>B13*(1+'Assumptions'!$B$15)</f>
        <v/>
      </c>
      <c r="D13" s="12">
        <f>C13/'RR'!$B$8</f>
        <v/>
      </c>
    </row>
    <row r="14">
      <c r="A14" s="8" t="inlineStr">
        <is>
          <t>Insurance</t>
        </is>
      </c>
      <c r="B14" s="17" t="n">
        <v>55000</v>
      </c>
      <c r="C14" s="12">
        <f>B14*(1+'Assumptions'!$B$15)</f>
        <v/>
      </c>
      <c r="D14" s="12">
        <f>C14/'RR'!$B$8</f>
        <v/>
      </c>
    </row>
    <row r="15">
      <c r="A15" s="8" t="inlineStr">
        <is>
          <t>Utilities</t>
        </is>
      </c>
      <c r="B15" s="17" t="n">
        <v>120000</v>
      </c>
      <c r="C15" s="12">
        <f>B15*(1+'Assumptions'!$B$15)</f>
        <v/>
      </c>
      <c r="D15" s="12">
        <f>C15/'RR'!$B$8</f>
        <v/>
      </c>
    </row>
    <row r="16">
      <c r="A16" s="8" t="inlineStr">
        <is>
          <t>Repairs &amp; Maintenance</t>
        </is>
      </c>
      <c r="B16" s="17" t="n">
        <v>95000</v>
      </c>
      <c r="C16" s="12">
        <f>B16*(1+'Assumptions'!$B$15)</f>
        <v/>
      </c>
      <c r="D16" s="12">
        <f>C16/'RR'!$B$8</f>
        <v/>
      </c>
    </row>
    <row r="17">
      <c r="A17" s="8" t="inlineStr">
        <is>
          <t>Payroll</t>
        </is>
      </c>
      <c r="B17" s="17" t="n">
        <v>140000</v>
      </c>
      <c r="C17" s="12">
        <f>B17*(1+'Assumptions'!$B$15)</f>
        <v/>
      </c>
      <c r="D17" s="12">
        <f>C17/'RR'!$B$8</f>
        <v/>
      </c>
    </row>
    <row r="18">
      <c r="A18" s="8" t="inlineStr">
        <is>
          <t>Contract Services</t>
        </is>
      </c>
      <c r="B18" s="17" t="n">
        <v>45000</v>
      </c>
      <c r="C18" s="12">
        <f>B18*(1+'Assumptions'!$B$15)</f>
        <v/>
      </c>
      <c r="D18" s="12">
        <f>C18/'RR'!$B$8</f>
        <v/>
      </c>
    </row>
    <row r="19">
      <c r="A19" s="8" t="inlineStr">
        <is>
          <t>Marketing &amp; Leasing</t>
        </is>
      </c>
      <c r="B19" s="17" t="n">
        <v>20000</v>
      </c>
      <c r="C19" s="12">
        <f>B19*(1+'Assumptions'!$B$15)</f>
        <v/>
      </c>
      <c r="D19" s="12">
        <f>C19/'RR'!$B$8</f>
        <v/>
      </c>
    </row>
    <row r="20">
      <c r="A20" s="8" t="inlineStr">
        <is>
          <t>General &amp; Admin</t>
        </is>
      </c>
      <c r="B20" s="17" t="n">
        <v>30000</v>
      </c>
      <c r="C20" s="12">
        <f>B20*(1+'Assumptions'!$B$15)</f>
        <v/>
      </c>
      <c r="D20" s="12">
        <f>C20/'RR'!$B$8</f>
        <v/>
      </c>
    </row>
    <row r="21">
      <c r="A21" s="8" t="inlineStr">
        <is>
          <t>Management Fee (% of EGI)</t>
        </is>
      </c>
      <c r="B21" s="12">
        <f>B10*'Assumptions'!$B$18</f>
        <v/>
      </c>
      <c r="C21" s="12">
        <f>C10*'Assumptions'!$B$18</f>
        <v/>
      </c>
      <c r="D21" s="12">
        <f>C21/'RR'!$B$8</f>
        <v/>
      </c>
      <c r="E21" s="30" t="inlineStr">
        <is>
          <t>Computed as % of EGI.</t>
        </is>
      </c>
    </row>
    <row r="22">
      <c r="A22" s="8" t="inlineStr">
        <is>
          <t>Replacement Reserves</t>
        </is>
      </c>
      <c r="B22" s="19">
        <f>'RR'!$B$8*'Assumptions'!$B$19</f>
        <v/>
      </c>
      <c r="C22" s="19">
        <f>'RR'!$B$8*'Assumptions'!$B$19</f>
        <v/>
      </c>
      <c r="D22" s="12">
        <f>C22/'RR'!$B$8</f>
        <v/>
      </c>
      <c r="E22" s="30" t="inlineStr">
        <is>
          <t>Units x reserves/unit.</t>
        </is>
      </c>
    </row>
    <row r="23">
      <c r="A23" s="21" t="inlineStr">
        <is>
          <t>Total Operating Expenses</t>
        </is>
      </c>
      <c r="B23" s="24">
        <f>SUM(B13:B22)</f>
        <v/>
      </c>
      <c r="C23" s="24">
        <f>SUM(C13:C22)</f>
        <v/>
      </c>
      <c r="D23" s="12">
        <f>C23/'RR'!$B$8</f>
        <v/>
      </c>
    </row>
    <row r="24">
      <c r="A24" s="21" t="inlineStr">
        <is>
          <t>NET OPERATING INCOME (NOI)</t>
        </is>
      </c>
      <c r="B24" s="31">
        <f>B10-B23</f>
        <v/>
      </c>
      <c r="C24" s="31">
        <f>C10-C23</f>
        <v/>
      </c>
      <c r="D24" s="12">
        <f>C24/'RR'!$B$8</f>
        <v/>
      </c>
    </row>
    <row r="25">
      <c r="A25" s="8" t="inlineStr">
        <is>
          <t>Operating Expense Ratio</t>
        </is>
      </c>
      <c r="B25" s="32">
        <f>B23/B10</f>
        <v/>
      </c>
      <c r="C25" s="32">
        <f>C23/C10</f>
        <v/>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26" customHeight="1">
      <c r="A1" s="1" t="inlineStr">
        <is>
          <t>Pro Forma  —  NOI projection over the hold (up to 10 yrs)</t>
        </is>
      </c>
    </row>
    <row r="3">
      <c r="A3" s="20" t="inlineStr">
        <is>
          <t>Line Item</t>
        </is>
      </c>
      <c r="B3" s="20" t="inlineStr">
        <is>
          <t>Year 1</t>
        </is>
      </c>
      <c r="C3" s="20" t="inlineStr">
        <is>
          <t>Year 2</t>
        </is>
      </c>
      <c r="D3" s="20" t="inlineStr">
        <is>
          <t>Year 3</t>
        </is>
      </c>
      <c r="E3" s="20" t="inlineStr">
        <is>
          <t>Year 4</t>
        </is>
      </c>
      <c r="F3" s="20" t="inlineStr">
        <is>
          <t>Year 5</t>
        </is>
      </c>
      <c r="G3" s="20" t="inlineStr">
        <is>
          <t>Year 6</t>
        </is>
      </c>
      <c r="H3" s="20" t="inlineStr">
        <is>
          <t>Year 7</t>
        </is>
      </c>
      <c r="I3" s="20" t="inlineStr">
        <is>
          <t>Year 8</t>
        </is>
      </c>
      <c r="J3" s="20" t="inlineStr">
        <is>
          <t>Year 9</t>
        </is>
      </c>
      <c r="K3" s="20" t="inlineStr">
        <is>
          <t>Year 10</t>
        </is>
      </c>
    </row>
    <row r="4">
      <c r="A4" s="8" t="inlineStr">
        <is>
          <t>Base EGI (organic)</t>
        </is>
      </c>
      <c r="B4" s="19">
        <f>'P&amp;L'!$C$10</f>
        <v/>
      </c>
      <c r="C4" s="12">
        <f>B4*(1+'Assumptions'!$B$14)</f>
        <v/>
      </c>
      <c r="D4" s="12">
        <f>C4*(1+'Assumptions'!$B$14)</f>
        <v/>
      </c>
      <c r="E4" s="12">
        <f>D4*(1+'Assumptions'!$B$14)</f>
        <v/>
      </c>
      <c r="F4" s="12">
        <f>E4*(1+'Assumptions'!$B$14)</f>
        <v/>
      </c>
      <c r="G4" s="12">
        <f>F4*(1+'Assumptions'!$B$14)</f>
        <v/>
      </c>
      <c r="H4" s="12">
        <f>G4*(1+'Assumptions'!$B$14)</f>
        <v/>
      </c>
      <c r="I4" s="12">
        <f>H4*(1+'Assumptions'!$B$14)</f>
        <v/>
      </c>
      <c r="J4" s="12">
        <f>I4*(1+'Assumptions'!$B$14)</f>
        <v/>
      </c>
      <c r="K4" s="12">
        <f>J4*(1+'Assumptions'!$B$14)</f>
        <v/>
      </c>
    </row>
    <row r="5">
      <c r="A5" s="8" t="inlineStr">
        <is>
          <t>+ Renovation Premium (net)</t>
        </is>
      </c>
      <c r="B5" s="19">
        <f>'Renovation'!B18</f>
        <v/>
      </c>
      <c r="C5" s="19">
        <f>'Renovation'!C18</f>
        <v/>
      </c>
      <c r="D5" s="19">
        <f>'Renovation'!D18</f>
        <v/>
      </c>
      <c r="E5" s="19">
        <f>'Renovation'!E18</f>
        <v/>
      </c>
      <c r="F5" s="19">
        <f>'Renovation'!F18</f>
        <v/>
      </c>
      <c r="G5" s="19">
        <f>'Renovation'!G18</f>
        <v/>
      </c>
      <c r="H5" s="19">
        <f>'Renovation'!H18</f>
        <v/>
      </c>
      <c r="I5" s="19">
        <f>'Renovation'!I18</f>
        <v/>
      </c>
      <c r="J5" s="19">
        <f>'Renovation'!J18</f>
        <v/>
      </c>
      <c r="K5" s="19">
        <f>'Renovation'!K18</f>
        <v/>
      </c>
    </row>
    <row r="6">
      <c r="A6" s="21" t="inlineStr">
        <is>
          <t>Effective Gross Income</t>
        </is>
      </c>
      <c r="B6" s="23">
        <f>B4+B5</f>
        <v/>
      </c>
      <c r="C6" s="23">
        <f>C4+C5</f>
        <v/>
      </c>
      <c r="D6" s="23">
        <f>D4+D5</f>
        <v/>
      </c>
      <c r="E6" s="23">
        <f>E4+E5</f>
        <v/>
      </c>
      <c r="F6" s="23">
        <f>F4+F5</f>
        <v/>
      </c>
      <c r="G6" s="23">
        <f>G4+G5</f>
        <v/>
      </c>
      <c r="H6" s="23">
        <f>H4+H5</f>
        <v/>
      </c>
      <c r="I6" s="23">
        <f>I4+I5</f>
        <v/>
      </c>
      <c r="J6" s="23">
        <f>J4+J5</f>
        <v/>
      </c>
      <c r="K6" s="23">
        <f>K4+K5</f>
        <v/>
      </c>
    </row>
    <row r="7">
      <c r="A7" s="8" t="inlineStr">
        <is>
          <t>Operating Expenses</t>
        </is>
      </c>
      <c r="B7" s="19">
        <f>'P&amp;L'!$C$23</f>
        <v/>
      </c>
      <c r="C7" s="12">
        <f>B7*(1+'Assumptions'!$B$15)</f>
        <v/>
      </c>
      <c r="D7" s="12">
        <f>C7*(1+'Assumptions'!$B$15)</f>
        <v/>
      </c>
      <c r="E7" s="12">
        <f>D7*(1+'Assumptions'!$B$15)</f>
        <v/>
      </c>
      <c r="F7" s="12">
        <f>E7*(1+'Assumptions'!$B$15)</f>
        <v/>
      </c>
      <c r="G7" s="12">
        <f>F7*(1+'Assumptions'!$B$15)</f>
        <v/>
      </c>
      <c r="H7" s="12">
        <f>G7*(1+'Assumptions'!$B$15)</f>
        <v/>
      </c>
      <c r="I7" s="12">
        <f>H7*(1+'Assumptions'!$B$15)</f>
        <v/>
      </c>
      <c r="J7" s="12">
        <f>I7*(1+'Assumptions'!$B$15)</f>
        <v/>
      </c>
      <c r="K7" s="12">
        <f>J7*(1+'Assumptions'!$B$15)</f>
        <v/>
      </c>
    </row>
    <row r="8">
      <c r="A8" s="21" t="inlineStr">
        <is>
          <t>Net Operating Income</t>
        </is>
      </c>
      <c r="B8" s="24">
        <f>B6-B7</f>
        <v/>
      </c>
      <c r="C8" s="24">
        <f>C6-C7</f>
        <v/>
      </c>
      <c r="D8" s="24">
        <f>D6-D7</f>
        <v/>
      </c>
      <c r="E8" s="24">
        <f>E6-E7</f>
        <v/>
      </c>
      <c r="F8" s="24">
        <f>F6-F7</f>
        <v/>
      </c>
      <c r="G8" s="24">
        <f>G6-G7</f>
        <v/>
      </c>
      <c r="H8" s="24">
        <f>H6-H7</f>
        <v/>
      </c>
      <c r="I8" s="24">
        <f>I6-I7</f>
        <v/>
      </c>
      <c r="J8" s="24">
        <f>J6-J7</f>
        <v/>
      </c>
      <c r="K8" s="24">
        <f>K6-K7</f>
        <v/>
      </c>
    </row>
    <row r="9">
      <c r="A9" s="25" t="inlineStr">
        <is>
          <t>NOI Growth %</t>
        </is>
      </c>
      <c r="B9" s="33" t="inlineStr">
        <is>
          <t>—</t>
        </is>
      </c>
      <c r="C9" s="32">
        <f>C8/B8-1</f>
        <v/>
      </c>
      <c r="D9" s="32">
        <f>D8/C8-1</f>
        <v/>
      </c>
      <c r="E9" s="32">
        <f>E8/D8-1</f>
        <v/>
      </c>
      <c r="F9" s="32">
        <f>F8/E8-1</f>
        <v/>
      </c>
      <c r="G9" s="32">
        <f>G8/F8-1</f>
        <v/>
      </c>
      <c r="H9" s="32">
        <f>H8/G8-1</f>
        <v/>
      </c>
      <c r="I9" s="32">
        <f>I8/H8-1</f>
        <v/>
      </c>
      <c r="J9" s="32">
        <f>J8/I8-1</f>
        <v/>
      </c>
      <c r="K9" s="32">
        <f>K8/J8-1</f>
        <v/>
      </c>
    </row>
    <row r="10">
      <c r="A10" s="25" t="inlineStr">
        <is>
          <t>(memo) Reno Capex Draw</t>
        </is>
      </c>
      <c r="B10" s="19">
        <f>'Renovation'!B16</f>
        <v/>
      </c>
      <c r="C10" s="19">
        <f>'Renovation'!C16</f>
        <v/>
      </c>
      <c r="D10" s="19">
        <f>'Renovation'!D16</f>
        <v/>
      </c>
      <c r="E10" s="19">
        <f>'Renovation'!E16</f>
        <v/>
      </c>
      <c r="F10" s="19">
        <f>'Renovation'!F16</f>
        <v/>
      </c>
      <c r="G10" s="19">
        <f>'Renovation'!G16</f>
        <v/>
      </c>
      <c r="H10" s="19">
        <f>'Renovation'!H16</f>
        <v/>
      </c>
      <c r="I10" s="19">
        <f>'Renovation'!I16</f>
        <v/>
      </c>
      <c r="J10" s="19">
        <f>'Renovation'!J16</f>
        <v/>
      </c>
      <c r="K10" s="19">
        <f>'Renovation'!K16</f>
        <v/>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showGridLines="0" workbookViewId="0">
      <pane ySplit="3" topLeftCell="A4" activePane="bottomLeft" state="frozen"/>
      <selection pane="bottomLeft" activeCell="A1" sqref="A1"/>
    </sheetView>
  </sheetViews>
  <sheetFormatPr baseColWidth="8" defaultRowHeight="15"/>
  <cols>
    <col width="26" customWidth="1" min="1" max="1"/>
    <col width="16" customWidth="1" min="2" max="2"/>
    <col width="10" customWidth="1" min="3" max="3"/>
    <col width="30" customWidth="1" min="4" max="4"/>
  </cols>
  <sheetData>
    <row r="1" ht="26" customHeight="1">
      <c r="A1" s="1" t="inlineStr">
        <is>
          <t>Sources &amp; Uses  —  capital stack</t>
        </is>
      </c>
    </row>
    <row r="3">
      <c r="A3" s="6" t="inlineStr">
        <is>
          <t>USES OF FUNDS</t>
        </is>
      </c>
      <c r="B3" s="7" t="n"/>
    </row>
    <row r="4">
      <c r="A4" s="8" t="inlineStr">
        <is>
          <t>Purchase Price</t>
        </is>
      </c>
      <c r="B4" s="19">
        <f>'Assumptions'!$B$4</f>
        <v/>
      </c>
    </row>
    <row r="5">
      <c r="A5" s="8" t="inlineStr">
        <is>
          <t>Closing Costs</t>
        </is>
      </c>
      <c r="B5" s="12">
        <f>'Assumptions'!$B$4*'Assumptions'!$B$11</f>
        <v/>
      </c>
    </row>
    <row r="6">
      <c r="A6" s="8" t="inlineStr">
        <is>
          <t>Renovation Budget</t>
        </is>
      </c>
      <c r="B6" s="19">
        <f>'Renovation'!$E$9</f>
        <v/>
      </c>
    </row>
    <row r="7">
      <c r="A7" s="21" t="inlineStr">
        <is>
          <t>Total Uses</t>
        </is>
      </c>
      <c r="B7" s="24">
        <f>SUM(B4:B6)</f>
        <v/>
      </c>
    </row>
    <row r="9">
      <c r="A9" s="6" t="inlineStr">
        <is>
          <t>SOURCES OF FUNDS</t>
        </is>
      </c>
      <c r="B9" s="7" t="n"/>
    </row>
    <row r="10">
      <c r="A10" s="8" t="inlineStr">
        <is>
          <t>Senior Loan</t>
        </is>
      </c>
      <c r="B10" s="12">
        <f>'Assumptions'!$B$4*'Assumptions'!$B$22</f>
        <v/>
      </c>
      <c r="C10" s="32">
        <f>B10/B7</f>
        <v/>
      </c>
      <c r="D10" s="10">
        <f> LTV x Purchase Price</f>
        <v/>
      </c>
    </row>
    <row r="11">
      <c r="A11" s="8" t="inlineStr">
        <is>
          <t>Equity (plug)</t>
        </is>
      </c>
      <c r="B11" s="12">
        <f>B7-B10</f>
        <v/>
      </c>
      <c r="C11" s="32">
        <f>B11/B7</f>
        <v/>
      </c>
      <c r="D11" s="10">
        <f> the equity check the investor writes</f>
        <v/>
      </c>
    </row>
    <row r="12">
      <c r="A12" s="21" t="inlineStr">
        <is>
          <t>Total Sources</t>
        </is>
      </c>
      <c r="B12" s="24">
        <f>SUM(B10:B11)</f>
        <v/>
      </c>
    </row>
    <row r="14">
      <c r="A14" s="25" t="inlineStr">
        <is>
          <t>Check (Sources - Uses)</t>
        </is>
      </c>
      <c r="B14" s="12">
        <f>B12-B7</f>
        <v/>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34" customWidth="1" min="1" max="1"/>
    <col width="16" customWidth="1" min="2" max="2"/>
    <col width="42" customWidth="1" min="3" max="3"/>
  </cols>
  <sheetData>
    <row r="1" ht="26" customHeight="1">
      <c r="A1" s="1" t="inlineStr">
        <is>
          <t>Debt  —  loan sizing &amp; amortization</t>
        </is>
      </c>
    </row>
    <row r="4">
      <c r="A4" s="8" t="inlineStr">
        <is>
          <t>Loan Amount</t>
        </is>
      </c>
      <c r="B4" s="19">
        <f>'Sources &amp; Uses'!$B$10</f>
        <v/>
      </c>
      <c r="C4" s="10" t="inlineStr">
        <is>
          <t>From Sources &amp; Uses.</t>
        </is>
      </c>
    </row>
    <row r="5">
      <c r="A5" s="8" t="inlineStr">
        <is>
          <t>Interest Rate</t>
        </is>
      </c>
      <c r="B5" s="34">
        <f>'Assumptions'!$B$23</f>
        <v/>
      </c>
    </row>
    <row r="6">
      <c r="A6" s="8" t="inlineStr">
        <is>
          <t>Amortization (years)</t>
        </is>
      </c>
      <c r="B6" s="11">
        <f>'Assumptions'!$B$24</f>
        <v/>
      </c>
    </row>
    <row r="7">
      <c r="A7" s="8" t="inlineStr">
        <is>
          <t>Hold Period (years)</t>
        </is>
      </c>
      <c r="B7" s="11">
        <f>'Assumptions'!$B$8</f>
        <v/>
      </c>
    </row>
    <row r="8">
      <c r="A8" s="8" t="inlineStr">
        <is>
          <t>Monthly Payment</t>
        </is>
      </c>
      <c r="B8" s="35">
        <f>PMT(B5/12,B6*12,-B4)</f>
        <v/>
      </c>
      <c r="C8" s="10" t="inlineStr">
        <is>
          <t>Standard amortizing payment.</t>
        </is>
      </c>
    </row>
    <row r="9">
      <c r="A9" s="21" t="inlineStr">
        <is>
          <t>Annual Debt Service</t>
        </is>
      </c>
      <c r="B9" s="36">
        <f>B8*12</f>
        <v/>
      </c>
    </row>
    <row r="10">
      <c r="A10" s="8" t="inlineStr">
        <is>
          <t>DSCR (Year-1 NOI)</t>
        </is>
      </c>
      <c r="B10" s="37">
        <f>'Pro Forma'!$B$8/B9</f>
        <v/>
      </c>
      <c r="C10" s="10" t="inlineStr">
        <is>
          <t>NOI / debt service. Lenders want &gt;= ~1.25x.</t>
        </is>
      </c>
    </row>
    <row r="11">
      <c r="A11" s="8" t="inlineStr">
        <is>
          <t>Debt Yield (Year-1 NOI)</t>
        </is>
      </c>
      <c r="B11" s="32">
        <f>'Pro Forma'!$B$8/B4</f>
        <v/>
      </c>
      <c r="C11" s="10" t="inlineStr">
        <is>
          <t>NOI / loan.</t>
        </is>
      </c>
    </row>
    <row r="12">
      <c r="A12" s="8" t="inlineStr">
        <is>
          <t>Loan Balance at Exit</t>
        </is>
      </c>
      <c r="B12" s="12">
        <f>B8*(1-(1+B5/12)^-(B6*12-B7*12))/(B5/12)</f>
        <v/>
      </c>
      <c r="C12" s="10" t="inlineStr">
        <is>
          <t>Remaining principal in the hold year.</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 t="inlineStr">
        <is>
          <t>Returns  —  levered &amp; unlevered (exits in the hold year)</t>
        </is>
      </c>
    </row>
    <row r="3">
      <c r="A3" s="20" t="inlineStr">
        <is>
          <t>Line Item</t>
        </is>
      </c>
      <c r="B3" s="20" t="inlineStr">
        <is>
          <t>Year 0</t>
        </is>
      </c>
      <c r="C3" s="20" t="inlineStr">
        <is>
          <t>Year 1</t>
        </is>
      </c>
      <c r="D3" s="20" t="inlineStr">
        <is>
          <t>Year 2</t>
        </is>
      </c>
      <c r="E3" s="20" t="inlineStr">
        <is>
          <t>Year 3</t>
        </is>
      </c>
      <c r="F3" s="20" t="inlineStr">
        <is>
          <t>Year 4</t>
        </is>
      </c>
      <c r="G3" s="20" t="inlineStr">
        <is>
          <t>Year 5</t>
        </is>
      </c>
      <c r="H3" s="20" t="inlineStr">
        <is>
          <t>Year 6</t>
        </is>
      </c>
      <c r="I3" s="20" t="inlineStr">
        <is>
          <t>Year 7</t>
        </is>
      </c>
      <c r="J3" s="20" t="inlineStr">
        <is>
          <t>Year 8</t>
        </is>
      </c>
      <c r="K3" s="20" t="inlineStr">
        <is>
          <t>Year 9</t>
        </is>
      </c>
      <c r="L3" s="20" t="inlineStr">
        <is>
          <t>Year 10</t>
        </is>
      </c>
    </row>
    <row r="4">
      <c r="A4" s="25" t="inlineStr">
        <is>
          <t>Year #</t>
        </is>
      </c>
      <c r="B4" s="38" t="n">
        <v>0</v>
      </c>
      <c r="C4" s="38" t="n">
        <v>1</v>
      </c>
      <c r="D4" s="38" t="n">
        <v>2</v>
      </c>
      <c r="E4" s="38" t="n">
        <v>3</v>
      </c>
      <c r="F4" s="38" t="n">
        <v>4</v>
      </c>
      <c r="G4" s="38" t="n">
        <v>5</v>
      </c>
      <c r="H4" s="38" t="n">
        <v>6</v>
      </c>
      <c r="I4" s="38" t="n">
        <v>7</v>
      </c>
      <c r="J4" s="38" t="n">
        <v>8</v>
      </c>
      <c r="K4" s="38" t="n">
        <v>9</v>
      </c>
      <c r="L4" s="38" t="n">
        <v>10</v>
      </c>
    </row>
    <row r="5">
      <c r="A5" s="8" t="inlineStr">
        <is>
          <t>NOI (from Pro Forma)</t>
        </is>
      </c>
      <c r="C5" s="12">
        <f>IF(AND(C$4&gt;=1,C$4&lt;='Assumptions'!$B$8),'Pro Forma'!B8,0)</f>
        <v/>
      </c>
      <c r="D5" s="12">
        <f>IF(AND(D$4&gt;=1,D$4&lt;='Assumptions'!$B$8),'Pro Forma'!C8,0)</f>
        <v/>
      </c>
      <c r="E5" s="12">
        <f>IF(AND(E$4&gt;=1,E$4&lt;='Assumptions'!$B$8),'Pro Forma'!D8,0)</f>
        <v/>
      </c>
      <c r="F5" s="12">
        <f>IF(AND(F$4&gt;=1,F$4&lt;='Assumptions'!$B$8),'Pro Forma'!E8,0)</f>
        <v/>
      </c>
      <c r="G5" s="12">
        <f>IF(AND(G$4&gt;=1,G$4&lt;='Assumptions'!$B$8),'Pro Forma'!F8,0)</f>
        <v/>
      </c>
      <c r="H5" s="12">
        <f>IF(AND(H$4&gt;=1,H$4&lt;='Assumptions'!$B$8),'Pro Forma'!G8,0)</f>
        <v/>
      </c>
      <c r="I5" s="12">
        <f>IF(AND(I$4&gt;=1,I$4&lt;='Assumptions'!$B$8),'Pro Forma'!H8,0)</f>
        <v/>
      </c>
      <c r="J5" s="12">
        <f>IF(AND(J$4&gt;=1,J$4&lt;='Assumptions'!$B$8),'Pro Forma'!I8,0)</f>
        <v/>
      </c>
      <c r="K5" s="12">
        <f>IF(AND(K$4&gt;=1,K$4&lt;='Assumptions'!$B$8),'Pro Forma'!J8,0)</f>
        <v/>
      </c>
      <c r="L5" s="12">
        <f>IF(AND(L$4&gt;=1,L$4&lt;='Assumptions'!$B$8),'Pro Forma'!K8,0)</f>
        <v/>
      </c>
    </row>
    <row r="6">
      <c r="A6" s="8" t="inlineStr">
        <is>
          <t>Debt Service</t>
        </is>
      </c>
      <c r="C6" s="12">
        <f>IF(AND(C$4&gt;=1,C$4&lt;='Assumptions'!$B$8),-'Debt'!$B$9,0)</f>
        <v/>
      </c>
      <c r="D6" s="12">
        <f>IF(AND(D$4&gt;=1,D$4&lt;='Assumptions'!$B$8),-'Debt'!$B$9,0)</f>
        <v/>
      </c>
      <c r="E6" s="12">
        <f>IF(AND(E$4&gt;=1,E$4&lt;='Assumptions'!$B$8),-'Debt'!$B$9,0)</f>
        <v/>
      </c>
      <c r="F6" s="12">
        <f>IF(AND(F$4&gt;=1,F$4&lt;='Assumptions'!$B$8),-'Debt'!$B$9,0)</f>
        <v/>
      </c>
      <c r="G6" s="12">
        <f>IF(AND(G$4&gt;=1,G$4&lt;='Assumptions'!$B$8),-'Debt'!$B$9,0)</f>
        <v/>
      </c>
      <c r="H6" s="12">
        <f>IF(AND(H$4&gt;=1,H$4&lt;='Assumptions'!$B$8),-'Debt'!$B$9,0)</f>
        <v/>
      </c>
      <c r="I6" s="12">
        <f>IF(AND(I$4&gt;=1,I$4&lt;='Assumptions'!$B$8),-'Debt'!$B$9,0)</f>
        <v/>
      </c>
      <c r="J6" s="12">
        <f>IF(AND(J$4&gt;=1,J$4&lt;='Assumptions'!$B$8),-'Debt'!$B$9,0)</f>
        <v/>
      </c>
      <c r="K6" s="12">
        <f>IF(AND(K$4&gt;=1,K$4&lt;='Assumptions'!$B$8),-'Debt'!$B$9,0)</f>
        <v/>
      </c>
      <c r="L6" s="12">
        <f>IF(AND(L$4&gt;=1,L$4&lt;='Assumptions'!$B$8),-'Debt'!$B$9,0)</f>
        <v/>
      </c>
    </row>
    <row r="7">
      <c r="A7" s="8" t="inlineStr">
        <is>
          <t>Operating CF (levered)</t>
        </is>
      </c>
      <c r="C7" s="12">
        <f>C5+C6</f>
        <v/>
      </c>
      <c r="D7" s="12">
        <f>D5+D6</f>
        <v/>
      </c>
      <c r="E7" s="12">
        <f>E5+E6</f>
        <v/>
      </c>
      <c r="F7" s="12">
        <f>F5+F6</f>
        <v/>
      </c>
      <c r="G7" s="12">
        <f>G5+G6</f>
        <v/>
      </c>
      <c r="H7" s="12">
        <f>H5+H6</f>
        <v/>
      </c>
      <c r="I7" s="12">
        <f>I5+I6</f>
        <v/>
      </c>
      <c r="J7" s="12">
        <f>J5+J6</f>
        <v/>
      </c>
      <c r="K7" s="12">
        <f>K5+K6</f>
        <v/>
      </c>
      <c r="L7" s="12">
        <f>L5+L6</f>
        <v/>
      </c>
    </row>
    <row r="8">
      <c r="A8" s="8" t="inlineStr">
        <is>
          <t>Gross Sale Price (exit)</t>
        </is>
      </c>
      <c r="C8" s="12">
        <f>IF(C$4='Assumptions'!$B$8,C5/'Assumptions'!$B$9,0)</f>
        <v/>
      </c>
      <c r="D8" s="12">
        <f>IF(D$4='Assumptions'!$B$8,D5/'Assumptions'!$B$9,0)</f>
        <v/>
      </c>
      <c r="E8" s="12">
        <f>IF(E$4='Assumptions'!$B$8,E5/'Assumptions'!$B$9,0)</f>
        <v/>
      </c>
      <c r="F8" s="12">
        <f>IF(F$4='Assumptions'!$B$8,F5/'Assumptions'!$B$9,0)</f>
        <v/>
      </c>
      <c r="G8" s="12">
        <f>IF(G$4='Assumptions'!$B$8,G5/'Assumptions'!$B$9,0)</f>
        <v/>
      </c>
      <c r="H8" s="12">
        <f>IF(H$4='Assumptions'!$B$8,H5/'Assumptions'!$B$9,0)</f>
        <v/>
      </c>
      <c r="I8" s="12">
        <f>IF(I$4='Assumptions'!$B$8,I5/'Assumptions'!$B$9,0)</f>
        <v/>
      </c>
      <c r="J8" s="12">
        <f>IF(J$4='Assumptions'!$B$8,J5/'Assumptions'!$B$9,0)</f>
        <v/>
      </c>
      <c r="K8" s="12">
        <f>IF(K$4='Assumptions'!$B$8,K5/'Assumptions'!$B$9,0)</f>
        <v/>
      </c>
      <c r="L8" s="12">
        <f>IF(L$4='Assumptions'!$B$8,L5/'Assumptions'!$B$9,0)</f>
        <v/>
      </c>
    </row>
    <row r="9">
      <c r="A9" s="8" t="inlineStr">
        <is>
          <t>Less: Selling Costs</t>
        </is>
      </c>
      <c r="C9" s="12">
        <f>-C8*'Assumptions'!$B$10</f>
        <v/>
      </c>
      <c r="D9" s="12">
        <f>-D8*'Assumptions'!$B$10</f>
        <v/>
      </c>
      <c r="E9" s="12">
        <f>-E8*'Assumptions'!$B$10</f>
        <v/>
      </c>
      <c r="F9" s="12">
        <f>-F8*'Assumptions'!$B$10</f>
        <v/>
      </c>
      <c r="G9" s="12">
        <f>-G8*'Assumptions'!$B$10</f>
        <v/>
      </c>
      <c r="H9" s="12">
        <f>-H8*'Assumptions'!$B$10</f>
        <v/>
      </c>
      <c r="I9" s="12">
        <f>-I8*'Assumptions'!$B$10</f>
        <v/>
      </c>
      <c r="J9" s="12">
        <f>-J8*'Assumptions'!$B$10</f>
        <v/>
      </c>
      <c r="K9" s="12">
        <f>-K8*'Assumptions'!$B$10</f>
        <v/>
      </c>
      <c r="L9" s="12">
        <f>-L8*'Assumptions'!$B$10</f>
        <v/>
      </c>
    </row>
    <row r="10">
      <c r="A10" s="8" t="inlineStr">
        <is>
          <t>Less: Loan Payoff</t>
        </is>
      </c>
      <c r="C10" s="12">
        <f>IF(C$4='Assumptions'!$B$8,-'Debt'!$B$12,0)</f>
        <v/>
      </c>
      <c r="D10" s="12">
        <f>IF(D$4='Assumptions'!$B$8,-'Debt'!$B$12,0)</f>
        <v/>
      </c>
      <c r="E10" s="12">
        <f>IF(E$4='Assumptions'!$B$8,-'Debt'!$B$12,0)</f>
        <v/>
      </c>
      <c r="F10" s="12">
        <f>IF(F$4='Assumptions'!$B$8,-'Debt'!$B$12,0)</f>
        <v/>
      </c>
      <c r="G10" s="12">
        <f>IF(G$4='Assumptions'!$B$8,-'Debt'!$B$12,0)</f>
        <v/>
      </c>
      <c r="H10" s="12">
        <f>IF(H$4='Assumptions'!$B$8,-'Debt'!$B$12,0)</f>
        <v/>
      </c>
      <c r="I10" s="12">
        <f>IF(I$4='Assumptions'!$B$8,-'Debt'!$B$12,0)</f>
        <v/>
      </c>
      <c r="J10" s="12">
        <f>IF(J$4='Assumptions'!$B$8,-'Debt'!$B$12,0)</f>
        <v/>
      </c>
      <c r="K10" s="12">
        <f>IF(K$4='Assumptions'!$B$8,-'Debt'!$B$12,0)</f>
        <v/>
      </c>
      <c r="L10" s="12">
        <f>IF(L$4='Assumptions'!$B$8,-'Debt'!$B$12,0)</f>
        <v/>
      </c>
    </row>
    <row r="11">
      <c r="A11" s="8" t="inlineStr">
        <is>
          <t>Net Sale Proceeds</t>
        </is>
      </c>
      <c r="C11" s="12">
        <f>C8+C9+C10</f>
        <v/>
      </c>
      <c r="D11" s="12">
        <f>D8+D9+D10</f>
        <v/>
      </c>
      <c r="E11" s="12">
        <f>E8+E9+E10</f>
        <v/>
      </c>
      <c r="F11" s="12">
        <f>F8+F9+F10</f>
        <v/>
      </c>
      <c r="G11" s="12">
        <f>G8+G9+G10</f>
        <v/>
      </c>
      <c r="H11" s="12">
        <f>H8+H9+H10</f>
        <v/>
      </c>
      <c r="I11" s="12">
        <f>I8+I9+I10</f>
        <v/>
      </c>
      <c r="J11" s="12">
        <f>J8+J9+J10</f>
        <v/>
      </c>
      <c r="K11" s="12">
        <f>K8+K9+K10</f>
        <v/>
      </c>
      <c r="L11" s="12">
        <f>L8+L9+L10</f>
        <v/>
      </c>
    </row>
    <row r="12">
      <c r="A12" s="21" t="inlineStr">
        <is>
          <t>Net Levered Cash Flow</t>
        </is>
      </c>
      <c r="B12" s="39">
        <f>-'Sources &amp; Uses'!$B$11</f>
        <v/>
      </c>
      <c r="C12" s="24">
        <f>C7+C11</f>
        <v/>
      </c>
      <c r="D12" s="24">
        <f>D7+D11</f>
        <v/>
      </c>
      <c r="E12" s="24">
        <f>E7+E11</f>
        <v/>
      </c>
      <c r="F12" s="24">
        <f>F7+F11</f>
        <v/>
      </c>
      <c r="G12" s="24">
        <f>G7+G11</f>
        <v/>
      </c>
      <c r="H12" s="24">
        <f>H7+H11</f>
        <v/>
      </c>
      <c r="I12" s="24">
        <f>I7+I11</f>
        <v/>
      </c>
      <c r="J12" s="24">
        <f>J7+J11</f>
        <v/>
      </c>
      <c r="K12" s="24">
        <f>K7+K11</f>
        <v/>
      </c>
      <c r="L12" s="24">
        <f>L7+L11</f>
        <v/>
      </c>
    </row>
    <row r="13">
      <c r="A13" s="21" t="inlineStr">
        <is>
          <t>Net Unlevered Cash Flow</t>
        </is>
      </c>
      <c r="B13" s="39">
        <f>-'Sources &amp; Uses'!$B$7</f>
        <v/>
      </c>
      <c r="C13" s="24">
        <f>C5+C8+C9</f>
        <v/>
      </c>
      <c r="D13" s="24">
        <f>D5+D8+D9</f>
        <v/>
      </c>
      <c r="E13" s="24">
        <f>E5+E8+E9</f>
        <v/>
      </c>
      <c r="F13" s="24">
        <f>F5+F8+F9</f>
        <v/>
      </c>
      <c r="G13" s="24">
        <f>G5+G8+G9</f>
        <v/>
      </c>
      <c r="H13" s="24">
        <f>H5+H8+H9</f>
        <v/>
      </c>
      <c r="I13" s="24">
        <f>I5+I8+I9</f>
        <v/>
      </c>
      <c r="J13" s="24">
        <f>J5+J8+J9</f>
        <v/>
      </c>
      <c r="K13" s="24">
        <f>K5+K8+K9</f>
        <v/>
      </c>
      <c r="L13" s="24">
        <f>L5+L8+L9</f>
        <v/>
      </c>
    </row>
    <row r="15">
      <c r="A15" s="6" t="inlineStr">
        <is>
          <t>RETURN METRICS</t>
        </is>
      </c>
      <c r="B15" s="7" t="n"/>
      <c r="C15" s="7" t="n"/>
      <c r="D15" s="7" t="n"/>
      <c r="E15" s="7" t="n"/>
      <c r="F15" s="7" t="n"/>
      <c r="G15" s="7" t="n"/>
      <c r="H15" s="7" t="n"/>
      <c r="I15" s="7" t="n"/>
      <c r="J15" s="7" t="n"/>
      <c r="K15" s="7" t="n"/>
      <c r="L15" s="7" t="n"/>
    </row>
    <row r="16">
      <c r="A16" s="8" t="inlineStr">
        <is>
          <t>Levered IRR</t>
        </is>
      </c>
      <c r="B16" s="40">
        <f>IRR(B12:L12)</f>
        <v/>
      </c>
      <c r="D16" s="10" t="inlineStr">
        <is>
          <t>Annualized return to equity.</t>
        </is>
      </c>
    </row>
    <row r="17">
      <c r="A17" s="8" t="inlineStr">
        <is>
          <t>Levered Equity Multiple</t>
        </is>
      </c>
      <c r="B17" s="41">
        <f>SUM(C12:L12)/'Sources &amp; Uses'!$B$11</f>
        <v/>
      </c>
      <c r="D17" s="10" t="inlineStr">
        <is>
          <t>Total cash returned / equity in.</t>
        </is>
      </c>
    </row>
    <row r="18">
      <c r="A18" s="8" t="inlineStr">
        <is>
          <t>Avg Cash-on-Cash (levered)</t>
        </is>
      </c>
      <c r="B18" s="40">
        <f>SUM(C7:L7)/'Assumptions'!$B$8/'Sources &amp; Uses'!$B$11</f>
        <v/>
      </c>
      <c r="D18" s="10" t="inlineStr">
        <is>
          <t>Avg annual operating CF / equity over the hold.</t>
        </is>
      </c>
    </row>
    <row r="19">
      <c r="A19" s="8" t="inlineStr">
        <is>
          <t>Unlevered IRR</t>
        </is>
      </c>
      <c r="B19" s="40">
        <f>IRR(B13:L13)</f>
        <v/>
      </c>
    </row>
    <row r="20">
      <c r="A20" s="8" t="inlineStr">
        <is>
          <t>Unlevered Equity Multiple</t>
        </is>
      </c>
      <c r="B20" s="41">
        <f>SUM(C13:L13)/'Sources &amp; Uses'!$B$7</f>
        <v/>
      </c>
    </row>
    <row r="21">
      <c r="A21" s="8" t="inlineStr">
        <is>
          <t>Going-in Cap (as-is)</t>
        </is>
      </c>
      <c r="B21" s="42">
        <f>'Assumptions'!$B$7</f>
        <v/>
      </c>
    </row>
    <row r="22">
      <c r="A22" s="8" t="inlineStr">
        <is>
          <t>Exit Cap</t>
        </is>
      </c>
      <c r="B22" s="42">
        <f>'Assumptions'!$B$9</f>
        <v/>
      </c>
    </row>
    <row r="23">
      <c r="A23" s="8" t="inlineStr">
        <is>
          <t>Hold Period (yrs)</t>
        </is>
      </c>
      <c r="B23" s="22">
        <f>'Assumptions'!$B$8</f>
        <v/>
      </c>
    </row>
  </sheetData>
  <mergeCells count="1">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3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s>
  <sheetData>
    <row r="1" ht="26" customHeight="1">
      <c r="A1" s="1" t="inlineStr">
        <is>
          <t>Sensitivity  —  Levered IRR:  Exit Cap (cols) x Rent Growth (rows)</t>
        </is>
      </c>
    </row>
    <row r="5">
      <c r="B5" s="43" t="inlineStr">
        <is>
          <t>Growth \ Exit Cap</t>
        </is>
      </c>
      <c r="C5" s="44" t="n">
        <v>0.05</v>
      </c>
      <c r="D5" s="44" t="n">
        <v>0.055</v>
      </c>
      <c r="E5" s="44" t="n">
        <v>0.06</v>
      </c>
      <c r="F5" s="44" t="n">
        <v>0.065</v>
      </c>
      <c r="G5" s="44" t="n">
        <v>0.07000000000000001</v>
      </c>
    </row>
    <row r="6">
      <c r="B6" s="45" t="n">
        <v>0.01</v>
      </c>
      <c r="C6" s="46">
        <f>B$33</f>
        <v/>
      </c>
      <c r="D6" s="46">
        <f>C$33</f>
        <v/>
      </c>
      <c r="E6" s="46">
        <f>D$33</f>
        <v/>
      </c>
      <c r="F6" s="46">
        <f>E$33</f>
        <v/>
      </c>
      <c r="G6" s="46">
        <f>F$33</f>
        <v/>
      </c>
    </row>
    <row r="7">
      <c r="B7" s="45" t="n">
        <v>0.02</v>
      </c>
      <c r="C7" s="46">
        <f>G$33</f>
        <v/>
      </c>
      <c r="D7" s="46">
        <f>H$33</f>
        <v/>
      </c>
      <c r="E7" s="46">
        <f>I$33</f>
        <v/>
      </c>
      <c r="F7" s="46">
        <f>J$33</f>
        <v/>
      </c>
      <c r="G7" s="46">
        <f>K$33</f>
        <v/>
      </c>
    </row>
    <row r="8">
      <c r="B8" s="45" t="n">
        <v>0.03</v>
      </c>
      <c r="C8" s="46">
        <f>L$33</f>
        <v/>
      </c>
      <c r="D8" s="46">
        <f>M$33</f>
        <v/>
      </c>
      <c r="E8" s="47">
        <f>N$33</f>
        <v/>
      </c>
      <c r="F8" s="46">
        <f>O$33</f>
        <v/>
      </c>
      <c r="G8" s="46">
        <f>P$33</f>
        <v/>
      </c>
    </row>
    <row r="9">
      <c r="B9" s="45" t="n">
        <v>0.04</v>
      </c>
      <c r="C9" s="46">
        <f>Q$33</f>
        <v/>
      </c>
      <c r="D9" s="46">
        <f>R$33</f>
        <v/>
      </c>
      <c r="E9" s="46">
        <f>S$33</f>
        <v/>
      </c>
      <c r="F9" s="46">
        <f>T$33</f>
        <v/>
      </c>
      <c r="G9" s="46">
        <f>U$33</f>
        <v/>
      </c>
    </row>
    <row r="10">
      <c r="B10" s="45" t="n">
        <v>0.05</v>
      </c>
      <c r="C10" s="46">
        <f>V$33</f>
        <v/>
      </c>
      <c r="D10" s="46">
        <f>W$33</f>
        <v/>
      </c>
      <c r="E10" s="46">
        <f>X$33</f>
        <v/>
      </c>
      <c r="F10" s="46">
        <f>Y$33</f>
        <v/>
      </c>
      <c r="G10" s="46">
        <f>Z$33</f>
        <v/>
      </c>
    </row>
    <row r="12">
      <c r="B12" s="10" t="inlineStr">
        <is>
          <t>Center cell (3% / 6.0%) = Returns levered IRR. Green shading is your base case.</t>
        </is>
      </c>
    </row>
    <row r="19">
      <c r="A19" s="6" t="inlineStr">
        <is>
          <t>BACKING CALCULATIONS (do not edit) — one column per scenario</t>
        </is>
      </c>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row>
    <row r="20">
      <c r="A20" s="25" t="inlineStr">
        <is>
          <t>Rent Growth (g)</t>
        </is>
      </c>
      <c r="B20" s="13">
        <f>$B$6</f>
        <v/>
      </c>
      <c r="C20" s="13">
        <f>$B$6</f>
        <v/>
      </c>
      <c r="D20" s="13">
        <f>$B$6</f>
        <v/>
      </c>
      <c r="E20" s="13">
        <f>$B$6</f>
        <v/>
      </c>
      <c r="F20" s="13">
        <f>$B$6</f>
        <v/>
      </c>
      <c r="G20" s="13">
        <f>$B$7</f>
        <v/>
      </c>
      <c r="H20" s="13">
        <f>$B$7</f>
        <v/>
      </c>
      <c r="I20" s="13">
        <f>$B$7</f>
        <v/>
      </c>
      <c r="J20" s="13">
        <f>$B$7</f>
        <v/>
      </c>
      <c r="K20" s="13">
        <f>$B$7</f>
        <v/>
      </c>
      <c r="L20" s="13">
        <f>$B$8</f>
        <v/>
      </c>
      <c r="M20" s="13">
        <f>$B$8</f>
        <v/>
      </c>
      <c r="N20" s="13">
        <f>$B$8</f>
        <v/>
      </c>
      <c r="O20" s="13">
        <f>$B$8</f>
        <v/>
      </c>
      <c r="P20" s="13">
        <f>$B$8</f>
        <v/>
      </c>
      <c r="Q20" s="13">
        <f>$B$9</f>
        <v/>
      </c>
      <c r="R20" s="13">
        <f>$B$9</f>
        <v/>
      </c>
      <c r="S20" s="13">
        <f>$B$9</f>
        <v/>
      </c>
      <c r="T20" s="13">
        <f>$B$9</f>
        <v/>
      </c>
      <c r="U20" s="13">
        <f>$B$9</f>
        <v/>
      </c>
      <c r="V20" s="13">
        <f>$B$10</f>
        <v/>
      </c>
      <c r="W20" s="13">
        <f>$B$10</f>
        <v/>
      </c>
      <c r="X20" s="13">
        <f>$B$10</f>
        <v/>
      </c>
      <c r="Y20" s="13">
        <f>$B$10</f>
        <v/>
      </c>
      <c r="Z20" s="13">
        <f>$B$10</f>
        <v/>
      </c>
    </row>
    <row r="21">
      <c r="A21" s="25" t="inlineStr">
        <is>
          <t>Exit Cap (X)</t>
        </is>
      </c>
      <c r="B21" s="13">
        <f>C$5</f>
        <v/>
      </c>
      <c r="C21" s="13">
        <f>D$5</f>
        <v/>
      </c>
      <c r="D21" s="13">
        <f>E$5</f>
        <v/>
      </c>
      <c r="E21" s="13">
        <f>F$5</f>
        <v/>
      </c>
      <c r="F21" s="13">
        <f>G$5</f>
        <v/>
      </c>
      <c r="G21" s="13">
        <f>C$5</f>
        <v/>
      </c>
      <c r="H21" s="13">
        <f>D$5</f>
        <v/>
      </c>
      <c r="I21" s="13">
        <f>E$5</f>
        <v/>
      </c>
      <c r="J21" s="13">
        <f>F$5</f>
        <v/>
      </c>
      <c r="K21" s="13">
        <f>G$5</f>
        <v/>
      </c>
      <c r="L21" s="13">
        <f>C$5</f>
        <v/>
      </c>
      <c r="M21" s="13">
        <f>D$5</f>
        <v/>
      </c>
      <c r="N21" s="13">
        <f>E$5</f>
        <v/>
      </c>
      <c r="O21" s="13">
        <f>F$5</f>
        <v/>
      </c>
      <c r="P21" s="13">
        <f>G$5</f>
        <v/>
      </c>
      <c r="Q21" s="13">
        <f>C$5</f>
        <v/>
      </c>
      <c r="R21" s="13">
        <f>D$5</f>
        <v/>
      </c>
      <c r="S21" s="13">
        <f>E$5</f>
        <v/>
      </c>
      <c r="T21" s="13">
        <f>F$5</f>
        <v/>
      </c>
      <c r="U21" s="13">
        <f>G$5</f>
        <v/>
      </c>
      <c r="V21" s="13">
        <f>C$5</f>
        <v/>
      </c>
      <c r="W21" s="13">
        <f>D$5</f>
        <v/>
      </c>
      <c r="X21" s="13">
        <f>E$5</f>
        <v/>
      </c>
      <c r="Y21" s="13">
        <f>F$5</f>
        <v/>
      </c>
      <c r="Z21" s="13">
        <f>G$5</f>
        <v/>
      </c>
    </row>
    <row r="22">
      <c r="A22" s="25" t="inlineStr">
        <is>
          <t>CF Year 0</t>
        </is>
      </c>
      <c r="B22" s="12">
        <f>-'Sources &amp; Uses'!$B$11</f>
        <v/>
      </c>
      <c r="C22" s="12">
        <f>-'Sources &amp; Uses'!$B$11</f>
        <v/>
      </c>
      <c r="D22" s="12">
        <f>-'Sources &amp; Uses'!$B$11</f>
        <v/>
      </c>
      <c r="E22" s="12">
        <f>-'Sources &amp; Uses'!$B$11</f>
        <v/>
      </c>
      <c r="F22" s="12">
        <f>-'Sources &amp; Uses'!$B$11</f>
        <v/>
      </c>
      <c r="G22" s="12">
        <f>-'Sources &amp; Uses'!$B$11</f>
        <v/>
      </c>
      <c r="H22" s="12">
        <f>-'Sources &amp; Uses'!$B$11</f>
        <v/>
      </c>
      <c r="I22" s="12">
        <f>-'Sources &amp; Uses'!$B$11</f>
        <v/>
      </c>
      <c r="J22" s="12">
        <f>-'Sources &amp; Uses'!$B$11</f>
        <v/>
      </c>
      <c r="K22" s="12">
        <f>-'Sources &amp; Uses'!$B$11</f>
        <v/>
      </c>
      <c r="L22" s="12">
        <f>-'Sources &amp; Uses'!$B$11</f>
        <v/>
      </c>
      <c r="M22" s="12">
        <f>-'Sources &amp; Uses'!$B$11</f>
        <v/>
      </c>
      <c r="N22" s="12">
        <f>-'Sources &amp; Uses'!$B$11</f>
        <v/>
      </c>
      <c r="O22" s="12">
        <f>-'Sources &amp; Uses'!$B$11</f>
        <v/>
      </c>
      <c r="P22" s="12">
        <f>-'Sources &amp; Uses'!$B$11</f>
        <v/>
      </c>
      <c r="Q22" s="12">
        <f>-'Sources &amp; Uses'!$B$11</f>
        <v/>
      </c>
      <c r="R22" s="12">
        <f>-'Sources &amp; Uses'!$B$11</f>
        <v/>
      </c>
      <c r="S22" s="12">
        <f>-'Sources &amp; Uses'!$B$11</f>
        <v/>
      </c>
      <c r="T22" s="12">
        <f>-'Sources &amp; Uses'!$B$11</f>
        <v/>
      </c>
      <c r="U22" s="12">
        <f>-'Sources &amp; Uses'!$B$11</f>
        <v/>
      </c>
      <c r="V22" s="12">
        <f>-'Sources &amp; Uses'!$B$11</f>
        <v/>
      </c>
      <c r="W22" s="12">
        <f>-'Sources &amp; Uses'!$B$11</f>
        <v/>
      </c>
      <c r="X22" s="12">
        <f>-'Sources &amp; Uses'!$B$11</f>
        <v/>
      </c>
      <c r="Y22" s="12">
        <f>-'Sources &amp; Uses'!$B$11</f>
        <v/>
      </c>
      <c r="Z22" s="12">
        <f>-'Sources &amp; Uses'!$B$11</f>
        <v/>
      </c>
    </row>
    <row r="23">
      <c r="A23" s="25" t="inlineStr">
        <is>
          <t>CF Year 1</t>
        </is>
      </c>
      <c r="B23" s="12">
        <f>IF(1&lt;='Assumptions'!$B$8,('P&amp;L'!$C$10*(1+B$20)^0+'Renovation'!B$18-'P&amp;L'!$C$23*(1+'Assumptions'!$B$15)^0)-'Debt'!$B$9,0)+IF(1='Assumptions'!$B$8,('P&amp;L'!$C$10*(1+B$20)^0+'Renovation'!B$18-'P&amp;L'!$C$23*(1+'Assumptions'!$B$15)^0)/B$21*(1-'Assumptions'!$B$10)-'Debt'!$B$12,0)</f>
        <v/>
      </c>
      <c r="C23" s="12">
        <f>IF(1&lt;='Assumptions'!$B$8,('P&amp;L'!$C$10*(1+C$20)^0+'Renovation'!B$18-'P&amp;L'!$C$23*(1+'Assumptions'!$B$15)^0)-'Debt'!$B$9,0)+IF(1='Assumptions'!$B$8,('P&amp;L'!$C$10*(1+C$20)^0+'Renovation'!B$18-'P&amp;L'!$C$23*(1+'Assumptions'!$B$15)^0)/C$21*(1-'Assumptions'!$B$10)-'Debt'!$B$12,0)</f>
        <v/>
      </c>
      <c r="D23" s="12">
        <f>IF(1&lt;='Assumptions'!$B$8,('P&amp;L'!$C$10*(1+D$20)^0+'Renovation'!B$18-'P&amp;L'!$C$23*(1+'Assumptions'!$B$15)^0)-'Debt'!$B$9,0)+IF(1='Assumptions'!$B$8,('P&amp;L'!$C$10*(1+D$20)^0+'Renovation'!B$18-'P&amp;L'!$C$23*(1+'Assumptions'!$B$15)^0)/D$21*(1-'Assumptions'!$B$10)-'Debt'!$B$12,0)</f>
        <v/>
      </c>
      <c r="E23" s="12">
        <f>IF(1&lt;='Assumptions'!$B$8,('P&amp;L'!$C$10*(1+E$20)^0+'Renovation'!B$18-'P&amp;L'!$C$23*(1+'Assumptions'!$B$15)^0)-'Debt'!$B$9,0)+IF(1='Assumptions'!$B$8,('P&amp;L'!$C$10*(1+E$20)^0+'Renovation'!B$18-'P&amp;L'!$C$23*(1+'Assumptions'!$B$15)^0)/E$21*(1-'Assumptions'!$B$10)-'Debt'!$B$12,0)</f>
        <v/>
      </c>
      <c r="F23" s="12">
        <f>IF(1&lt;='Assumptions'!$B$8,('P&amp;L'!$C$10*(1+F$20)^0+'Renovation'!B$18-'P&amp;L'!$C$23*(1+'Assumptions'!$B$15)^0)-'Debt'!$B$9,0)+IF(1='Assumptions'!$B$8,('P&amp;L'!$C$10*(1+F$20)^0+'Renovation'!B$18-'P&amp;L'!$C$23*(1+'Assumptions'!$B$15)^0)/F$21*(1-'Assumptions'!$B$10)-'Debt'!$B$12,0)</f>
        <v/>
      </c>
      <c r="G23" s="12">
        <f>IF(1&lt;='Assumptions'!$B$8,('P&amp;L'!$C$10*(1+G$20)^0+'Renovation'!B$18-'P&amp;L'!$C$23*(1+'Assumptions'!$B$15)^0)-'Debt'!$B$9,0)+IF(1='Assumptions'!$B$8,('P&amp;L'!$C$10*(1+G$20)^0+'Renovation'!B$18-'P&amp;L'!$C$23*(1+'Assumptions'!$B$15)^0)/G$21*(1-'Assumptions'!$B$10)-'Debt'!$B$12,0)</f>
        <v/>
      </c>
      <c r="H23" s="12">
        <f>IF(1&lt;='Assumptions'!$B$8,('P&amp;L'!$C$10*(1+H$20)^0+'Renovation'!B$18-'P&amp;L'!$C$23*(1+'Assumptions'!$B$15)^0)-'Debt'!$B$9,0)+IF(1='Assumptions'!$B$8,('P&amp;L'!$C$10*(1+H$20)^0+'Renovation'!B$18-'P&amp;L'!$C$23*(1+'Assumptions'!$B$15)^0)/H$21*(1-'Assumptions'!$B$10)-'Debt'!$B$12,0)</f>
        <v/>
      </c>
      <c r="I23" s="12">
        <f>IF(1&lt;='Assumptions'!$B$8,('P&amp;L'!$C$10*(1+I$20)^0+'Renovation'!B$18-'P&amp;L'!$C$23*(1+'Assumptions'!$B$15)^0)-'Debt'!$B$9,0)+IF(1='Assumptions'!$B$8,('P&amp;L'!$C$10*(1+I$20)^0+'Renovation'!B$18-'P&amp;L'!$C$23*(1+'Assumptions'!$B$15)^0)/I$21*(1-'Assumptions'!$B$10)-'Debt'!$B$12,0)</f>
        <v/>
      </c>
      <c r="J23" s="12">
        <f>IF(1&lt;='Assumptions'!$B$8,('P&amp;L'!$C$10*(1+J$20)^0+'Renovation'!B$18-'P&amp;L'!$C$23*(1+'Assumptions'!$B$15)^0)-'Debt'!$B$9,0)+IF(1='Assumptions'!$B$8,('P&amp;L'!$C$10*(1+J$20)^0+'Renovation'!B$18-'P&amp;L'!$C$23*(1+'Assumptions'!$B$15)^0)/J$21*(1-'Assumptions'!$B$10)-'Debt'!$B$12,0)</f>
        <v/>
      </c>
      <c r="K23" s="12">
        <f>IF(1&lt;='Assumptions'!$B$8,('P&amp;L'!$C$10*(1+K$20)^0+'Renovation'!B$18-'P&amp;L'!$C$23*(1+'Assumptions'!$B$15)^0)-'Debt'!$B$9,0)+IF(1='Assumptions'!$B$8,('P&amp;L'!$C$10*(1+K$20)^0+'Renovation'!B$18-'P&amp;L'!$C$23*(1+'Assumptions'!$B$15)^0)/K$21*(1-'Assumptions'!$B$10)-'Debt'!$B$12,0)</f>
        <v/>
      </c>
      <c r="L23" s="12">
        <f>IF(1&lt;='Assumptions'!$B$8,('P&amp;L'!$C$10*(1+L$20)^0+'Renovation'!B$18-'P&amp;L'!$C$23*(1+'Assumptions'!$B$15)^0)-'Debt'!$B$9,0)+IF(1='Assumptions'!$B$8,('P&amp;L'!$C$10*(1+L$20)^0+'Renovation'!B$18-'P&amp;L'!$C$23*(1+'Assumptions'!$B$15)^0)/L$21*(1-'Assumptions'!$B$10)-'Debt'!$B$12,0)</f>
        <v/>
      </c>
      <c r="M23" s="12">
        <f>IF(1&lt;='Assumptions'!$B$8,('P&amp;L'!$C$10*(1+M$20)^0+'Renovation'!B$18-'P&amp;L'!$C$23*(1+'Assumptions'!$B$15)^0)-'Debt'!$B$9,0)+IF(1='Assumptions'!$B$8,('P&amp;L'!$C$10*(1+M$20)^0+'Renovation'!B$18-'P&amp;L'!$C$23*(1+'Assumptions'!$B$15)^0)/M$21*(1-'Assumptions'!$B$10)-'Debt'!$B$12,0)</f>
        <v/>
      </c>
      <c r="N23" s="12">
        <f>IF(1&lt;='Assumptions'!$B$8,('P&amp;L'!$C$10*(1+N$20)^0+'Renovation'!B$18-'P&amp;L'!$C$23*(1+'Assumptions'!$B$15)^0)-'Debt'!$B$9,0)+IF(1='Assumptions'!$B$8,('P&amp;L'!$C$10*(1+N$20)^0+'Renovation'!B$18-'P&amp;L'!$C$23*(1+'Assumptions'!$B$15)^0)/N$21*(1-'Assumptions'!$B$10)-'Debt'!$B$12,0)</f>
        <v/>
      </c>
      <c r="O23" s="12">
        <f>IF(1&lt;='Assumptions'!$B$8,('P&amp;L'!$C$10*(1+O$20)^0+'Renovation'!B$18-'P&amp;L'!$C$23*(1+'Assumptions'!$B$15)^0)-'Debt'!$B$9,0)+IF(1='Assumptions'!$B$8,('P&amp;L'!$C$10*(1+O$20)^0+'Renovation'!B$18-'P&amp;L'!$C$23*(1+'Assumptions'!$B$15)^0)/O$21*(1-'Assumptions'!$B$10)-'Debt'!$B$12,0)</f>
        <v/>
      </c>
      <c r="P23" s="12">
        <f>IF(1&lt;='Assumptions'!$B$8,('P&amp;L'!$C$10*(1+P$20)^0+'Renovation'!B$18-'P&amp;L'!$C$23*(1+'Assumptions'!$B$15)^0)-'Debt'!$B$9,0)+IF(1='Assumptions'!$B$8,('P&amp;L'!$C$10*(1+P$20)^0+'Renovation'!B$18-'P&amp;L'!$C$23*(1+'Assumptions'!$B$15)^0)/P$21*(1-'Assumptions'!$B$10)-'Debt'!$B$12,0)</f>
        <v/>
      </c>
      <c r="Q23" s="12">
        <f>IF(1&lt;='Assumptions'!$B$8,('P&amp;L'!$C$10*(1+Q$20)^0+'Renovation'!B$18-'P&amp;L'!$C$23*(1+'Assumptions'!$B$15)^0)-'Debt'!$B$9,0)+IF(1='Assumptions'!$B$8,('P&amp;L'!$C$10*(1+Q$20)^0+'Renovation'!B$18-'P&amp;L'!$C$23*(1+'Assumptions'!$B$15)^0)/Q$21*(1-'Assumptions'!$B$10)-'Debt'!$B$12,0)</f>
        <v/>
      </c>
      <c r="R23" s="12">
        <f>IF(1&lt;='Assumptions'!$B$8,('P&amp;L'!$C$10*(1+R$20)^0+'Renovation'!B$18-'P&amp;L'!$C$23*(1+'Assumptions'!$B$15)^0)-'Debt'!$B$9,0)+IF(1='Assumptions'!$B$8,('P&amp;L'!$C$10*(1+R$20)^0+'Renovation'!B$18-'P&amp;L'!$C$23*(1+'Assumptions'!$B$15)^0)/R$21*(1-'Assumptions'!$B$10)-'Debt'!$B$12,0)</f>
        <v/>
      </c>
      <c r="S23" s="12">
        <f>IF(1&lt;='Assumptions'!$B$8,('P&amp;L'!$C$10*(1+S$20)^0+'Renovation'!B$18-'P&amp;L'!$C$23*(1+'Assumptions'!$B$15)^0)-'Debt'!$B$9,0)+IF(1='Assumptions'!$B$8,('P&amp;L'!$C$10*(1+S$20)^0+'Renovation'!B$18-'P&amp;L'!$C$23*(1+'Assumptions'!$B$15)^0)/S$21*(1-'Assumptions'!$B$10)-'Debt'!$B$12,0)</f>
        <v/>
      </c>
      <c r="T23" s="12">
        <f>IF(1&lt;='Assumptions'!$B$8,('P&amp;L'!$C$10*(1+T$20)^0+'Renovation'!B$18-'P&amp;L'!$C$23*(1+'Assumptions'!$B$15)^0)-'Debt'!$B$9,0)+IF(1='Assumptions'!$B$8,('P&amp;L'!$C$10*(1+T$20)^0+'Renovation'!B$18-'P&amp;L'!$C$23*(1+'Assumptions'!$B$15)^0)/T$21*(1-'Assumptions'!$B$10)-'Debt'!$B$12,0)</f>
        <v/>
      </c>
      <c r="U23" s="12">
        <f>IF(1&lt;='Assumptions'!$B$8,('P&amp;L'!$C$10*(1+U$20)^0+'Renovation'!B$18-'P&amp;L'!$C$23*(1+'Assumptions'!$B$15)^0)-'Debt'!$B$9,0)+IF(1='Assumptions'!$B$8,('P&amp;L'!$C$10*(1+U$20)^0+'Renovation'!B$18-'P&amp;L'!$C$23*(1+'Assumptions'!$B$15)^0)/U$21*(1-'Assumptions'!$B$10)-'Debt'!$B$12,0)</f>
        <v/>
      </c>
      <c r="V23" s="12">
        <f>IF(1&lt;='Assumptions'!$B$8,('P&amp;L'!$C$10*(1+V$20)^0+'Renovation'!B$18-'P&amp;L'!$C$23*(1+'Assumptions'!$B$15)^0)-'Debt'!$B$9,0)+IF(1='Assumptions'!$B$8,('P&amp;L'!$C$10*(1+V$20)^0+'Renovation'!B$18-'P&amp;L'!$C$23*(1+'Assumptions'!$B$15)^0)/V$21*(1-'Assumptions'!$B$10)-'Debt'!$B$12,0)</f>
        <v/>
      </c>
      <c r="W23" s="12">
        <f>IF(1&lt;='Assumptions'!$B$8,('P&amp;L'!$C$10*(1+W$20)^0+'Renovation'!B$18-'P&amp;L'!$C$23*(1+'Assumptions'!$B$15)^0)-'Debt'!$B$9,0)+IF(1='Assumptions'!$B$8,('P&amp;L'!$C$10*(1+W$20)^0+'Renovation'!B$18-'P&amp;L'!$C$23*(1+'Assumptions'!$B$15)^0)/W$21*(1-'Assumptions'!$B$10)-'Debt'!$B$12,0)</f>
        <v/>
      </c>
      <c r="X23" s="12">
        <f>IF(1&lt;='Assumptions'!$B$8,('P&amp;L'!$C$10*(1+X$20)^0+'Renovation'!B$18-'P&amp;L'!$C$23*(1+'Assumptions'!$B$15)^0)-'Debt'!$B$9,0)+IF(1='Assumptions'!$B$8,('P&amp;L'!$C$10*(1+X$20)^0+'Renovation'!B$18-'P&amp;L'!$C$23*(1+'Assumptions'!$B$15)^0)/X$21*(1-'Assumptions'!$B$10)-'Debt'!$B$12,0)</f>
        <v/>
      </c>
      <c r="Y23" s="12">
        <f>IF(1&lt;='Assumptions'!$B$8,('P&amp;L'!$C$10*(1+Y$20)^0+'Renovation'!B$18-'P&amp;L'!$C$23*(1+'Assumptions'!$B$15)^0)-'Debt'!$B$9,0)+IF(1='Assumptions'!$B$8,('P&amp;L'!$C$10*(1+Y$20)^0+'Renovation'!B$18-'P&amp;L'!$C$23*(1+'Assumptions'!$B$15)^0)/Y$21*(1-'Assumptions'!$B$10)-'Debt'!$B$12,0)</f>
        <v/>
      </c>
      <c r="Z23" s="12">
        <f>IF(1&lt;='Assumptions'!$B$8,('P&amp;L'!$C$10*(1+Z$20)^0+'Renovation'!B$18-'P&amp;L'!$C$23*(1+'Assumptions'!$B$15)^0)-'Debt'!$B$9,0)+IF(1='Assumptions'!$B$8,('P&amp;L'!$C$10*(1+Z$20)^0+'Renovation'!B$18-'P&amp;L'!$C$23*(1+'Assumptions'!$B$15)^0)/Z$21*(1-'Assumptions'!$B$10)-'Debt'!$B$12,0)</f>
        <v/>
      </c>
    </row>
    <row r="24">
      <c r="A24" s="25" t="inlineStr">
        <is>
          <t>CF Year 2</t>
        </is>
      </c>
      <c r="B24" s="12">
        <f>IF(2&lt;='Assumptions'!$B$8,('P&amp;L'!$C$10*(1+B$20)^1+'Renovation'!C$18-'P&amp;L'!$C$23*(1+'Assumptions'!$B$15)^1)-'Debt'!$B$9,0)+IF(2='Assumptions'!$B$8,('P&amp;L'!$C$10*(1+B$20)^1+'Renovation'!C$18-'P&amp;L'!$C$23*(1+'Assumptions'!$B$15)^1)/B$21*(1-'Assumptions'!$B$10)-'Debt'!$B$12,0)</f>
        <v/>
      </c>
      <c r="C24" s="12">
        <f>IF(2&lt;='Assumptions'!$B$8,('P&amp;L'!$C$10*(1+C$20)^1+'Renovation'!C$18-'P&amp;L'!$C$23*(1+'Assumptions'!$B$15)^1)-'Debt'!$B$9,0)+IF(2='Assumptions'!$B$8,('P&amp;L'!$C$10*(1+C$20)^1+'Renovation'!C$18-'P&amp;L'!$C$23*(1+'Assumptions'!$B$15)^1)/C$21*(1-'Assumptions'!$B$10)-'Debt'!$B$12,0)</f>
        <v/>
      </c>
      <c r="D24" s="12">
        <f>IF(2&lt;='Assumptions'!$B$8,('P&amp;L'!$C$10*(1+D$20)^1+'Renovation'!C$18-'P&amp;L'!$C$23*(1+'Assumptions'!$B$15)^1)-'Debt'!$B$9,0)+IF(2='Assumptions'!$B$8,('P&amp;L'!$C$10*(1+D$20)^1+'Renovation'!C$18-'P&amp;L'!$C$23*(1+'Assumptions'!$B$15)^1)/D$21*(1-'Assumptions'!$B$10)-'Debt'!$B$12,0)</f>
        <v/>
      </c>
      <c r="E24" s="12">
        <f>IF(2&lt;='Assumptions'!$B$8,('P&amp;L'!$C$10*(1+E$20)^1+'Renovation'!C$18-'P&amp;L'!$C$23*(1+'Assumptions'!$B$15)^1)-'Debt'!$B$9,0)+IF(2='Assumptions'!$B$8,('P&amp;L'!$C$10*(1+E$20)^1+'Renovation'!C$18-'P&amp;L'!$C$23*(1+'Assumptions'!$B$15)^1)/E$21*(1-'Assumptions'!$B$10)-'Debt'!$B$12,0)</f>
        <v/>
      </c>
      <c r="F24" s="12">
        <f>IF(2&lt;='Assumptions'!$B$8,('P&amp;L'!$C$10*(1+F$20)^1+'Renovation'!C$18-'P&amp;L'!$C$23*(1+'Assumptions'!$B$15)^1)-'Debt'!$B$9,0)+IF(2='Assumptions'!$B$8,('P&amp;L'!$C$10*(1+F$20)^1+'Renovation'!C$18-'P&amp;L'!$C$23*(1+'Assumptions'!$B$15)^1)/F$21*(1-'Assumptions'!$B$10)-'Debt'!$B$12,0)</f>
        <v/>
      </c>
      <c r="G24" s="12">
        <f>IF(2&lt;='Assumptions'!$B$8,('P&amp;L'!$C$10*(1+G$20)^1+'Renovation'!C$18-'P&amp;L'!$C$23*(1+'Assumptions'!$B$15)^1)-'Debt'!$B$9,0)+IF(2='Assumptions'!$B$8,('P&amp;L'!$C$10*(1+G$20)^1+'Renovation'!C$18-'P&amp;L'!$C$23*(1+'Assumptions'!$B$15)^1)/G$21*(1-'Assumptions'!$B$10)-'Debt'!$B$12,0)</f>
        <v/>
      </c>
      <c r="H24" s="12">
        <f>IF(2&lt;='Assumptions'!$B$8,('P&amp;L'!$C$10*(1+H$20)^1+'Renovation'!C$18-'P&amp;L'!$C$23*(1+'Assumptions'!$B$15)^1)-'Debt'!$B$9,0)+IF(2='Assumptions'!$B$8,('P&amp;L'!$C$10*(1+H$20)^1+'Renovation'!C$18-'P&amp;L'!$C$23*(1+'Assumptions'!$B$15)^1)/H$21*(1-'Assumptions'!$B$10)-'Debt'!$B$12,0)</f>
        <v/>
      </c>
      <c r="I24" s="12">
        <f>IF(2&lt;='Assumptions'!$B$8,('P&amp;L'!$C$10*(1+I$20)^1+'Renovation'!C$18-'P&amp;L'!$C$23*(1+'Assumptions'!$B$15)^1)-'Debt'!$B$9,0)+IF(2='Assumptions'!$B$8,('P&amp;L'!$C$10*(1+I$20)^1+'Renovation'!C$18-'P&amp;L'!$C$23*(1+'Assumptions'!$B$15)^1)/I$21*(1-'Assumptions'!$B$10)-'Debt'!$B$12,0)</f>
        <v/>
      </c>
      <c r="J24" s="12">
        <f>IF(2&lt;='Assumptions'!$B$8,('P&amp;L'!$C$10*(1+J$20)^1+'Renovation'!C$18-'P&amp;L'!$C$23*(1+'Assumptions'!$B$15)^1)-'Debt'!$B$9,0)+IF(2='Assumptions'!$B$8,('P&amp;L'!$C$10*(1+J$20)^1+'Renovation'!C$18-'P&amp;L'!$C$23*(1+'Assumptions'!$B$15)^1)/J$21*(1-'Assumptions'!$B$10)-'Debt'!$B$12,0)</f>
        <v/>
      </c>
      <c r="K24" s="12">
        <f>IF(2&lt;='Assumptions'!$B$8,('P&amp;L'!$C$10*(1+K$20)^1+'Renovation'!C$18-'P&amp;L'!$C$23*(1+'Assumptions'!$B$15)^1)-'Debt'!$B$9,0)+IF(2='Assumptions'!$B$8,('P&amp;L'!$C$10*(1+K$20)^1+'Renovation'!C$18-'P&amp;L'!$C$23*(1+'Assumptions'!$B$15)^1)/K$21*(1-'Assumptions'!$B$10)-'Debt'!$B$12,0)</f>
        <v/>
      </c>
      <c r="L24" s="12">
        <f>IF(2&lt;='Assumptions'!$B$8,('P&amp;L'!$C$10*(1+L$20)^1+'Renovation'!C$18-'P&amp;L'!$C$23*(1+'Assumptions'!$B$15)^1)-'Debt'!$B$9,0)+IF(2='Assumptions'!$B$8,('P&amp;L'!$C$10*(1+L$20)^1+'Renovation'!C$18-'P&amp;L'!$C$23*(1+'Assumptions'!$B$15)^1)/L$21*(1-'Assumptions'!$B$10)-'Debt'!$B$12,0)</f>
        <v/>
      </c>
      <c r="M24" s="12">
        <f>IF(2&lt;='Assumptions'!$B$8,('P&amp;L'!$C$10*(1+M$20)^1+'Renovation'!C$18-'P&amp;L'!$C$23*(1+'Assumptions'!$B$15)^1)-'Debt'!$B$9,0)+IF(2='Assumptions'!$B$8,('P&amp;L'!$C$10*(1+M$20)^1+'Renovation'!C$18-'P&amp;L'!$C$23*(1+'Assumptions'!$B$15)^1)/M$21*(1-'Assumptions'!$B$10)-'Debt'!$B$12,0)</f>
        <v/>
      </c>
      <c r="N24" s="12">
        <f>IF(2&lt;='Assumptions'!$B$8,('P&amp;L'!$C$10*(1+N$20)^1+'Renovation'!C$18-'P&amp;L'!$C$23*(1+'Assumptions'!$B$15)^1)-'Debt'!$B$9,0)+IF(2='Assumptions'!$B$8,('P&amp;L'!$C$10*(1+N$20)^1+'Renovation'!C$18-'P&amp;L'!$C$23*(1+'Assumptions'!$B$15)^1)/N$21*(1-'Assumptions'!$B$10)-'Debt'!$B$12,0)</f>
        <v/>
      </c>
      <c r="O24" s="12">
        <f>IF(2&lt;='Assumptions'!$B$8,('P&amp;L'!$C$10*(1+O$20)^1+'Renovation'!C$18-'P&amp;L'!$C$23*(1+'Assumptions'!$B$15)^1)-'Debt'!$B$9,0)+IF(2='Assumptions'!$B$8,('P&amp;L'!$C$10*(1+O$20)^1+'Renovation'!C$18-'P&amp;L'!$C$23*(1+'Assumptions'!$B$15)^1)/O$21*(1-'Assumptions'!$B$10)-'Debt'!$B$12,0)</f>
        <v/>
      </c>
      <c r="P24" s="12">
        <f>IF(2&lt;='Assumptions'!$B$8,('P&amp;L'!$C$10*(1+P$20)^1+'Renovation'!C$18-'P&amp;L'!$C$23*(1+'Assumptions'!$B$15)^1)-'Debt'!$B$9,0)+IF(2='Assumptions'!$B$8,('P&amp;L'!$C$10*(1+P$20)^1+'Renovation'!C$18-'P&amp;L'!$C$23*(1+'Assumptions'!$B$15)^1)/P$21*(1-'Assumptions'!$B$10)-'Debt'!$B$12,0)</f>
        <v/>
      </c>
      <c r="Q24" s="12">
        <f>IF(2&lt;='Assumptions'!$B$8,('P&amp;L'!$C$10*(1+Q$20)^1+'Renovation'!C$18-'P&amp;L'!$C$23*(1+'Assumptions'!$B$15)^1)-'Debt'!$B$9,0)+IF(2='Assumptions'!$B$8,('P&amp;L'!$C$10*(1+Q$20)^1+'Renovation'!C$18-'P&amp;L'!$C$23*(1+'Assumptions'!$B$15)^1)/Q$21*(1-'Assumptions'!$B$10)-'Debt'!$B$12,0)</f>
        <v/>
      </c>
      <c r="R24" s="12">
        <f>IF(2&lt;='Assumptions'!$B$8,('P&amp;L'!$C$10*(1+R$20)^1+'Renovation'!C$18-'P&amp;L'!$C$23*(1+'Assumptions'!$B$15)^1)-'Debt'!$B$9,0)+IF(2='Assumptions'!$B$8,('P&amp;L'!$C$10*(1+R$20)^1+'Renovation'!C$18-'P&amp;L'!$C$23*(1+'Assumptions'!$B$15)^1)/R$21*(1-'Assumptions'!$B$10)-'Debt'!$B$12,0)</f>
        <v/>
      </c>
      <c r="S24" s="12">
        <f>IF(2&lt;='Assumptions'!$B$8,('P&amp;L'!$C$10*(1+S$20)^1+'Renovation'!C$18-'P&amp;L'!$C$23*(1+'Assumptions'!$B$15)^1)-'Debt'!$B$9,0)+IF(2='Assumptions'!$B$8,('P&amp;L'!$C$10*(1+S$20)^1+'Renovation'!C$18-'P&amp;L'!$C$23*(1+'Assumptions'!$B$15)^1)/S$21*(1-'Assumptions'!$B$10)-'Debt'!$B$12,0)</f>
        <v/>
      </c>
      <c r="T24" s="12">
        <f>IF(2&lt;='Assumptions'!$B$8,('P&amp;L'!$C$10*(1+T$20)^1+'Renovation'!C$18-'P&amp;L'!$C$23*(1+'Assumptions'!$B$15)^1)-'Debt'!$B$9,0)+IF(2='Assumptions'!$B$8,('P&amp;L'!$C$10*(1+T$20)^1+'Renovation'!C$18-'P&amp;L'!$C$23*(1+'Assumptions'!$B$15)^1)/T$21*(1-'Assumptions'!$B$10)-'Debt'!$B$12,0)</f>
        <v/>
      </c>
      <c r="U24" s="12">
        <f>IF(2&lt;='Assumptions'!$B$8,('P&amp;L'!$C$10*(1+U$20)^1+'Renovation'!C$18-'P&amp;L'!$C$23*(1+'Assumptions'!$B$15)^1)-'Debt'!$B$9,0)+IF(2='Assumptions'!$B$8,('P&amp;L'!$C$10*(1+U$20)^1+'Renovation'!C$18-'P&amp;L'!$C$23*(1+'Assumptions'!$B$15)^1)/U$21*(1-'Assumptions'!$B$10)-'Debt'!$B$12,0)</f>
        <v/>
      </c>
      <c r="V24" s="12">
        <f>IF(2&lt;='Assumptions'!$B$8,('P&amp;L'!$C$10*(1+V$20)^1+'Renovation'!C$18-'P&amp;L'!$C$23*(1+'Assumptions'!$B$15)^1)-'Debt'!$B$9,0)+IF(2='Assumptions'!$B$8,('P&amp;L'!$C$10*(1+V$20)^1+'Renovation'!C$18-'P&amp;L'!$C$23*(1+'Assumptions'!$B$15)^1)/V$21*(1-'Assumptions'!$B$10)-'Debt'!$B$12,0)</f>
        <v/>
      </c>
      <c r="W24" s="12">
        <f>IF(2&lt;='Assumptions'!$B$8,('P&amp;L'!$C$10*(1+W$20)^1+'Renovation'!C$18-'P&amp;L'!$C$23*(1+'Assumptions'!$B$15)^1)-'Debt'!$B$9,0)+IF(2='Assumptions'!$B$8,('P&amp;L'!$C$10*(1+W$20)^1+'Renovation'!C$18-'P&amp;L'!$C$23*(1+'Assumptions'!$B$15)^1)/W$21*(1-'Assumptions'!$B$10)-'Debt'!$B$12,0)</f>
        <v/>
      </c>
      <c r="X24" s="12">
        <f>IF(2&lt;='Assumptions'!$B$8,('P&amp;L'!$C$10*(1+X$20)^1+'Renovation'!C$18-'P&amp;L'!$C$23*(1+'Assumptions'!$B$15)^1)-'Debt'!$B$9,0)+IF(2='Assumptions'!$B$8,('P&amp;L'!$C$10*(1+X$20)^1+'Renovation'!C$18-'P&amp;L'!$C$23*(1+'Assumptions'!$B$15)^1)/X$21*(1-'Assumptions'!$B$10)-'Debt'!$B$12,0)</f>
        <v/>
      </c>
      <c r="Y24" s="12">
        <f>IF(2&lt;='Assumptions'!$B$8,('P&amp;L'!$C$10*(1+Y$20)^1+'Renovation'!C$18-'P&amp;L'!$C$23*(1+'Assumptions'!$B$15)^1)-'Debt'!$B$9,0)+IF(2='Assumptions'!$B$8,('P&amp;L'!$C$10*(1+Y$20)^1+'Renovation'!C$18-'P&amp;L'!$C$23*(1+'Assumptions'!$B$15)^1)/Y$21*(1-'Assumptions'!$B$10)-'Debt'!$B$12,0)</f>
        <v/>
      </c>
      <c r="Z24" s="12">
        <f>IF(2&lt;='Assumptions'!$B$8,('P&amp;L'!$C$10*(1+Z$20)^1+'Renovation'!C$18-'P&amp;L'!$C$23*(1+'Assumptions'!$B$15)^1)-'Debt'!$B$9,0)+IF(2='Assumptions'!$B$8,('P&amp;L'!$C$10*(1+Z$20)^1+'Renovation'!C$18-'P&amp;L'!$C$23*(1+'Assumptions'!$B$15)^1)/Z$21*(1-'Assumptions'!$B$10)-'Debt'!$B$12,0)</f>
        <v/>
      </c>
    </row>
    <row r="25">
      <c r="A25" s="25" t="inlineStr">
        <is>
          <t>CF Year 3</t>
        </is>
      </c>
      <c r="B25" s="12">
        <f>IF(3&lt;='Assumptions'!$B$8,('P&amp;L'!$C$10*(1+B$20)^2+'Renovation'!D$18-'P&amp;L'!$C$23*(1+'Assumptions'!$B$15)^2)-'Debt'!$B$9,0)+IF(3='Assumptions'!$B$8,('P&amp;L'!$C$10*(1+B$20)^2+'Renovation'!D$18-'P&amp;L'!$C$23*(1+'Assumptions'!$B$15)^2)/B$21*(1-'Assumptions'!$B$10)-'Debt'!$B$12,0)</f>
        <v/>
      </c>
      <c r="C25" s="12">
        <f>IF(3&lt;='Assumptions'!$B$8,('P&amp;L'!$C$10*(1+C$20)^2+'Renovation'!D$18-'P&amp;L'!$C$23*(1+'Assumptions'!$B$15)^2)-'Debt'!$B$9,0)+IF(3='Assumptions'!$B$8,('P&amp;L'!$C$10*(1+C$20)^2+'Renovation'!D$18-'P&amp;L'!$C$23*(1+'Assumptions'!$B$15)^2)/C$21*(1-'Assumptions'!$B$10)-'Debt'!$B$12,0)</f>
        <v/>
      </c>
      <c r="D25" s="12">
        <f>IF(3&lt;='Assumptions'!$B$8,('P&amp;L'!$C$10*(1+D$20)^2+'Renovation'!D$18-'P&amp;L'!$C$23*(1+'Assumptions'!$B$15)^2)-'Debt'!$B$9,0)+IF(3='Assumptions'!$B$8,('P&amp;L'!$C$10*(1+D$20)^2+'Renovation'!D$18-'P&amp;L'!$C$23*(1+'Assumptions'!$B$15)^2)/D$21*(1-'Assumptions'!$B$10)-'Debt'!$B$12,0)</f>
        <v/>
      </c>
      <c r="E25" s="12">
        <f>IF(3&lt;='Assumptions'!$B$8,('P&amp;L'!$C$10*(1+E$20)^2+'Renovation'!D$18-'P&amp;L'!$C$23*(1+'Assumptions'!$B$15)^2)-'Debt'!$B$9,0)+IF(3='Assumptions'!$B$8,('P&amp;L'!$C$10*(1+E$20)^2+'Renovation'!D$18-'P&amp;L'!$C$23*(1+'Assumptions'!$B$15)^2)/E$21*(1-'Assumptions'!$B$10)-'Debt'!$B$12,0)</f>
        <v/>
      </c>
      <c r="F25" s="12">
        <f>IF(3&lt;='Assumptions'!$B$8,('P&amp;L'!$C$10*(1+F$20)^2+'Renovation'!D$18-'P&amp;L'!$C$23*(1+'Assumptions'!$B$15)^2)-'Debt'!$B$9,0)+IF(3='Assumptions'!$B$8,('P&amp;L'!$C$10*(1+F$20)^2+'Renovation'!D$18-'P&amp;L'!$C$23*(1+'Assumptions'!$B$15)^2)/F$21*(1-'Assumptions'!$B$10)-'Debt'!$B$12,0)</f>
        <v/>
      </c>
      <c r="G25" s="12">
        <f>IF(3&lt;='Assumptions'!$B$8,('P&amp;L'!$C$10*(1+G$20)^2+'Renovation'!D$18-'P&amp;L'!$C$23*(1+'Assumptions'!$B$15)^2)-'Debt'!$B$9,0)+IF(3='Assumptions'!$B$8,('P&amp;L'!$C$10*(1+G$20)^2+'Renovation'!D$18-'P&amp;L'!$C$23*(1+'Assumptions'!$B$15)^2)/G$21*(1-'Assumptions'!$B$10)-'Debt'!$B$12,0)</f>
        <v/>
      </c>
      <c r="H25" s="12">
        <f>IF(3&lt;='Assumptions'!$B$8,('P&amp;L'!$C$10*(1+H$20)^2+'Renovation'!D$18-'P&amp;L'!$C$23*(1+'Assumptions'!$B$15)^2)-'Debt'!$B$9,0)+IF(3='Assumptions'!$B$8,('P&amp;L'!$C$10*(1+H$20)^2+'Renovation'!D$18-'P&amp;L'!$C$23*(1+'Assumptions'!$B$15)^2)/H$21*(1-'Assumptions'!$B$10)-'Debt'!$B$12,0)</f>
        <v/>
      </c>
      <c r="I25" s="12">
        <f>IF(3&lt;='Assumptions'!$B$8,('P&amp;L'!$C$10*(1+I$20)^2+'Renovation'!D$18-'P&amp;L'!$C$23*(1+'Assumptions'!$B$15)^2)-'Debt'!$B$9,0)+IF(3='Assumptions'!$B$8,('P&amp;L'!$C$10*(1+I$20)^2+'Renovation'!D$18-'P&amp;L'!$C$23*(1+'Assumptions'!$B$15)^2)/I$21*(1-'Assumptions'!$B$10)-'Debt'!$B$12,0)</f>
        <v/>
      </c>
      <c r="J25" s="12">
        <f>IF(3&lt;='Assumptions'!$B$8,('P&amp;L'!$C$10*(1+J$20)^2+'Renovation'!D$18-'P&amp;L'!$C$23*(1+'Assumptions'!$B$15)^2)-'Debt'!$B$9,0)+IF(3='Assumptions'!$B$8,('P&amp;L'!$C$10*(1+J$20)^2+'Renovation'!D$18-'P&amp;L'!$C$23*(1+'Assumptions'!$B$15)^2)/J$21*(1-'Assumptions'!$B$10)-'Debt'!$B$12,0)</f>
        <v/>
      </c>
      <c r="K25" s="12">
        <f>IF(3&lt;='Assumptions'!$B$8,('P&amp;L'!$C$10*(1+K$20)^2+'Renovation'!D$18-'P&amp;L'!$C$23*(1+'Assumptions'!$B$15)^2)-'Debt'!$B$9,0)+IF(3='Assumptions'!$B$8,('P&amp;L'!$C$10*(1+K$20)^2+'Renovation'!D$18-'P&amp;L'!$C$23*(1+'Assumptions'!$B$15)^2)/K$21*(1-'Assumptions'!$B$10)-'Debt'!$B$12,0)</f>
        <v/>
      </c>
      <c r="L25" s="12">
        <f>IF(3&lt;='Assumptions'!$B$8,('P&amp;L'!$C$10*(1+L$20)^2+'Renovation'!D$18-'P&amp;L'!$C$23*(1+'Assumptions'!$B$15)^2)-'Debt'!$B$9,0)+IF(3='Assumptions'!$B$8,('P&amp;L'!$C$10*(1+L$20)^2+'Renovation'!D$18-'P&amp;L'!$C$23*(1+'Assumptions'!$B$15)^2)/L$21*(1-'Assumptions'!$B$10)-'Debt'!$B$12,0)</f>
        <v/>
      </c>
      <c r="M25" s="12">
        <f>IF(3&lt;='Assumptions'!$B$8,('P&amp;L'!$C$10*(1+M$20)^2+'Renovation'!D$18-'P&amp;L'!$C$23*(1+'Assumptions'!$B$15)^2)-'Debt'!$B$9,0)+IF(3='Assumptions'!$B$8,('P&amp;L'!$C$10*(1+M$20)^2+'Renovation'!D$18-'P&amp;L'!$C$23*(1+'Assumptions'!$B$15)^2)/M$21*(1-'Assumptions'!$B$10)-'Debt'!$B$12,0)</f>
        <v/>
      </c>
      <c r="N25" s="12">
        <f>IF(3&lt;='Assumptions'!$B$8,('P&amp;L'!$C$10*(1+N$20)^2+'Renovation'!D$18-'P&amp;L'!$C$23*(1+'Assumptions'!$B$15)^2)-'Debt'!$B$9,0)+IF(3='Assumptions'!$B$8,('P&amp;L'!$C$10*(1+N$20)^2+'Renovation'!D$18-'P&amp;L'!$C$23*(1+'Assumptions'!$B$15)^2)/N$21*(1-'Assumptions'!$B$10)-'Debt'!$B$12,0)</f>
        <v/>
      </c>
      <c r="O25" s="12">
        <f>IF(3&lt;='Assumptions'!$B$8,('P&amp;L'!$C$10*(1+O$20)^2+'Renovation'!D$18-'P&amp;L'!$C$23*(1+'Assumptions'!$B$15)^2)-'Debt'!$B$9,0)+IF(3='Assumptions'!$B$8,('P&amp;L'!$C$10*(1+O$20)^2+'Renovation'!D$18-'P&amp;L'!$C$23*(1+'Assumptions'!$B$15)^2)/O$21*(1-'Assumptions'!$B$10)-'Debt'!$B$12,0)</f>
        <v/>
      </c>
      <c r="P25" s="12">
        <f>IF(3&lt;='Assumptions'!$B$8,('P&amp;L'!$C$10*(1+P$20)^2+'Renovation'!D$18-'P&amp;L'!$C$23*(1+'Assumptions'!$B$15)^2)-'Debt'!$B$9,0)+IF(3='Assumptions'!$B$8,('P&amp;L'!$C$10*(1+P$20)^2+'Renovation'!D$18-'P&amp;L'!$C$23*(1+'Assumptions'!$B$15)^2)/P$21*(1-'Assumptions'!$B$10)-'Debt'!$B$12,0)</f>
        <v/>
      </c>
      <c r="Q25" s="12">
        <f>IF(3&lt;='Assumptions'!$B$8,('P&amp;L'!$C$10*(1+Q$20)^2+'Renovation'!D$18-'P&amp;L'!$C$23*(1+'Assumptions'!$B$15)^2)-'Debt'!$B$9,0)+IF(3='Assumptions'!$B$8,('P&amp;L'!$C$10*(1+Q$20)^2+'Renovation'!D$18-'P&amp;L'!$C$23*(1+'Assumptions'!$B$15)^2)/Q$21*(1-'Assumptions'!$B$10)-'Debt'!$B$12,0)</f>
        <v/>
      </c>
      <c r="R25" s="12">
        <f>IF(3&lt;='Assumptions'!$B$8,('P&amp;L'!$C$10*(1+R$20)^2+'Renovation'!D$18-'P&amp;L'!$C$23*(1+'Assumptions'!$B$15)^2)-'Debt'!$B$9,0)+IF(3='Assumptions'!$B$8,('P&amp;L'!$C$10*(1+R$20)^2+'Renovation'!D$18-'P&amp;L'!$C$23*(1+'Assumptions'!$B$15)^2)/R$21*(1-'Assumptions'!$B$10)-'Debt'!$B$12,0)</f>
        <v/>
      </c>
      <c r="S25" s="12">
        <f>IF(3&lt;='Assumptions'!$B$8,('P&amp;L'!$C$10*(1+S$20)^2+'Renovation'!D$18-'P&amp;L'!$C$23*(1+'Assumptions'!$B$15)^2)-'Debt'!$B$9,0)+IF(3='Assumptions'!$B$8,('P&amp;L'!$C$10*(1+S$20)^2+'Renovation'!D$18-'P&amp;L'!$C$23*(1+'Assumptions'!$B$15)^2)/S$21*(1-'Assumptions'!$B$10)-'Debt'!$B$12,0)</f>
        <v/>
      </c>
      <c r="T25" s="12">
        <f>IF(3&lt;='Assumptions'!$B$8,('P&amp;L'!$C$10*(1+T$20)^2+'Renovation'!D$18-'P&amp;L'!$C$23*(1+'Assumptions'!$B$15)^2)-'Debt'!$B$9,0)+IF(3='Assumptions'!$B$8,('P&amp;L'!$C$10*(1+T$20)^2+'Renovation'!D$18-'P&amp;L'!$C$23*(1+'Assumptions'!$B$15)^2)/T$21*(1-'Assumptions'!$B$10)-'Debt'!$B$12,0)</f>
        <v/>
      </c>
      <c r="U25" s="12">
        <f>IF(3&lt;='Assumptions'!$B$8,('P&amp;L'!$C$10*(1+U$20)^2+'Renovation'!D$18-'P&amp;L'!$C$23*(1+'Assumptions'!$B$15)^2)-'Debt'!$B$9,0)+IF(3='Assumptions'!$B$8,('P&amp;L'!$C$10*(1+U$20)^2+'Renovation'!D$18-'P&amp;L'!$C$23*(1+'Assumptions'!$B$15)^2)/U$21*(1-'Assumptions'!$B$10)-'Debt'!$B$12,0)</f>
        <v/>
      </c>
      <c r="V25" s="12">
        <f>IF(3&lt;='Assumptions'!$B$8,('P&amp;L'!$C$10*(1+V$20)^2+'Renovation'!D$18-'P&amp;L'!$C$23*(1+'Assumptions'!$B$15)^2)-'Debt'!$B$9,0)+IF(3='Assumptions'!$B$8,('P&amp;L'!$C$10*(1+V$20)^2+'Renovation'!D$18-'P&amp;L'!$C$23*(1+'Assumptions'!$B$15)^2)/V$21*(1-'Assumptions'!$B$10)-'Debt'!$B$12,0)</f>
        <v/>
      </c>
      <c r="W25" s="12">
        <f>IF(3&lt;='Assumptions'!$B$8,('P&amp;L'!$C$10*(1+W$20)^2+'Renovation'!D$18-'P&amp;L'!$C$23*(1+'Assumptions'!$B$15)^2)-'Debt'!$B$9,0)+IF(3='Assumptions'!$B$8,('P&amp;L'!$C$10*(1+W$20)^2+'Renovation'!D$18-'P&amp;L'!$C$23*(1+'Assumptions'!$B$15)^2)/W$21*(1-'Assumptions'!$B$10)-'Debt'!$B$12,0)</f>
        <v/>
      </c>
      <c r="X25" s="12">
        <f>IF(3&lt;='Assumptions'!$B$8,('P&amp;L'!$C$10*(1+X$20)^2+'Renovation'!D$18-'P&amp;L'!$C$23*(1+'Assumptions'!$B$15)^2)-'Debt'!$B$9,0)+IF(3='Assumptions'!$B$8,('P&amp;L'!$C$10*(1+X$20)^2+'Renovation'!D$18-'P&amp;L'!$C$23*(1+'Assumptions'!$B$15)^2)/X$21*(1-'Assumptions'!$B$10)-'Debt'!$B$12,0)</f>
        <v/>
      </c>
      <c r="Y25" s="12">
        <f>IF(3&lt;='Assumptions'!$B$8,('P&amp;L'!$C$10*(1+Y$20)^2+'Renovation'!D$18-'P&amp;L'!$C$23*(1+'Assumptions'!$B$15)^2)-'Debt'!$B$9,0)+IF(3='Assumptions'!$B$8,('P&amp;L'!$C$10*(1+Y$20)^2+'Renovation'!D$18-'P&amp;L'!$C$23*(1+'Assumptions'!$B$15)^2)/Y$21*(1-'Assumptions'!$B$10)-'Debt'!$B$12,0)</f>
        <v/>
      </c>
      <c r="Z25" s="12">
        <f>IF(3&lt;='Assumptions'!$B$8,('P&amp;L'!$C$10*(1+Z$20)^2+'Renovation'!D$18-'P&amp;L'!$C$23*(1+'Assumptions'!$B$15)^2)-'Debt'!$B$9,0)+IF(3='Assumptions'!$B$8,('P&amp;L'!$C$10*(1+Z$20)^2+'Renovation'!D$18-'P&amp;L'!$C$23*(1+'Assumptions'!$B$15)^2)/Z$21*(1-'Assumptions'!$B$10)-'Debt'!$B$12,0)</f>
        <v/>
      </c>
    </row>
    <row r="26">
      <c r="A26" s="25" t="inlineStr">
        <is>
          <t>CF Year 4</t>
        </is>
      </c>
      <c r="B26" s="12">
        <f>IF(4&lt;='Assumptions'!$B$8,('P&amp;L'!$C$10*(1+B$20)^3+'Renovation'!E$18-'P&amp;L'!$C$23*(1+'Assumptions'!$B$15)^3)-'Debt'!$B$9,0)+IF(4='Assumptions'!$B$8,('P&amp;L'!$C$10*(1+B$20)^3+'Renovation'!E$18-'P&amp;L'!$C$23*(1+'Assumptions'!$B$15)^3)/B$21*(1-'Assumptions'!$B$10)-'Debt'!$B$12,0)</f>
        <v/>
      </c>
      <c r="C26" s="12">
        <f>IF(4&lt;='Assumptions'!$B$8,('P&amp;L'!$C$10*(1+C$20)^3+'Renovation'!E$18-'P&amp;L'!$C$23*(1+'Assumptions'!$B$15)^3)-'Debt'!$B$9,0)+IF(4='Assumptions'!$B$8,('P&amp;L'!$C$10*(1+C$20)^3+'Renovation'!E$18-'P&amp;L'!$C$23*(1+'Assumptions'!$B$15)^3)/C$21*(1-'Assumptions'!$B$10)-'Debt'!$B$12,0)</f>
        <v/>
      </c>
      <c r="D26" s="12">
        <f>IF(4&lt;='Assumptions'!$B$8,('P&amp;L'!$C$10*(1+D$20)^3+'Renovation'!E$18-'P&amp;L'!$C$23*(1+'Assumptions'!$B$15)^3)-'Debt'!$B$9,0)+IF(4='Assumptions'!$B$8,('P&amp;L'!$C$10*(1+D$20)^3+'Renovation'!E$18-'P&amp;L'!$C$23*(1+'Assumptions'!$B$15)^3)/D$21*(1-'Assumptions'!$B$10)-'Debt'!$B$12,0)</f>
        <v/>
      </c>
      <c r="E26" s="12">
        <f>IF(4&lt;='Assumptions'!$B$8,('P&amp;L'!$C$10*(1+E$20)^3+'Renovation'!E$18-'P&amp;L'!$C$23*(1+'Assumptions'!$B$15)^3)-'Debt'!$B$9,0)+IF(4='Assumptions'!$B$8,('P&amp;L'!$C$10*(1+E$20)^3+'Renovation'!E$18-'P&amp;L'!$C$23*(1+'Assumptions'!$B$15)^3)/E$21*(1-'Assumptions'!$B$10)-'Debt'!$B$12,0)</f>
        <v/>
      </c>
      <c r="F26" s="12">
        <f>IF(4&lt;='Assumptions'!$B$8,('P&amp;L'!$C$10*(1+F$20)^3+'Renovation'!E$18-'P&amp;L'!$C$23*(1+'Assumptions'!$B$15)^3)-'Debt'!$B$9,0)+IF(4='Assumptions'!$B$8,('P&amp;L'!$C$10*(1+F$20)^3+'Renovation'!E$18-'P&amp;L'!$C$23*(1+'Assumptions'!$B$15)^3)/F$21*(1-'Assumptions'!$B$10)-'Debt'!$B$12,0)</f>
        <v/>
      </c>
      <c r="G26" s="12">
        <f>IF(4&lt;='Assumptions'!$B$8,('P&amp;L'!$C$10*(1+G$20)^3+'Renovation'!E$18-'P&amp;L'!$C$23*(1+'Assumptions'!$B$15)^3)-'Debt'!$B$9,0)+IF(4='Assumptions'!$B$8,('P&amp;L'!$C$10*(1+G$20)^3+'Renovation'!E$18-'P&amp;L'!$C$23*(1+'Assumptions'!$B$15)^3)/G$21*(1-'Assumptions'!$B$10)-'Debt'!$B$12,0)</f>
        <v/>
      </c>
      <c r="H26" s="12">
        <f>IF(4&lt;='Assumptions'!$B$8,('P&amp;L'!$C$10*(1+H$20)^3+'Renovation'!E$18-'P&amp;L'!$C$23*(1+'Assumptions'!$B$15)^3)-'Debt'!$B$9,0)+IF(4='Assumptions'!$B$8,('P&amp;L'!$C$10*(1+H$20)^3+'Renovation'!E$18-'P&amp;L'!$C$23*(1+'Assumptions'!$B$15)^3)/H$21*(1-'Assumptions'!$B$10)-'Debt'!$B$12,0)</f>
        <v/>
      </c>
      <c r="I26" s="12">
        <f>IF(4&lt;='Assumptions'!$B$8,('P&amp;L'!$C$10*(1+I$20)^3+'Renovation'!E$18-'P&amp;L'!$C$23*(1+'Assumptions'!$B$15)^3)-'Debt'!$B$9,0)+IF(4='Assumptions'!$B$8,('P&amp;L'!$C$10*(1+I$20)^3+'Renovation'!E$18-'P&amp;L'!$C$23*(1+'Assumptions'!$B$15)^3)/I$21*(1-'Assumptions'!$B$10)-'Debt'!$B$12,0)</f>
        <v/>
      </c>
      <c r="J26" s="12">
        <f>IF(4&lt;='Assumptions'!$B$8,('P&amp;L'!$C$10*(1+J$20)^3+'Renovation'!E$18-'P&amp;L'!$C$23*(1+'Assumptions'!$B$15)^3)-'Debt'!$B$9,0)+IF(4='Assumptions'!$B$8,('P&amp;L'!$C$10*(1+J$20)^3+'Renovation'!E$18-'P&amp;L'!$C$23*(1+'Assumptions'!$B$15)^3)/J$21*(1-'Assumptions'!$B$10)-'Debt'!$B$12,0)</f>
        <v/>
      </c>
      <c r="K26" s="12">
        <f>IF(4&lt;='Assumptions'!$B$8,('P&amp;L'!$C$10*(1+K$20)^3+'Renovation'!E$18-'P&amp;L'!$C$23*(1+'Assumptions'!$B$15)^3)-'Debt'!$B$9,0)+IF(4='Assumptions'!$B$8,('P&amp;L'!$C$10*(1+K$20)^3+'Renovation'!E$18-'P&amp;L'!$C$23*(1+'Assumptions'!$B$15)^3)/K$21*(1-'Assumptions'!$B$10)-'Debt'!$B$12,0)</f>
        <v/>
      </c>
      <c r="L26" s="12">
        <f>IF(4&lt;='Assumptions'!$B$8,('P&amp;L'!$C$10*(1+L$20)^3+'Renovation'!E$18-'P&amp;L'!$C$23*(1+'Assumptions'!$B$15)^3)-'Debt'!$B$9,0)+IF(4='Assumptions'!$B$8,('P&amp;L'!$C$10*(1+L$20)^3+'Renovation'!E$18-'P&amp;L'!$C$23*(1+'Assumptions'!$B$15)^3)/L$21*(1-'Assumptions'!$B$10)-'Debt'!$B$12,0)</f>
        <v/>
      </c>
      <c r="M26" s="12">
        <f>IF(4&lt;='Assumptions'!$B$8,('P&amp;L'!$C$10*(1+M$20)^3+'Renovation'!E$18-'P&amp;L'!$C$23*(1+'Assumptions'!$B$15)^3)-'Debt'!$B$9,0)+IF(4='Assumptions'!$B$8,('P&amp;L'!$C$10*(1+M$20)^3+'Renovation'!E$18-'P&amp;L'!$C$23*(1+'Assumptions'!$B$15)^3)/M$21*(1-'Assumptions'!$B$10)-'Debt'!$B$12,0)</f>
        <v/>
      </c>
      <c r="N26" s="12">
        <f>IF(4&lt;='Assumptions'!$B$8,('P&amp;L'!$C$10*(1+N$20)^3+'Renovation'!E$18-'P&amp;L'!$C$23*(1+'Assumptions'!$B$15)^3)-'Debt'!$B$9,0)+IF(4='Assumptions'!$B$8,('P&amp;L'!$C$10*(1+N$20)^3+'Renovation'!E$18-'P&amp;L'!$C$23*(1+'Assumptions'!$B$15)^3)/N$21*(1-'Assumptions'!$B$10)-'Debt'!$B$12,0)</f>
        <v/>
      </c>
      <c r="O26" s="12">
        <f>IF(4&lt;='Assumptions'!$B$8,('P&amp;L'!$C$10*(1+O$20)^3+'Renovation'!E$18-'P&amp;L'!$C$23*(1+'Assumptions'!$B$15)^3)-'Debt'!$B$9,0)+IF(4='Assumptions'!$B$8,('P&amp;L'!$C$10*(1+O$20)^3+'Renovation'!E$18-'P&amp;L'!$C$23*(1+'Assumptions'!$B$15)^3)/O$21*(1-'Assumptions'!$B$10)-'Debt'!$B$12,0)</f>
        <v/>
      </c>
      <c r="P26" s="12">
        <f>IF(4&lt;='Assumptions'!$B$8,('P&amp;L'!$C$10*(1+P$20)^3+'Renovation'!E$18-'P&amp;L'!$C$23*(1+'Assumptions'!$B$15)^3)-'Debt'!$B$9,0)+IF(4='Assumptions'!$B$8,('P&amp;L'!$C$10*(1+P$20)^3+'Renovation'!E$18-'P&amp;L'!$C$23*(1+'Assumptions'!$B$15)^3)/P$21*(1-'Assumptions'!$B$10)-'Debt'!$B$12,0)</f>
        <v/>
      </c>
      <c r="Q26" s="12">
        <f>IF(4&lt;='Assumptions'!$B$8,('P&amp;L'!$C$10*(1+Q$20)^3+'Renovation'!E$18-'P&amp;L'!$C$23*(1+'Assumptions'!$B$15)^3)-'Debt'!$B$9,0)+IF(4='Assumptions'!$B$8,('P&amp;L'!$C$10*(1+Q$20)^3+'Renovation'!E$18-'P&amp;L'!$C$23*(1+'Assumptions'!$B$15)^3)/Q$21*(1-'Assumptions'!$B$10)-'Debt'!$B$12,0)</f>
        <v/>
      </c>
      <c r="R26" s="12">
        <f>IF(4&lt;='Assumptions'!$B$8,('P&amp;L'!$C$10*(1+R$20)^3+'Renovation'!E$18-'P&amp;L'!$C$23*(1+'Assumptions'!$B$15)^3)-'Debt'!$B$9,0)+IF(4='Assumptions'!$B$8,('P&amp;L'!$C$10*(1+R$20)^3+'Renovation'!E$18-'P&amp;L'!$C$23*(1+'Assumptions'!$B$15)^3)/R$21*(1-'Assumptions'!$B$10)-'Debt'!$B$12,0)</f>
        <v/>
      </c>
      <c r="S26" s="12">
        <f>IF(4&lt;='Assumptions'!$B$8,('P&amp;L'!$C$10*(1+S$20)^3+'Renovation'!E$18-'P&amp;L'!$C$23*(1+'Assumptions'!$B$15)^3)-'Debt'!$B$9,0)+IF(4='Assumptions'!$B$8,('P&amp;L'!$C$10*(1+S$20)^3+'Renovation'!E$18-'P&amp;L'!$C$23*(1+'Assumptions'!$B$15)^3)/S$21*(1-'Assumptions'!$B$10)-'Debt'!$B$12,0)</f>
        <v/>
      </c>
      <c r="T26" s="12">
        <f>IF(4&lt;='Assumptions'!$B$8,('P&amp;L'!$C$10*(1+T$20)^3+'Renovation'!E$18-'P&amp;L'!$C$23*(1+'Assumptions'!$B$15)^3)-'Debt'!$B$9,0)+IF(4='Assumptions'!$B$8,('P&amp;L'!$C$10*(1+T$20)^3+'Renovation'!E$18-'P&amp;L'!$C$23*(1+'Assumptions'!$B$15)^3)/T$21*(1-'Assumptions'!$B$10)-'Debt'!$B$12,0)</f>
        <v/>
      </c>
      <c r="U26" s="12">
        <f>IF(4&lt;='Assumptions'!$B$8,('P&amp;L'!$C$10*(1+U$20)^3+'Renovation'!E$18-'P&amp;L'!$C$23*(1+'Assumptions'!$B$15)^3)-'Debt'!$B$9,0)+IF(4='Assumptions'!$B$8,('P&amp;L'!$C$10*(1+U$20)^3+'Renovation'!E$18-'P&amp;L'!$C$23*(1+'Assumptions'!$B$15)^3)/U$21*(1-'Assumptions'!$B$10)-'Debt'!$B$12,0)</f>
        <v/>
      </c>
      <c r="V26" s="12">
        <f>IF(4&lt;='Assumptions'!$B$8,('P&amp;L'!$C$10*(1+V$20)^3+'Renovation'!E$18-'P&amp;L'!$C$23*(1+'Assumptions'!$B$15)^3)-'Debt'!$B$9,0)+IF(4='Assumptions'!$B$8,('P&amp;L'!$C$10*(1+V$20)^3+'Renovation'!E$18-'P&amp;L'!$C$23*(1+'Assumptions'!$B$15)^3)/V$21*(1-'Assumptions'!$B$10)-'Debt'!$B$12,0)</f>
        <v/>
      </c>
      <c r="W26" s="12">
        <f>IF(4&lt;='Assumptions'!$B$8,('P&amp;L'!$C$10*(1+W$20)^3+'Renovation'!E$18-'P&amp;L'!$C$23*(1+'Assumptions'!$B$15)^3)-'Debt'!$B$9,0)+IF(4='Assumptions'!$B$8,('P&amp;L'!$C$10*(1+W$20)^3+'Renovation'!E$18-'P&amp;L'!$C$23*(1+'Assumptions'!$B$15)^3)/W$21*(1-'Assumptions'!$B$10)-'Debt'!$B$12,0)</f>
        <v/>
      </c>
      <c r="X26" s="12">
        <f>IF(4&lt;='Assumptions'!$B$8,('P&amp;L'!$C$10*(1+X$20)^3+'Renovation'!E$18-'P&amp;L'!$C$23*(1+'Assumptions'!$B$15)^3)-'Debt'!$B$9,0)+IF(4='Assumptions'!$B$8,('P&amp;L'!$C$10*(1+X$20)^3+'Renovation'!E$18-'P&amp;L'!$C$23*(1+'Assumptions'!$B$15)^3)/X$21*(1-'Assumptions'!$B$10)-'Debt'!$B$12,0)</f>
        <v/>
      </c>
      <c r="Y26" s="12">
        <f>IF(4&lt;='Assumptions'!$B$8,('P&amp;L'!$C$10*(1+Y$20)^3+'Renovation'!E$18-'P&amp;L'!$C$23*(1+'Assumptions'!$B$15)^3)-'Debt'!$B$9,0)+IF(4='Assumptions'!$B$8,('P&amp;L'!$C$10*(1+Y$20)^3+'Renovation'!E$18-'P&amp;L'!$C$23*(1+'Assumptions'!$B$15)^3)/Y$21*(1-'Assumptions'!$B$10)-'Debt'!$B$12,0)</f>
        <v/>
      </c>
      <c r="Z26" s="12">
        <f>IF(4&lt;='Assumptions'!$B$8,('P&amp;L'!$C$10*(1+Z$20)^3+'Renovation'!E$18-'P&amp;L'!$C$23*(1+'Assumptions'!$B$15)^3)-'Debt'!$B$9,0)+IF(4='Assumptions'!$B$8,('P&amp;L'!$C$10*(1+Z$20)^3+'Renovation'!E$18-'P&amp;L'!$C$23*(1+'Assumptions'!$B$15)^3)/Z$21*(1-'Assumptions'!$B$10)-'Debt'!$B$12,0)</f>
        <v/>
      </c>
    </row>
    <row r="27">
      <c r="A27" s="25" t="inlineStr">
        <is>
          <t>CF Year 5</t>
        </is>
      </c>
      <c r="B27" s="12">
        <f>IF(5&lt;='Assumptions'!$B$8,('P&amp;L'!$C$10*(1+B$20)^4+'Renovation'!F$18-'P&amp;L'!$C$23*(1+'Assumptions'!$B$15)^4)-'Debt'!$B$9,0)+IF(5='Assumptions'!$B$8,('P&amp;L'!$C$10*(1+B$20)^4+'Renovation'!F$18-'P&amp;L'!$C$23*(1+'Assumptions'!$B$15)^4)/B$21*(1-'Assumptions'!$B$10)-'Debt'!$B$12,0)</f>
        <v/>
      </c>
      <c r="C27" s="12">
        <f>IF(5&lt;='Assumptions'!$B$8,('P&amp;L'!$C$10*(1+C$20)^4+'Renovation'!F$18-'P&amp;L'!$C$23*(1+'Assumptions'!$B$15)^4)-'Debt'!$B$9,0)+IF(5='Assumptions'!$B$8,('P&amp;L'!$C$10*(1+C$20)^4+'Renovation'!F$18-'P&amp;L'!$C$23*(1+'Assumptions'!$B$15)^4)/C$21*(1-'Assumptions'!$B$10)-'Debt'!$B$12,0)</f>
        <v/>
      </c>
      <c r="D27" s="12">
        <f>IF(5&lt;='Assumptions'!$B$8,('P&amp;L'!$C$10*(1+D$20)^4+'Renovation'!F$18-'P&amp;L'!$C$23*(1+'Assumptions'!$B$15)^4)-'Debt'!$B$9,0)+IF(5='Assumptions'!$B$8,('P&amp;L'!$C$10*(1+D$20)^4+'Renovation'!F$18-'P&amp;L'!$C$23*(1+'Assumptions'!$B$15)^4)/D$21*(1-'Assumptions'!$B$10)-'Debt'!$B$12,0)</f>
        <v/>
      </c>
      <c r="E27" s="12">
        <f>IF(5&lt;='Assumptions'!$B$8,('P&amp;L'!$C$10*(1+E$20)^4+'Renovation'!F$18-'P&amp;L'!$C$23*(1+'Assumptions'!$B$15)^4)-'Debt'!$B$9,0)+IF(5='Assumptions'!$B$8,('P&amp;L'!$C$10*(1+E$20)^4+'Renovation'!F$18-'P&amp;L'!$C$23*(1+'Assumptions'!$B$15)^4)/E$21*(1-'Assumptions'!$B$10)-'Debt'!$B$12,0)</f>
        <v/>
      </c>
      <c r="F27" s="12">
        <f>IF(5&lt;='Assumptions'!$B$8,('P&amp;L'!$C$10*(1+F$20)^4+'Renovation'!F$18-'P&amp;L'!$C$23*(1+'Assumptions'!$B$15)^4)-'Debt'!$B$9,0)+IF(5='Assumptions'!$B$8,('P&amp;L'!$C$10*(1+F$20)^4+'Renovation'!F$18-'P&amp;L'!$C$23*(1+'Assumptions'!$B$15)^4)/F$21*(1-'Assumptions'!$B$10)-'Debt'!$B$12,0)</f>
        <v/>
      </c>
      <c r="G27" s="12">
        <f>IF(5&lt;='Assumptions'!$B$8,('P&amp;L'!$C$10*(1+G$20)^4+'Renovation'!F$18-'P&amp;L'!$C$23*(1+'Assumptions'!$B$15)^4)-'Debt'!$B$9,0)+IF(5='Assumptions'!$B$8,('P&amp;L'!$C$10*(1+G$20)^4+'Renovation'!F$18-'P&amp;L'!$C$23*(1+'Assumptions'!$B$15)^4)/G$21*(1-'Assumptions'!$B$10)-'Debt'!$B$12,0)</f>
        <v/>
      </c>
      <c r="H27" s="12">
        <f>IF(5&lt;='Assumptions'!$B$8,('P&amp;L'!$C$10*(1+H$20)^4+'Renovation'!F$18-'P&amp;L'!$C$23*(1+'Assumptions'!$B$15)^4)-'Debt'!$B$9,0)+IF(5='Assumptions'!$B$8,('P&amp;L'!$C$10*(1+H$20)^4+'Renovation'!F$18-'P&amp;L'!$C$23*(1+'Assumptions'!$B$15)^4)/H$21*(1-'Assumptions'!$B$10)-'Debt'!$B$12,0)</f>
        <v/>
      </c>
      <c r="I27" s="12">
        <f>IF(5&lt;='Assumptions'!$B$8,('P&amp;L'!$C$10*(1+I$20)^4+'Renovation'!F$18-'P&amp;L'!$C$23*(1+'Assumptions'!$B$15)^4)-'Debt'!$B$9,0)+IF(5='Assumptions'!$B$8,('P&amp;L'!$C$10*(1+I$20)^4+'Renovation'!F$18-'P&amp;L'!$C$23*(1+'Assumptions'!$B$15)^4)/I$21*(1-'Assumptions'!$B$10)-'Debt'!$B$12,0)</f>
        <v/>
      </c>
      <c r="J27" s="12">
        <f>IF(5&lt;='Assumptions'!$B$8,('P&amp;L'!$C$10*(1+J$20)^4+'Renovation'!F$18-'P&amp;L'!$C$23*(1+'Assumptions'!$B$15)^4)-'Debt'!$B$9,0)+IF(5='Assumptions'!$B$8,('P&amp;L'!$C$10*(1+J$20)^4+'Renovation'!F$18-'P&amp;L'!$C$23*(1+'Assumptions'!$B$15)^4)/J$21*(1-'Assumptions'!$B$10)-'Debt'!$B$12,0)</f>
        <v/>
      </c>
      <c r="K27" s="12">
        <f>IF(5&lt;='Assumptions'!$B$8,('P&amp;L'!$C$10*(1+K$20)^4+'Renovation'!F$18-'P&amp;L'!$C$23*(1+'Assumptions'!$B$15)^4)-'Debt'!$B$9,0)+IF(5='Assumptions'!$B$8,('P&amp;L'!$C$10*(1+K$20)^4+'Renovation'!F$18-'P&amp;L'!$C$23*(1+'Assumptions'!$B$15)^4)/K$21*(1-'Assumptions'!$B$10)-'Debt'!$B$12,0)</f>
        <v/>
      </c>
      <c r="L27" s="12">
        <f>IF(5&lt;='Assumptions'!$B$8,('P&amp;L'!$C$10*(1+L$20)^4+'Renovation'!F$18-'P&amp;L'!$C$23*(1+'Assumptions'!$B$15)^4)-'Debt'!$B$9,0)+IF(5='Assumptions'!$B$8,('P&amp;L'!$C$10*(1+L$20)^4+'Renovation'!F$18-'P&amp;L'!$C$23*(1+'Assumptions'!$B$15)^4)/L$21*(1-'Assumptions'!$B$10)-'Debt'!$B$12,0)</f>
        <v/>
      </c>
      <c r="M27" s="12">
        <f>IF(5&lt;='Assumptions'!$B$8,('P&amp;L'!$C$10*(1+M$20)^4+'Renovation'!F$18-'P&amp;L'!$C$23*(1+'Assumptions'!$B$15)^4)-'Debt'!$B$9,0)+IF(5='Assumptions'!$B$8,('P&amp;L'!$C$10*(1+M$20)^4+'Renovation'!F$18-'P&amp;L'!$C$23*(1+'Assumptions'!$B$15)^4)/M$21*(1-'Assumptions'!$B$10)-'Debt'!$B$12,0)</f>
        <v/>
      </c>
      <c r="N27" s="12">
        <f>IF(5&lt;='Assumptions'!$B$8,('P&amp;L'!$C$10*(1+N$20)^4+'Renovation'!F$18-'P&amp;L'!$C$23*(1+'Assumptions'!$B$15)^4)-'Debt'!$B$9,0)+IF(5='Assumptions'!$B$8,('P&amp;L'!$C$10*(1+N$20)^4+'Renovation'!F$18-'P&amp;L'!$C$23*(1+'Assumptions'!$B$15)^4)/N$21*(1-'Assumptions'!$B$10)-'Debt'!$B$12,0)</f>
        <v/>
      </c>
      <c r="O27" s="12">
        <f>IF(5&lt;='Assumptions'!$B$8,('P&amp;L'!$C$10*(1+O$20)^4+'Renovation'!F$18-'P&amp;L'!$C$23*(1+'Assumptions'!$B$15)^4)-'Debt'!$B$9,0)+IF(5='Assumptions'!$B$8,('P&amp;L'!$C$10*(1+O$20)^4+'Renovation'!F$18-'P&amp;L'!$C$23*(1+'Assumptions'!$B$15)^4)/O$21*(1-'Assumptions'!$B$10)-'Debt'!$B$12,0)</f>
        <v/>
      </c>
      <c r="P27" s="12">
        <f>IF(5&lt;='Assumptions'!$B$8,('P&amp;L'!$C$10*(1+P$20)^4+'Renovation'!F$18-'P&amp;L'!$C$23*(1+'Assumptions'!$B$15)^4)-'Debt'!$B$9,0)+IF(5='Assumptions'!$B$8,('P&amp;L'!$C$10*(1+P$20)^4+'Renovation'!F$18-'P&amp;L'!$C$23*(1+'Assumptions'!$B$15)^4)/P$21*(1-'Assumptions'!$B$10)-'Debt'!$B$12,0)</f>
        <v/>
      </c>
      <c r="Q27" s="12">
        <f>IF(5&lt;='Assumptions'!$B$8,('P&amp;L'!$C$10*(1+Q$20)^4+'Renovation'!F$18-'P&amp;L'!$C$23*(1+'Assumptions'!$B$15)^4)-'Debt'!$B$9,0)+IF(5='Assumptions'!$B$8,('P&amp;L'!$C$10*(1+Q$20)^4+'Renovation'!F$18-'P&amp;L'!$C$23*(1+'Assumptions'!$B$15)^4)/Q$21*(1-'Assumptions'!$B$10)-'Debt'!$B$12,0)</f>
        <v/>
      </c>
      <c r="R27" s="12">
        <f>IF(5&lt;='Assumptions'!$B$8,('P&amp;L'!$C$10*(1+R$20)^4+'Renovation'!F$18-'P&amp;L'!$C$23*(1+'Assumptions'!$B$15)^4)-'Debt'!$B$9,0)+IF(5='Assumptions'!$B$8,('P&amp;L'!$C$10*(1+R$20)^4+'Renovation'!F$18-'P&amp;L'!$C$23*(1+'Assumptions'!$B$15)^4)/R$21*(1-'Assumptions'!$B$10)-'Debt'!$B$12,0)</f>
        <v/>
      </c>
      <c r="S27" s="12">
        <f>IF(5&lt;='Assumptions'!$B$8,('P&amp;L'!$C$10*(1+S$20)^4+'Renovation'!F$18-'P&amp;L'!$C$23*(1+'Assumptions'!$B$15)^4)-'Debt'!$B$9,0)+IF(5='Assumptions'!$B$8,('P&amp;L'!$C$10*(1+S$20)^4+'Renovation'!F$18-'P&amp;L'!$C$23*(1+'Assumptions'!$B$15)^4)/S$21*(1-'Assumptions'!$B$10)-'Debt'!$B$12,0)</f>
        <v/>
      </c>
      <c r="T27" s="12">
        <f>IF(5&lt;='Assumptions'!$B$8,('P&amp;L'!$C$10*(1+T$20)^4+'Renovation'!F$18-'P&amp;L'!$C$23*(1+'Assumptions'!$B$15)^4)-'Debt'!$B$9,0)+IF(5='Assumptions'!$B$8,('P&amp;L'!$C$10*(1+T$20)^4+'Renovation'!F$18-'P&amp;L'!$C$23*(1+'Assumptions'!$B$15)^4)/T$21*(1-'Assumptions'!$B$10)-'Debt'!$B$12,0)</f>
        <v/>
      </c>
      <c r="U27" s="12">
        <f>IF(5&lt;='Assumptions'!$B$8,('P&amp;L'!$C$10*(1+U$20)^4+'Renovation'!F$18-'P&amp;L'!$C$23*(1+'Assumptions'!$B$15)^4)-'Debt'!$B$9,0)+IF(5='Assumptions'!$B$8,('P&amp;L'!$C$10*(1+U$20)^4+'Renovation'!F$18-'P&amp;L'!$C$23*(1+'Assumptions'!$B$15)^4)/U$21*(1-'Assumptions'!$B$10)-'Debt'!$B$12,0)</f>
        <v/>
      </c>
      <c r="V27" s="12">
        <f>IF(5&lt;='Assumptions'!$B$8,('P&amp;L'!$C$10*(1+V$20)^4+'Renovation'!F$18-'P&amp;L'!$C$23*(1+'Assumptions'!$B$15)^4)-'Debt'!$B$9,0)+IF(5='Assumptions'!$B$8,('P&amp;L'!$C$10*(1+V$20)^4+'Renovation'!F$18-'P&amp;L'!$C$23*(1+'Assumptions'!$B$15)^4)/V$21*(1-'Assumptions'!$B$10)-'Debt'!$B$12,0)</f>
        <v/>
      </c>
      <c r="W27" s="12">
        <f>IF(5&lt;='Assumptions'!$B$8,('P&amp;L'!$C$10*(1+W$20)^4+'Renovation'!F$18-'P&amp;L'!$C$23*(1+'Assumptions'!$B$15)^4)-'Debt'!$B$9,0)+IF(5='Assumptions'!$B$8,('P&amp;L'!$C$10*(1+W$20)^4+'Renovation'!F$18-'P&amp;L'!$C$23*(1+'Assumptions'!$B$15)^4)/W$21*(1-'Assumptions'!$B$10)-'Debt'!$B$12,0)</f>
        <v/>
      </c>
      <c r="X27" s="12">
        <f>IF(5&lt;='Assumptions'!$B$8,('P&amp;L'!$C$10*(1+X$20)^4+'Renovation'!F$18-'P&amp;L'!$C$23*(1+'Assumptions'!$B$15)^4)-'Debt'!$B$9,0)+IF(5='Assumptions'!$B$8,('P&amp;L'!$C$10*(1+X$20)^4+'Renovation'!F$18-'P&amp;L'!$C$23*(1+'Assumptions'!$B$15)^4)/X$21*(1-'Assumptions'!$B$10)-'Debt'!$B$12,0)</f>
        <v/>
      </c>
      <c r="Y27" s="12">
        <f>IF(5&lt;='Assumptions'!$B$8,('P&amp;L'!$C$10*(1+Y$20)^4+'Renovation'!F$18-'P&amp;L'!$C$23*(1+'Assumptions'!$B$15)^4)-'Debt'!$B$9,0)+IF(5='Assumptions'!$B$8,('P&amp;L'!$C$10*(1+Y$20)^4+'Renovation'!F$18-'P&amp;L'!$C$23*(1+'Assumptions'!$B$15)^4)/Y$21*(1-'Assumptions'!$B$10)-'Debt'!$B$12,0)</f>
        <v/>
      </c>
      <c r="Z27" s="12">
        <f>IF(5&lt;='Assumptions'!$B$8,('P&amp;L'!$C$10*(1+Z$20)^4+'Renovation'!F$18-'P&amp;L'!$C$23*(1+'Assumptions'!$B$15)^4)-'Debt'!$B$9,0)+IF(5='Assumptions'!$B$8,('P&amp;L'!$C$10*(1+Z$20)^4+'Renovation'!F$18-'P&amp;L'!$C$23*(1+'Assumptions'!$B$15)^4)/Z$21*(1-'Assumptions'!$B$10)-'Debt'!$B$12,0)</f>
        <v/>
      </c>
    </row>
    <row r="28">
      <c r="A28" s="25" t="inlineStr">
        <is>
          <t>CF Year 6</t>
        </is>
      </c>
      <c r="B28" s="12">
        <f>IF(6&lt;='Assumptions'!$B$8,('P&amp;L'!$C$10*(1+B$20)^5+'Renovation'!G$18-'P&amp;L'!$C$23*(1+'Assumptions'!$B$15)^5)-'Debt'!$B$9,0)+IF(6='Assumptions'!$B$8,('P&amp;L'!$C$10*(1+B$20)^5+'Renovation'!G$18-'P&amp;L'!$C$23*(1+'Assumptions'!$B$15)^5)/B$21*(1-'Assumptions'!$B$10)-'Debt'!$B$12,0)</f>
        <v/>
      </c>
      <c r="C28" s="12">
        <f>IF(6&lt;='Assumptions'!$B$8,('P&amp;L'!$C$10*(1+C$20)^5+'Renovation'!G$18-'P&amp;L'!$C$23*(1+'Assumptions'!$B$15)^5)-'Debt'!$B$9,0)+IF(6='Assumptions'!$B$8,('P&amp;L'!$C$10*(1+C$20)^5+'Renovation'!G$18-'P&amp;L'!$C$23*(1+'Assumptions'!$B$15)^5)/C$21*(1-'Assumptions'!$B$10)-'Debt'!$B$12,0)</f>
        <v/>
      </c>
      <c r="D28" s="12">
        <f>IF(6&lt;='Assumptions'!$B$8,('P&amp;L'!$C$10*(1+D$20)^5+'Renovation'!G$18-'P&amp;L'!$C$23*(1+'Assumptions'!$B$15)^5)-'Debt'!$B$9,0)+IF(6='Assumptions'!$B$8,('P&amp;L'!$C$10*(1+D$20)^5+'Renovation'!G$18-'P&amp;L'!$C$23*(1+'Assumptions'!$B$15)^5)/D$21*(1-'Assumptions'!$B$10)-'Debt'!$B$12,0)</f>
        <v/>
      </c>
      <c r="E28" s="12">
        <f>IF(6&lt;='Assumptions'!$B$8,('P&amp;L'!$C$10*(1+E$20)^5+'Renovation'!G$18-'P&amp;L'!$C$23*(1+'Assumptions'!$B$15)^5)-'Debt'!$B$9,0)+IF(6='Assumptions'!$B$8,('P&amp;L'!$C$10*(1+E$20)^5+'Renovation'!G$18-'P&amp;L'!$C$23*(1+'Assumptions'!$B$15)^5)/E$21*(1-'Assumptions'!$B$10)-'Debt'!$B$12,0)</f>
        <v/>
      </c>
      <c r="F28" s="12">
        <f>IF(6&lt;='Assumptions'!$B$8,('P&amp;L'!$C$10*(1+F$20)^5+'Renovation'!G$18-'P&amp;L'!$C$23*(1+'Assumptions'!$B$15)^5)-'Debt'!$B$9,0)+IF(6='Assumptions'!$B$8,('P&amp;L'!$C$10*(1+F$20)^5+'Renovation'!G$18-'P&amp;L'!$C$23*(1+'Assumptions'!$B$15)^5)/F$21*(1-'Assumptions'!$B$10)-'Debt'!$B$12,0)</f>
        <v/>
      </c>
      <c r="G28" s="12">
        <f>IF(6&lt;='Assumptions'!$B$8,('P&amp;L'!$C$10*(1+G$20)^5+'Renovation'!G$18-'P&amp;L'!$C$23*(1+'Assumptions'!$B$15)^5)-'Debt'!$B$9,0)+IF(6='Assumptions'!$B$8,('P&amp;L'!$C$10*(1+G$20)^5+'Renovation'!G$18-'P&amp;L'!$C$23*(1+'Assumptions'!$B$15)^5)/G$21*(1-'Assumptions'!$B$10)-'Debt'!$B$12,0)</f>
        <v/>
      </c>
      <c r="H28" s="12">
        <f>IF(6&lt;='Assumptions'!$B$8,('P&amp;L'!$C$10*(1+H$20)^5+'Renovation'!G$18-'P&amp;L'!$C$23*(1+'Assumptions'!$B$15)^5)-'Debt'!$B$9,0)+IF(6='Assumptions'!$B$8,('P&amp;L'!$C$10*(1+H$20)^5+'Renovation'!G$18-'P&amp;L'!$C$23*(1+'Assumptions'!$B$15)^5)/H$21*(1-'Assumptions'!$B$10)-'Debt'!$B$12,0)</f>
        <v/>
      </c>
      <c r="I28" s="12">
        <f>IF(6&lt;='Assumptions'!$B$8,('P&amp;L'!$C$10*(1+I$20)^5+'Renovation'!G$18-'P&amp;L'!$C$23*(1+'Assumptions'!$B$15)^5)-'Debt'!$B$9,0)+IF(6='Assumptions'!$B$8,('P&amp;L'!$C$10*(1+I$20)^5+'Renovation'!G$18-'P&amp;L'!$C$23*(1+'Assumptions'!$B$15)^5)/I$21*(1-'Assumptions'!$B$10)-'Debt'!$B$12,0)</f>
        <v/>
      </c>
      <c r="J28" s="12">
        <f>IF(6&lt;='Assumptions'!$B$8,('P&amp;L'!$C$10*(1+J$20)^5+'Renovation'!G$18-'P&amp;L'!$C$23*(1+'Assumptions'!$B$15)^5)-'Debt'!$B$9,0)+IF(6='Assumptions'!$B$8,('P&amp;L'!$C$10*(1+J$20)^5+'Renovation'!G$18-'P&amp;L'!$C$23*(1+'Assumptions'!$B$15)^5)/J$21*(1-'Assumptions'!$B$10)-'Debt'!$B$12,0)</f>
        <v/>
      </c>
      <c r="K28" s="12">
        <f>IF(6&lt;='Assumptions'!$B$8,('P&amp;L'!$C$10*(1+K$20)^5+'Renovation'!G$18-'P&amp;L'!$C$23*(1+'Assumptions'!$B$15)^5)-'Debt'!$B$9,0)+IF(6='Assumptions'!$B$8,('P&amp;L'!$C$10*(1+K$20)^5+'Renovation'!G$18-'P&amp;L'!$C$23*(1+'Assumptions'!$B$15)^5)/K$21*(1-'Assumptions'!$B$10)-'Debt'!$B$12,0)</f>
        <v/>
      </c>
      <c r="L28" s="12">
        <f>IF(6&lt;='Assumptions'!$B$8,('P&amp;L'!$C$10*(1+L$20)^5+'Renovation'!G$18-'P&amp;L'!$C$23*(1+'Assumptions'!$B$15)^5)-'Debt'!$B$9,0)+IF(6='Assumptions'!$B$8,('P&amp;L'!$C$10*(1+L$20)^5+'Renovation'!G$18-'P&amp;L'!$C$23*(1+'Assumptions'!$B$15)^5)/L$21*(1-'Assumptions'!$B$10)-'Debt'!$B$12,0)</f>
        <v/>
      </c>
      <c r="M28" s="12">
        <f>IF(6&lt;='Assumptions'!$B$8,('P&amp;L'!$C$10*(1+M$20)^5+'Renovation'!G$18-'P&amp;L'!$C$23*(1+'Assumptions'!$B$15)^5)-'Debt'!$B$9,0)+IF(6='Assumptions'!$B$8,('P&amp;L'!$C$10*(1+M$20)^5+'Renovation'!G$18-'P&amp;L'!$C$23*(1+'Assumptions'!$B$15)^5)/M$21*(1-'Assumptions'!$B$10)-'Debt'!$B$12,0)</f>
        <v/>
      </c>
      <c r="N28" s="12">
        <f>IF(6&lt;='Assumptions'!$B$8,('P&amp;L'!$C$10*(1+N$20)^5+'Renovation'!G$18-'P&amp;L'!$C$23*(1+'Assumptions'!$B$15)^5)-'Debt'!$B$9,0)+IF(6='Assumptions'!$B$8,('P&amp;L'!$C$10*(1+N$20)^5+'Renovation'!G$18-'P&amp;L'!$C$23*(1+'Assumptions'!$B$15)^5)/N$21*(1-'Assumptions'!$B$10)-'Debt'!$B$12,0)</f>
        <v/>
      </c>
      <c r="O28" s="12">
        <f>IF(6&lt;='Assumptions'!$B$8,('P&amp;L'!$C$10*(1+O$20)^5+'Renovation'!G$18-'P&amp;L'!$C$23*(1+'Assumptions'!$B$15)^5)-'Debt'!$B$9,0)+IF(6='Assumptions'!$B$8,('P&amp;L'!$C$10*(1+O$20)^5+'Renovation'!G$18-'P&amp;L'!$C$23*(1+'Assumptions'!$B$15)^5)/O$21*(1-'Assumptions'!$B$10)-'Debt'!$B$12,0)</f>
        <v/>
      </c>
      <c r="P28" s="12">
        <f>IF(6&lt;='Assumptions'!$B$8,('P&amp;L'!$C$10*(1+P$20)^5+'Renovation'!G$18-'P&amp;L'!$C$23*(1+'Assumptions'!$B$15)^5)-'Debt'!$B$9,0)+IF(6='Assumptions'!$B$8,('P&amp;L'!$C$10*(1+P$20)^5+'Renovation'!G$18-'P&amp;L'!$C$23*(1+'Assumptions'!$B$15)^5)/P$21*(1-'Assumptions'!$B$10)-'Debt'!$B$12,0)</f>
        <v/>
      </c>
      <c r="Q28" s="12">
        <f>IF(6&lt;='Assumptions'!$B$8,('P&amp;L'!$C$10*(1+Q$20)^5+'Renovation'!G$18-'P&amp;L'!$C$23*(1+'Assumptions'!$B$15)^5)-'Debt'!$B$9,0)+IF(6='Assumptions'!$B$8,('P&amp;L'!$C$10*(1+Q$20)^5+'Renovation'!G$18-'P&amp;L'!$C$23*(1+'Assumptions'!$B$15)^5)/Q$21*(1-'Assumptions'!$B$10)-'Debt'!$B$12,0)</f>
        <v/>
      </c>
      <c r="R28" s="12">
        <f>IF(6&lt;='Assumptions'!$B$8,('P&amp;L'!$C$10*(1+R$20)^5+'Renovation'!G$18-'P&amp;L'!$C$23*(1+'Assumptions'!$B$15)^5)-'Debt'!$B$9,0)+IF(6='Assumptions'!$B$8,('P&amp;L'!$C$10*(1+R$20)^5+'Renovation'!G$18-'P&amp;L'!$C$23*(1+'Assumptions'!$B$15)^5)/R$21*(1-'Assumptions'!$B$10)-'Debt'!$B$12,0)</f>
        <v/>
      </c>
      <c r="S28" s="12">
        <f>IF(6&lt;='Assumptions'!$B$8,('P&amp;L'!$C$10*(1+S$20)^5+'Renovation'!G$18-'P&amp;L'!$C$23*(1+'Assumptions'!$B$15)^5)-'Debt'!$B$9,0)+IF(6='Assumptions'!$B$8,('P&amp;L'!$C$10*(1+S$20)^5+'Renovation'!G$18-'P&amp;L'!$C$23*(1+'Assumptions'!$B$15)^5)/S$21*(1-'Assumptions'!$B$10)-'Debt'!$B$12,0)</f>
        <v/>
      </c>
      <c r="T28" s="12">
        <f>IF(6&lt;='Assumptions'!$B$8,('P&amp;L'!$C$10*(1+T$20)^5+'Renovation'!G$18-'P&amp;L'!$C$23*(1+'Assumptions'!$B$15)^5)-'Debt'!$B$9,0)+IF(6='Assumptions'!$B$8,('P&amp;L'!$C$10*(1+T$20)^5+'Renovation'!G$18-'P&amp;L'!$C$23*(1+'Assumptions'!$B$15)^5)/T$21*(1-'Assumptions'!$B$10)-'Debt'!$B$12,0)</f>
        <v/>
      </c>
      <c r="U28" s="12">
        <f>IF(6&lt;='Assumptions'!$B$8,('P&amp;L'!$C$10*(1+U$20)^5+'Renovation'!G$18-'P&amp;L'!$C$23*(1+'Assumptions'!$B$15)^5)-'Debt'!$B$9,0)+IF(6='Assumptions'!$B$8,('P&amp;L'!$C$10*(1+U$20)^5+'Renovation'!G$18-'P&amp;L'!$C$23*(1+'Assumptions'!$B$15)^5)/U$21*(1-'Assumptions'!$B$10)-'Debt'!$B$12,0)</f>
        <v/>
      </c>
      <c r="V28" s="12">
        <f>IF(6&lt;='Assumptions'!$B$8,('P&amp;L'!$C$10*(1+V$20)^5+'Renovation'!G$18-'P&amp;L'!$C$23*(1+'Assumptions'!$B$15)^5)-'Debt'!$B$9,0)+IF(6='Assumptions'!$B$8,('P&amp;L'!$C$10*(1+V$20)^5+'Renovation'!G$18-'P&amp;L'!$C$23*(1+'Assumptions'!$B$15)^5)/V$21*(1-'Assumptions'!$B$10)-'Debt'!$B$12,0)</f>
        <v/>
      </c>
      <c r="W28" s="12">
        <f>IF(6&lt;='Assumptions'!$B$8,('P&amp;L'!$C$10*(1+W$20)^5+'Renovation'!G$18-'P&amp;L'!$C$23*(1+'Assumptions'!$B$15)^5)-'Debt'!$B$9,0)+IF(6='Assumptions'!$B$8,('P&amp;L'!$C$10*(1+W$20)^5+'Renovation'!G$18-'P&amp;L'!$C$23*(1+'Assumptions'!$B$15)^5)/W$21*(1-'Assumptions'!$B$10)-'Debt'!$B$12,0)</f>
        <v/>
      </c>
      <c r="X28" s="12">
        <f>IF(6&lt;='Assumptions'!$B$8,('P&amp;L'!$C$10*(1+X$20)^5+'Renovation'!G$18-'P&amp;L'!$C$23*(1+'Assumptions'!$B$15)^5)-'Debt'!$B$9,0)+IF(6='Assumptions'!$B$8,('P&amp;L'!$C$10*(1+X$20)^5+'Renovation'!G$18-'P&amp;L'!$C$23*(1+'Assumptions'!$B$15)^5)/X$21*(1-'Assumptions'!$B$10)-'Debt'!$B$12,0)</f>
        <v/>
      </c>
      <c r="Y28" s="12">
        <f>IF(6&lt;='Assumptions'!$B$8,('P&amp;L'!$C$10*(1+Y$20)^5+'Renovation'!G$18-'P&amp;L'!$C$23*(1+'Assumptions'!$B$15)^5)-'Debt'!$B$9,0)+IF(6='Assumptions'!$B$8,('P&amp;L'!$C$10*(1+Y$20)^5+'Renovation'!G$18-'P&amp;L'!$C$23*(1+'Assumptions'!$B$15)^5)/Y$21*(1-'Assumptions'!$B$10)-'Debt'!$B$12,0)</f>
        <v/>
      </c>
      <c r="Z28" s="12">
        <f>IF(6&lt;='Assumptions'!$B$8,('P&amp;L'!$C$10*(1+Z$20)^5+'Renovation'!G$18-'P&amp;L'!$C$23*(1+'Assumptions'!$B$15)^5)-'Debt'!$B$9,0)+IF(6='Assumptions'!$B$8,('P&amp;L'!$C$10*(1+Z$20)^5+'Renovation'!G$18-'P&amp;L'!$C$23*(1+'Assumptions'!$B$15)^5)/Z$21*(1-'Assumptions'!$B$10)-'Debt'!$B$12,0)</f>
        <v/>
      </c>
    </row>
    <row r="29">
      <c r="A29" s="25" t="inlineStr">
        <is>
          <t>CF Year 7</t>
        </is>
      </c>
      <c r="B29" s="12">
        <f>IF(7&lt;='Assumptions'!$B$8,('P&amp;L'!$C$10*(1+B$20)^6+'Renovation'!H$18-'P&amp;L'!$C$23*(1+'Assumptions'!$B$15)^6)-'Debt'!$B$9,0)+IF(7='Assumptions'!$B$8,('P&amp;L'!$C$10*(1+B$20)^6+'Renovation'!H$18-'P&amp;L'!$C$23*(1+'Assumptions'!$B$15)^6)/B$21*(1-'Assumptions'!$B$10)-'Debt'!$B$12,0)</f>
        <v/>
      </c>
      <c r="C29" s="12">
        <f>IF(7&lt;='Assumptions'!$B$8,('P&amp;L'!$C$10*(1+C$20)^6+'Renovation'!H$18-'P&amp;L'!$C$23*(1+'Assumptions'!$B$15)^6)-'Debt'!$B$9,0)+IF(7='Assumptions'!$B$8,('P&amp;L'!$C$10*(1+C$20)^6+'Renovation'!H$18-'P&amp;L'!$C$23*(1+'Assumptions'!$B$15)^6)/C$21*(1-'Assumptions'!$B$10)-'Debt'!$B$12,0)</f>
        <v/>
      </c>
      <c r="D29" s="12">
        <f>IF(7&lt;='Assumptions'!$B$8,('P&amp;L'!$C$10*(1+D$20)^6+'Renovation'!H$18-'P&amp;L'!$C$23*(1+'Assumptions'!$B$15)^6)-'Debt'!$B$9,0)+IF(7='Assumptions'!$B$8,('P&amp;L'!$C$10*(1+D$20)^6+'Renovation'!H$18-'P&amp;L'!$C$23*(1+'Assumptions'!$B$15)^6)/D$21*(1-'Assumptions'!$B$10)-'Debt'!$B$12,0)</f>
        <v/>
      </c>
      <c r="E29" s="12">
        <f>IF(7&lt;='Assumptions'!$B$8,('P&amp;L'!$C$10*(1+E$20)^6+'Renovation'!H$18-'P&amp;L'!$C$23*(1+'Assumptions'!$B$15)^6)-'Debt'!$B$9,0)+IF(7='Assumptions'!$B$8,('P&amp;L'!$C$10*(1+E$20)^6+'Renovation'!H$18-'P&amp;L'!$C$23*(1+'Assumptions'!$B$15)^6)/E$21*(1-'Assumptions'!$B$10)-'Debt'!$B$12,0)</f>
        <v/>
      </c>
      <c r="F29" s="12">
        <f>IF(7&lt;='Assumptions'!$B$8,('P&amp;L'!$C$10*(1+F$20)^6+'Renovation'!H$18-'P&amp;L'!$C$23*(1+'Assumptions'!$B$15)^6)-'Debt'!$B$9,0)+IF(7='Assumptions'!$B$8,('P&amp;L'!$C$10*(1+F$20)^6+'Renovation'!H$18-'P&amp;L'!$C$23*(1+'Assumptions'!$B$15)^6)/F$21*(1-'Assumptions'!$B$10)-'Debt'!$B$12,0)</f>
        <v/>
      </c>
      <c r="G29" s="12">
        <f>IF(7&lt;='Assumptions'!$B$8,('P&amp;L'!$C$10*(1+G$20)^6+'Renovation'!H$18-'P&amp;L'!$C$23*(1+'Assumptions'!$B$15)^6)-'Debt'!$B$9,0)+IF(7='Assumptions'!$B$8,('P&amp;L'!$C$10*(1+G$20)^6+'Renovation'!H$18-'P&amp;L'!$C$23*(1+'Assumptions'!$B$15)^6)/G$21*(1-'Assumptions'!$B$10)-'Debt'!$B$12,0)</f>
        <v/>
      </c>
      <c r="H29" s="12">
        <f>IF(7&lt;='Assumptions'!$B$8,('P&amp;L'!$C$10*(1+H$20)^6+'Renovation'!H$18-'P&amp;L'!$C$23*(1+'Assumptions'!$B$15)^6)-'Debt'!$B$9,0)+IF(7='Assumptions'!$B$8,('P&amp;L'!$C$10*(1+H$20)^6+'Renovation'!H$18-'P&amp;L'!$C$23*(1+'Assumptions'!$B$15)^6)/H$21*(1-'Assumptions'!$B$10)-'Debt'!$B$12,0)</f>
        <v/>
      </c>
      <c r="I29" s="12">
        <f>IF(7&lt;='Assumptions'!$B$8,('P&amp;L'!$C$10*(1+I$20)^6+'Renovation'!H$18-'P&amp;L'!$C$23*(1+'Assumptions'!$B$15)^6)-'Debt'!$B$9,0)+IF(7='Assumptions'!$B$8,('P&amp;L'!$C$10*(1+I$20)^6+'Renovation'!H$18-'P&amp;L'!$C$23*(1+'Assumptions'!$B$15)^6)/I$21*(1-'Assumptions'!$B$10)-'Debt'!$B$12,0)</f>
        <v/>
      </c>
      <c r="J29" s="12">
        <f>IF(7&lt;='Assumptions'!$B$8,('P&amp;L'!$C$10*(1+J$20)^6+'Renovation'!H$18-'P&amp;L'!$C$23*(1+'Assumptions'!$B$15)^6)-'Debt'!$B$9,0)+IF(7='Assumptions'!$B$8,('P&amp;L'!$C$10*(1+J$20)^6+'Renovation'!H$18-'P&amp;L'!$C$23*(1+'Assumptions'!$B$15)^6)/J$21*(1-'Assumptions'!$B$10)-'Debt'!$B$12,0)</f>
        <v/>
      </c>
      <c r="K29" s="12">
        <f>IF(7&lt;='Assumptions'!$B$8,('P&amp;L'!$C$10*(1+K$20)^6+'Renovation'!H$18-'P&amp;L'!$C$23*(1+'Assumptions'!$B$15)^6)-'Debt'!$B$9,0)+IF(7='Assumptions'!$B$8,('P&amp;L'!$C$10*(1+K$20)^6+'Renovation'!H$18-'P&amp;L'!$C$23*(1+'Assumptions'!$B$15)^6)/K$21*(1-'Assumptions'!$B$10)-'Debt'!$B$12,0)</f>
        <v/>
      </c>
      <c r="L29" s="12">
        <f>IF(7&lt;='Assumptions'!$B$8,('P&amp;L'!$C$10*(1+L$20)^6+'Renovation'!H$18-'P&amp;L'!$C$23*(1+'Assumptions'!$B$15)^6)-'Debt'!$B$9,0)+IF(7='Assumptions'!$B$8,('P&amp;L'!$C$10*(1+L$20)^6+'Renovation'!H$18-'P&amp;L'!$C$23*(1+'Assumptions'!$B$15)^6)/L$21*(1-'Assumptions'!$B$10)-'Debt'!$B$12,0)</f>
        <v/>
      </c>
      <c r="M29" s="12">
        <f>IF(7&lt;='Assumptions'!$B$8,('P&amp;L'!$C$10*(1+M$20)^6+'Renovation'!H$18-'P&amp;L'!$C$23*(1+'Assumptions'!$B$15)^6)-'Debt'!$B$9,0)+IF(7='Assumptions'!$B$8,('P&amp;L'!$C$10*(1+M$20)^6+'Renovation'!H$18-'P&amp;L'!$C$23*(1+'Assumptions'!$B$15)^6)/M$21*(1-'Assumptions'!$B$10)-'Debt'!$B$12,0)</f>
        <v/>
      </c>
      <c r="N29" s="12">
        <f>IF(7&lt;='Assumptions'!$B$8,('P&amp;L'!$C$10*(1+N$20)^6+'Renovation'!H$18-'P&amp;L'!$C$23*(1+'Assumptions'!$B$15)^6)-'Debt'!$B$9,0)+IF(7='Assumptions'!$B$8,('P&amp;L'!$C$10*(1+N$20)^6+'Renovation'!H$18-'P&amp;L'!$C$23*(1+'Assumptions'!$B$15)^6)/N$21*(1-'Assumptions'!$B$10)-'Debt'!$B$12,0)</f>
        <v/>
      </c>
      <c r="O29" s="12">
        <f>IF(7&lt;='Assumptions'!$B$8,('P&amp;L'!$C$10*(1+O$20)^6+'Renovation'!H$18-'P&amp;L'!$C$23*(1+'Assumptions'!$B$15)^6)-'Debt'!$B$9,0)+IF(7='Assumptions'!$B$8,('P&amp;L'!$C$10*(1+O$20)^6+'Renovation'!H$18-'P&amp;L'!$C$23*(1+'Assumptions'!$B$15)^6)/O$21*(1-'Assumptions'!$B$10)-'Debt'!$B$12,0)</f>
        <v/>
      </c>
      <c r="P29" s="12">
        <f>IF(7&lt;='Assumptions'!$B$8,('P&amp;L'!$C$10*(1+P$20)^6+'Renovation'!H$18-'P&amp;L'!$C$23*(1+'Assumptions'!$B$15)^6)-'Debt'!$B$9,0)+IF(7='Assumptions'!$B$8,('P&amp;L'!$C$10*(1+P$20)^6+'Renovation'!H$18-'P&amp;L'!$C$23*(1+'Assumptions'!$B$15)^6)/P$21*(1-'Assumptions'!$B$10)-'Debt'!$B$12,0)</f>
        <v/>
      </c>
      <c r="Q29" s="12">
        <f>IF(7&lt;='Assumptions'!$B$8,('P&amp;L'!$C$10*(1+Q$20)^6+'Renovation'!H$18-'P&amp;L'!$C$23*(1+'Assumptions'!$B$15)^6)-'Debt'!$B$9,0)+IF(7='Assumptions'!$B$8,('P&amp;L'!$C$10*(1+Q$20)^6+'Renovation'!H$18-'P&amp;L'!$C$23*(1+'Assumptions'!$B$15)^6)/Q$21*(1-'Assumptions'!$B$10)-'Debt'!$B$12,0)</f>
        <v/>
      </c>
      <c r="R29" s="12">
        <f>IF(7&lt;='Assumptions'!$B$8,('P&amp;L'!$C$10*(1+R$20)^6+'Renovation'!H$18-'P&amp;L'!$C$23*(1+'Assumptions'!$B$15)^6)-'Debt'!$B$9,0)+IF(7='Assumptions'!$B$8,('P&amp;L'!$C$10*(1+R$20)^6+'Renovation'!H$18-'P&amp;L'!$C$23*(1+'Assumptions'!$B$15)^6)/R$21*(1-'Assumptions'!$B$10)-'Debt'!$B$12,0)</f>
        <v/>
      </c>
      <c r="S29" s="12">
        <f>IF(7&lt;='Assumptions'!$B$8,('P&amp;L'!$C$10*(1+S$20)^6+'Renovation'!H$18-'P&amp;L'!$C$23*(1+'Assumptions'!$B$15)^6)-'Debt'!$B$9,0)+IF(7='Assumptions'!$B$8,('P&amp;L'!$C$10*(1+S$20)^6+'Renovation'!H$18-'P&amp;L'!$C$23*(1+'Assumptions'!$B$15)^6)/S$21*(1-'Assumptions'!$B$10)-'Debt'!$B$12,0)</f>
        <v/>
      </c>
      <c r="T29" s="12">
        <f>IF(7&lt;='Assumptions'!$B$8,('P&amp;L'!$C$10*(1+T$20)^6+'Renovation'!H$18-'P&amp;L'!$C$23*(1+'Assumptions'!$B$15)^6)-'Debt'!$B$9,0)+IF(7='Assumptions'!$B$8,('P&amp;L'!$C$10*(1+T$20)^6+'Renovation'!H$18-'P&amp;L'!$C$23*(1+'Assumptions'!$B$15)^6)/T$21*(1-'Assumptions'!$B$10)-'Debt'!$B$12,0)</f>
        <v/>
      </c>
      <c r="U29" s="12">
        <f>IF(7&lt;='Assumptions'!$B$8,('P&amp;L'!$C$10*(1+U$20)^6+'Renovation'!H$18-'P&amp;L'!$C$23*(1+'Assumptions'!$B$15)^6)-'Debt'!$B$9,0)+IF(7='Assumptions'!$B$8,('P&amp;L'!$C$10*(1+U$20)^6+'Renovation'!H$18-'P&amp;L'!$C$23*(1+'Assumptions'!$B$15)^6)/U$21*(1-'Assumptions'!$B$10)-'Debt'!$B$12,0)</f>
        <v/>
      </c>
      <c r="V29" s="12">
        <f>IF(7&lt;='Assumptions'!$B$8,('P&amp;L'!$C$10*(1+V$20)^6+'Renovation'!H$18-'P&amp;L'!$C$23*(1+'Assumptions'!$B$15)^6)-'Debt'!$B$9,0)+IF(7='Assumptions'!$B$8,('P&amp;L'!$C$10*(1+V$20)^6+'Renovation'!H$18-'P&amp;L'!$C$23*(1+'Assumptions'!$B$15)^6)/V$21*(1-'Assumptions'!$B$10)-'Debt'!$B$12,0)</f>
        <v/>
      </c>
      <c r="W29" s="12">
        <f>IF(7&lt;='Assumptions'!$B$8,('P&amp;L'!$C$10*(1+W$20)^6+'Renovation'!H$18-'P&amp;L'!$C$23*(1+'Assumptions'!$B$15)^6)-'Debt'!$B$9,0)+IF(7='Assumptions'!$B$8,('P&amp;L'!$C$10*(1+W$20)^6+'Renovation'!H$18-'P&amp;L'!$C$23*(1+'Assumptions'!$B$15)^6)/W$21*(1-'Assumptions'!$B$10)-'Debt'!$B$12,0)</f>
        <v/>
      </c>
      <c r="X29" s="12">
        <f>IF(7&lt;='Assumptions'!$B$8,('P&amp;L'!$C$10*(1+X$20)^6+'Renovation'!H$18-'P&amp;L'!$C$23*(1+'Assumptions'!$B$15)^6)-'Debt'!$B$9,0)+IF(7='Assumptions'!$B$8,('P&amp;L'!$C$10*(1+X$20)^6+'Renovation'!H$18-'P&amp;L'!$C$23*(1+'Assumptions'!$B$15)^6)/X$21*(1-'Assumptions'!$B$10)-'Debt'!$B$12,0)</f>
        <v/>
      </c>
      <c r="Y29" s="12">
        <f>IF(7&lt;='Assumptions'!$B$8,('P&amp;L'!$C$10*(1+Y$20)^6+'Renovation'!H$18-'P&amp;L'!$C$23*(1+'Assumptions'!$B$15)^6)-'Debt'!$B$9,0)+IF(7='Assumptions'!$B$8,('P&amp;L'!$C$10*(1+Y$20)^6+'Renovation'!H$18-'P&amp;L'!$C$23*(1+'Assumptions'!$B$15)^6)/Y$21*(1-'Assumptions'!$B$10)-'Debt'!$B$12,0)</f>
        <v/>
      </c>
      <c r="Z29" s="12">
        <f>IF(7&lt;='Assumptions'!$B$8,('P&amp;L'!$C$10*(1+Z$20)^6+'Renovation'!H$18-'P&amp;L'!$C$23*(1+'Assumptions'!$B$15)^6)-'Debt'!$B$9,0)+IF(7='Assumptions'!$B$8,('P&amp;L'!$C$10*(1+Z$20)^6+'Renovation'!H$18-'P&amp;L'!$C$23*(1+'Assumptions'!$B$15)^6)/Z$21*(1-'Assumptions'!$B$10)-'Debt'!$B$12,0)</f>
        <v/>
      </c>
    </row>
    <row r="30">
      <c r="A30" s="25" t="inlineStr">
        <is>
          <t>CF Year 8</t>
        </is>
      </c>
      <c r="B30" s="12">
        <f>IF(8&lt;='Assumptions'!$B$8,('P&amp;L'!$C$10*(1+B$20)^7+'Renovation'!I$18-'P&amp;L'!$C$23*(1+'Assumptions'!$B$15)^7)-'Debt'!$B$9,0)+IF(8='Assumptions'!$B$8,('P&amp;L'!$C$10*(1+B$20)^7+'Renovation'!I$18-'P&amp;L'!$C$23*(1+'Assumptions'!$B$15)^7)/B$21*(1-'Assumptions'!$B$10)-'Debt'!$B$12,0)</f>
        <v/>
      </c>
      <c r="C30" s="12">
        <f>IF(8&lt;='Assumptions'!$B$8,('P&amp;L'!$C$10*(1+C$20)^7+'Renovation'!I$18-'P&amp;L'!$C$23*(1+'Assumptions'!$B$15)^7)-'Debt'!$B$9,0)+IF(8='Assumptions'!$B$8,('P&amp;L'!$C$10*(1+C$20)^7+'Renovation'!I$18-'P&amp;L'!$C$23*(1+'Assumptions'!$B$15)^7)/C$21*(1-'Assumptions'!$B$10)-'Debt'!$B$12,0)</f>
        <v/>
      </c>
      <c r="D30" s="12">
        <f>IF(8&lt;='Assumptions'!$B$8,('P&amp;L'!$C$10*(1+D$20)^7+'Renovation'!I$18-'P&amp;L'!$C$23*(1+'Assumptions'!$B$15)^7)-'Debt'!$B$9,0)+IF(8='Assumptions'!$B$8,('P&amp;L'!$C$10*(1+D$20)^7+'Renovation'!I$18-'P&amp;L'!$C$23*(1+'Assumptions'!$B$15)^7)/D$21*(1-'Assumptions'!$B$10)-'Debt'!$B$12,0)</f>
        <v/>
      </c>
      <c r="E30" s="12">
        <f>IF(8&lt;='Assumptions'!$B$8,('P&amp;L'!$C$10*(1+E$20)^7+'Renovation'!I$18-'P&amp;L'!$C$23*(1+'Assumptions'!$B$15)^7)-'Debt'!$B$9,0)+IF(8='Assumptions'!$B$8,('P&amp;L'!$C$10*(1+E$20)^7+'Renovation'!I$18-'P&amp;L'!$C$23*(1+'Assumptions'!$B$15)^7)/E$21*(1-'Assumptions'!$B$10)-'Debt'!$B$12,0)</f>
        <v/>
      </c>
      <c r="F30" s="12">
        <f>IF(8&lt;='Assumptions'!$B$8,('P&amp;L'!$C$10*(1+F$20)^7+'Renovation'!I$18-'P&amp;L'!$C$23*(1+'Assumptions'!$B$15)^7)-'Debt'!$B$9,0)+IF(8='Assumptions'!$B$8,('P&amp;L'!$C$10*(1+F$20)^7+'Renovation'!I$18-'P&amp;L'!$C$23*(1+'Assumptions'!$B$15)^7)/F$21*(1-'Assumptions'!$B$10)-'Debt'!$B$12,0)</f>
        <v/>
      </c>
      <c r="G30" s="12">
        <f>IF(8&lt;='Assumptions'!$B$8,('P&amp;L'!$C$10*(1+G$20)^7+'Renovation'!I$18-'P&amp;L'!$C$23*(1+'Assumptions'!$B$15)^7)-'Debt'!$B$9,0)+IF(8='Assumptions'!$B$8,('P&amp;L'!$C$10*(1+G$20)^7+'Renovation'!I$18-'P&amp;L'!$C$23*(1+'Assumptions'!$B$15)^7)/G$21*(1-'Assumptions'!$B$10)-'Debt'!$B$12,0)</f>
        <v/>
      </c>
      <c r="H30" s="12">
        <f>IF(8&lt;='Assumptions'!$B$8,('P&amp;L'!$C$10*(1+H$20)^7+'Renovation'!I$18-'P&amp;L'!$C$23*(1+'Assumptions'!$B$15)^7)-'Debt'!$B$9,0)+IF(8='Assumptions'!$B$8,('P&amp;L'!$C$10*(1+H$20)^7+'Renovation'!I$18-'P&amp;L'!$C$23*(1+'Assumptions'!$B$15)^7)/H$21*(1-'Assumptions'!$B$10)-'Debt'!$B$12,0)</f>
        <v/>
      </c>
      <c r="I30" s="12">
        <f>IF(8&lt;='Assumptions'!$B$8,('P&amp;L'!$C$10*(1+I$20)^7+'Renovation'!I$18-'P&amp;L'!$C$23*(1+'Assumptions'!$B$15)^7)-'Debt'!$B$9,0)+IF(8='Assumptions'!$B$8,('P&amp;L'!$C$10*(1+I$20)^7+'Renovation'!I$18-'P&amp;L'!$C$23*(1+'Assumptions'!$B$15)^7)/I$21*(1-'Assumptions'!$B$10)-'Debt'!$B$12,0)</f>
        <v/>
      </c>
      <c r="J30" s="12">
        <f>IF(8&lt;='Assumptions'!$B$8,('P&amp;L'!$C$10*(1+J$20)^7+'Renovation'!I$18-'P&amp;L'!$C$23*(1+'Assumptions'!$B$15)^7)-'Debt'!$B$9,0)+IF(8='Assumptions'!$B$8,('P&amp;L'!$C$10*(1+J$20)^7+'Renovation'!I$18-'P&amp;L'!$C$23*(1+'Assumptions'!$B$15)^7)/J$21*(1-'Assumptions'!$B$10)-'Debt'!$B$12,0)</f>
        <v/>
      </c>
      <c r="K30" s="12">
        <f>IF(8&lt;='Assumptions'!$B$8,('P&amp;L'!$C$10*(1+K$20)^7+'Renovation'!I$18-'P&amp;L'!$C$23*(1+'Assumptions'!$B$15)^7)-'Debt'!$B$9,0)+IF(8='Assumptions'!$B$8,('P&amp;L'!$C$10*(1+K$20)^7+'Renovation'!I$18-'P&amp;L'!$C$23*(1+'Assumptions'!$B$15)^7)/K$21*(1-'Assumptions'!$B$10)-'Debt'!$B$12,0)</f>
        <v/>
      </c>
      <c r="L30" s="12">
        <f>IF(8&lt;='Assumptions'!$B$8,('P&amp;L'!$C$10*(1+L$20)^7+'Renovation'!I$18-'P&amp;L'!$C$23*(1+'Assumptions'!$B$15)^7)-'Debt'!$B$9,0)+IF(8='Assumptions'!$B$8,('P&amp;L'!$C$10*(1+L$20)^7+'Renovation'!I$18-'P&amp;L'!$C$23*(1+'Assumptions'!$B$15)^7)/L$21*(1-'Assumptions'!$B$10)-'Debt'!$B$12,0)</f>
        <v/>
      </c>
      <c r="M30" s="12">
        <f>IF(8&lt;='Assumptions'!$B$8,('P&amp;L'!$C$10*(1+M$20)^7+'Renovation'!I$18-'P&amp;L'!$C$23*(1+'Assumptions'!$B$15)^7)-'Debt'!$B$9,0)+IF(8='Assumptions'!$B$8,('P&amp;L'!$C$10*(1+M$20)^7+'Renovation'!I$18-'P&amp;L'!$C$23*(1+'Assumptions'!$B$15)^7)/M$21*(1-'Assumptions'!$B$10)-'Debt'!$B$12,0)</f>
        <v/>
      </c>
      <c r="N30" s="12">
        <f>IF(8&lt;='Assumptions'!$B$8,('P&amp;L'!$C$10*(1+N$20)^7+'Renovation'!I$18-'P&amp;L'!$C$23*(1+'Assumptions'!$B$15)^7)-'Debt'!$B$9,0)+IF(8='Assumptions'!$B$8,('P&amp;L'!$C$10*(1+N$20)^7+'Renovation'!I$18-'P&amp;L'!$C$23*(1+'Assumptions'!$B$15)^7)/N$21*(1-'Assumptions'!$B$10)-'Debt'!$B$12,0)</f>
        <v/>
      </c>
      <c r="O30" s="12">
        <f>IF(8&lt;='Assumptions'!$B$8,('P&amp;L'!$C$10*(1+O$20)^7+'Renovation'!I$18-'P&amp;L'!$C$23*(1+'Assumptions'!$B$15)^7)-'Debt'!$B$9,0)+IF(8='Assumptions'!$B$8,('P&amp;L'!$C$10*(1+O$20)^7+'Renovation'!I$18-'P&amp;L'!$C$23*(1+'Assumptions'!$B$15)^7)/O$21*(1-'Assumptions'!$B$10)-'Debt'!$B$12,0)</f>
        <v/>
      </c>
      <c r="P30" s="12">
        <f>IF(8&lt;='Assumptions'!$B$8,('P&amp;L'!$C$10*(1+P$20)^7+'Renovation'!I$18-'P&amp;L'!$C$23*(1+'Assumptions'!$B$15)^7)-'Debt'!$B$9,0)+IF(8='Assumptions'!$B$8,('P&amp;L'!$C$10*(1+P$20)^7+'Renovation'!I$18-'P&amp;L'!$C$23*(1+'Assumptions'!$B$15)^7)/P$21*(1-'Assumptions'!$B$10)-'Debt'!$B$12,0)</f>
        <v/>
      </c>
      <c r="Q30" s="12">
        <f>IF(8&lt;='Assumptions'!$B$8,('P&amp;L'!$C$10*(1+Q$20)^7+'Renovation'!I$18-'P&amp;L'!$C$23*(1+'Assumptions'!$B$15)^7)-'Debt'!$B$9,0)+IF(8='Assumptions'!$B$8,('P&amp;L'!$C$10*(1+Q$20)^7+'Renovation'!I$18-'P&amp;L'!$C$23*(1+'Assumptions'!$B$15)^7)/Q$21*(1-'Assumptions'!$B$10)-'Debt'!$B$12,0)</f>
        <v/>
      </c>
      <c r="R30" s="12">
        <f>IF(8&lt;='Assumptions'!$B$8,('P&amp;L'!$C$10*(1+R$20)^7+'Renovation'!I$18-'P&amp;L'!$C$23*(1+'Assumptions'!$B$15)^7)-'Debt'!$B$9,0)+IF(8='Assumptions'!$B$8,('P&amp;L'!$C$10*(1+R$20)^7+'Renovation'!I$18-'P&amp;L'!$C$23*(1+'Assumptions'!$B$15)^7)/R$21*(1-'Assumptions'!$B$10)-'Debt'!$B$12,0)</f>
        <v/>
      </c>
      <c r="S30" s="12">
        <f>IF(8&lt;='Assumptions'!$B$8,('P&amp;L'!$C$10*(1+S$20)^7+'Renovation'!I$18-'P&amp;L'!$C$23*(1+'Assumptions'!$B$15)^7)-'Debt'!$B$9,0)+IF(8='Assumptions'!$B$8,('P&amp;L'!$C$10*(1+S$20)^7+'Renovation'!I$18-'P&amp;L'!$C$23*(1+'Assumptions'!$B$15)^7)/S$21*(1-'Assumptions'!$B$10)-'Debt'!$B$12,0)</f>
        <v/>
      </c>
      <c r="T30" s="12">
        <f>IF(8&lt;='Assumptions'!$B$8,('P&amp;L'!$C$10*(1+T$20)^7+'Renovation'!I$18-'P&amp;L'!$C$23*(1+'Assumptions'!$B$15)^7)-'Debt'!$B$9,0)+IF(8='Assumptions'!$B$8,('P&amp;L'!$C$10*(1+T$20)^7+'Renovation'!I$18-'P&amp;L'!$C$23*(1+'Assumptions'!$B$15)^7)/T$21*(1-'Assumptions'!$B$10)-'Debt'!$B$12,0)</f>
        <v/>
      </c>
      <c r="U30" s="12">
        <f>IF(8&lt;='Assumptions'!$B$8,('P&amp;L'!$C$10*(1+U$20)^7+'Renovation'!I$18-'P&amp;L'!$C$23*(1+'Assumptions'!$B$15)^7)-'Debt'!$B$9,0)+IF(8='Assumptions'!$B$8,('P&amp;L'!$C$10*(1+U$20)^7+'Renovation'!I$18-'P&amp;L'!$C$23*(1+'Assumptions'!$B$15)^7)/U$21*(1-'Assumptions'!$B$10)-'Debt'!$B$12,0)</f>
        <v/>
      </c>
      <c r="V30" s="12">
        <f>IF(8&lt;='Assumptions'!$B$8,('P&amp;L'!$C$10*(1+V$20)^7+'Renovation'!I$18-'P&amp;L'!$C$23*(1+'Assumptions'!$B$15)^7)-'Debt'!$B$9,0)+IF(8='Assumptions'!$B$8,('P&amp;L'!$C$10*(1+V$20)^7+'Renovation'!I$18-'P&amp;L'!$C$23*(1+'Assumptions'!$B$15)^7)/V$21*(1-'Assumptions'!$B$10)-'Debt'!$B$12,0)</f>
        <v/>
      </c>
      <c r="W30" s="12">
        <f>IF(8&lt;='Assumptions'!$B$8,('P&amp;L'!$C$10*(1+W$20)^7+'Renovation'!I$18-'P&amp;L'!$C$23*(1+'Assumptions'!$B$15)^7)-'Debt'!$B$9,0)+IF(8='Assumptions'!$B$8,('P&amp;L'!$C$10*(1+W$20)^7+'Renovation'!I$18-'P&amp;L'!$C$23*(1+'Assumptions'!$B$15)^7)/W$21*(1-'Assumptions'!$B$10)-'Debt'!$B$12,0)</f>
        <v/>
      </c>
      <c r="X30" s="12">
        <f>IF(8&lt;='Assumptions'!$B$8,('P&amp;L'!$C$10*(1+X$20)^7+'Renovation'!I$18-'P&amp;L'!$C$23*(1+'Assumptions'!$B$15)^7)-'Debt'!$B$9,0)+IF(8='Assumptions'!$B$8,('P&amp;L'!$C$10*(1+X$20)^7+'Renovation'!I$18-'P&amp;L'!$C$23*(1+'Assumptions'!$B$15)^7)/X$21*(1-'Assumptions'!$B$10)-'Debt'!$B$12,0)</f>
        <v/>
      </c>
      <c r="Y30" s="12">
        <f>IF(8&lt;='Assumptions'!$B$8,('P&amp;L'!$C$10*(1+Y$20)^7+'Renovation'!I$18-'P&amp;L'!$C$23*(1+'Assumptions'!$B$15)^7)-'Debt'!$B$9,0)+IF(8='Assumptions'!$B$8,('P&amp;L'!$C$10*(1+Y$20)^7+'Renovation'!I$18-'P&amp;L'!$C$23*(1+'Assumptions'!$B$15)^7)/Y$21*(1-'Assumptions'!$B$10)-'Debt'!$B$12,0)</f>
        <v/>
      </c>
      <c r="Z30" s="12">
        <f>IF(8&lt;='Assumptions'!$B$8,('P&amp;L'!$C$10*(1+Z$20)^7+'Renovation'!I$18-'P&amp;L'!$C$23*(1+'Assumptions'!$B$15)^7)-'Debt'!$B$9,0)+IF(8='Assumptions'!$B$8,('P&amp;L'!$C$10*(1+Z$20)^7+'Renovation'!I$18-'P&amp;L'!$C$23*(1+'Assumptions'!$B$15)^7)/Z$21*(1-'Assumptions'!$B$10)-'Debt'!$B$12,0)</f>
        <v/>
      </c>
    </row>
    <row r="31">
      <c r="A31" s="25" t="inlineStr">
        <is>
          <t>CF Year 9</t>
        </is>
      </c>
      <c r="B31" s="12">
        <f>IF(9&lt;='Assumptions'!$B$8,('P&amp;L'!$C$10*(1+B$20)^8+'Renovation'!J$18-'P&amp;L'!$C$23*(1+'Assumptions'!$B$15)^8)-'Debt'!$B$9,0)+IF(9='Assumptions'!$B$8,('P&amp;L'!$C$10*(1+B$20)^8+'Renovation'!J$18-'P&amp;L'!$C$23*(1+'Assumptions'!$B$15)^8)/B$21*(1-'Assumptions'!$B$10)-'Debt'!$B$12,0)</f>
        <v/>
      </c>
      <c r="C31" s="12">
        <f>IF(9&lt;='Assumptions'!$B$8,('P&amp;L'!$C$10*(1+C$20)^8+'Renovation'!J$18-'P&amp;L'!$C$23*(1+'Assumptions'!$B$15)^8)-'Debt'!$B$9,0)+IF(9='Assumptions'!$B$8,('P&amp;L'!$C$10*(1+C$20)^8+'Renovation'!J$18-'P&amp;L'!$C$23*(1+'Assumptions'!$B$15)^8)/C$21*(1-'Assumptions'!$B$10)-'Debt'!$B$12,0)</f>
        <v/>
      </c>
      <c r="D31" s="12">
        <f>IF(9&lt;='Assumptions'!$B$8,('P&amp;L'!$C$10*(1+D$20)^8+'Renovation'!J$18-'P&amp;L'!$C$23*(1+'Assumptions'!$B$15)^8)-'Debt'!$B$9,0)+IF(9='Assumptions'!$B$8,('P&amp;L'!$C$10*(1+D$20)^8+'Renovation'!J$18-'P&amp;L'!$C$23*(1+'Assumptions'!$B$15)^8)/D$21*(1-'Assumptions'!$B$10)-'Debt'!$B$12,0)</f>
        <v/>
      </c>
      <c r="E31" s="12">
        <f>IF(9&lt;='Assumptions'!$B$8,('P&amp;L'!$C$10*(1+E$20)^8+'Renovation'!J$18-'P&amp;L'!$C$23*(1+'Assumptions'!$B$15)^8)-'Debt'!$B$9,0)+IF(9='Assumptions'!$B$8,('P&amp;L'!$C$10*(1+E$20)^8+'Renovation'!J$18-'P&amp;L'!$C$23*(1+'Assumptions'!$B$15)^8)/E$21*(1-'Assumptions'!$B$10)-'Debt'!$B$12,0)</f>
        <v/>
      </c>
      <c r="F31" s="12">
        <f>IF(9&lt;='Assumptions'!$B$8,('P&amp;L'!$C$10*(1+F$20)^8+'Renovation'!J$18-'P&amp;L'!$C$23*(1+'Assumptions'!$B$15)^8)-'Debt'!$B$9,0)+IF(9='Assumptions'!$B$8,('P&amp;L'!$C$10*(1+F$20)^8+'Renovation'!J$18-'P&amp;L'!$C$23*(1+'Assumptions'!$B$15)^8)/F$21*(1-'Assumptions'!$B$10)-'Debt'!$B$12,0)</f>
        <v/>
      </c>
      <c r="G31" s="12">
        <f>IF(9&lt;='Assumptions'!$B$8,('P&amp;L'!$C$10*(1+G$20)^8+'Renovation'!J$18-'P&amp;L'!$C$23*(1+'Assumptions'!$B$15)^8)-'Debt'!$B$9,0)+IF(9='Assumptions'!$B$8,('P&amp;L'!$C$10*(1+G$20)^8+'Renovation'!J$18-'P&amp;L'!$C$23*(1+'Assumptions'!$B$15)^8)/G$21*(1-'Assumptions'!$B$10)-'Debt'!$B$12,0)</f>
        <v/>
      </c>
      <c r="H31" s="12">
        <f>IF(9&lt;='Assumptions'!$B$8,('P&amp;L'!$C$10*(1+H$20)^8+'Renovation'!J$18-'P&amp;L'!$C$23*(1+'Assumptions'!$B$15)^8)-'Debt'!$B$9,0)+IF(9='Assumptions'!$B$8,('P&amp;L'!$C$10*(1+H$20)^8+'Renovation'!J$18-'P&amp;L'!$C$23*(1+'Assumptions'!$B$15)^8)/H$21*(1-'Assumptions'!$B$10)-'Debt'!$B$12,0)</f>
        <v/>
      </c>
      <c r="I31" s="12">
        <f>IF(9&lt;='Assumptions'!$B$8,('P&amp;L'!$C$10*(1+I$20)^8+'Renovation'!J$18-'P&amp;L'!$C$23*(1+'Assumptions'!$B$15)^8)-'Debt'!$B$9,0)+IF(9='Assumptions'!$B$8,('P&amp;L'!$C$10*(1+I$20)^8+'Renovation'!J$18-'P&amp;L'!$C$23*(1+'Assumptions'!$B$15)^8)/I$21*(1-'Assumptions'!$B$10)-'Debt'!$B$12,0)</f>
        <v/>
      </c>
      <c r="J31" s="12">
        <f>IF(9&lt;='Assumptions'!$B$8,('P&amp;L'!$C$10*(1+J$20)^8+'Renovation'!J$18-'P&amp;L'!$C$23*(1+'Assumptions'!$B$15)^8)-'Debt'!$B$9,0)+IF(9='Assumptions'!$B$8,('P&amp;L'!$C$10*(1+J$20)^8+'Renovation'!J$18-'P&amp;L'!$C$23*(1+'Assumptions'!$B$15)^8)/J$21*(1-'Assumptions'!$B$10)-'Debt'!$B$12,0)</f>
        <v/>
      </c>
      <c r="K31" s="12">
        <f>IF(9&lt;='Assumptions'!$B$8,('P&amp;L'!$C$10*(1+K$20)^8+'Renovation'!J$18-'P&amp;L'!$C$23*(1+'Assumptions'!$B$15)^8)-'Debt'!$B$9,0)+IF(9='Assumptions'!$B$8,('P&amp;L'!$C$10*(1+K$20)^8+'Renovation'!J$18-'P&amp;L'!$C$23*(1+'Assumptions'!$B$15)^8)/K$21*(1-'Assumptions'!$B$10)-'Debt'!$B$12,0)</f>
        <v/>
      </c>
      <c r="L31" s="12">
        <f>IF(9&lt;='Assumptions'!$B$8,('P&amp;L'!$C$10*(1+L$20)^8+'Renovation'!J$18-'P&amp;L'!$C$23*(1+'Assumptions'!$B$15)^8)-'Debt'!$B$9,0)+IF(9='Assumptions'!$B$8,('P&amp;L'!$C$10*(1+L$20)^8+'Renovation'!J$18-'P&amp;L'!$C$23*(1+'Assumptions'!$B$15)^8)/L$21*(1-'Assumptions'!$B$10)-'Debt'!$B$12,0)</f>
        <v/>
      </c>
      <c r="M31" s="12">
        <f>IF(9&lt;='Assumptions'!$B$8,('P&amp;L'!$C$10*(1+M$20)^8+'Renovation'!J$18-'P&amp;L'!$C$23*(1+'Assumptions'!$B$15)^8)-'Debt'!$B$9,0)+IF(9='Assumptions'!$B$8,('P&amp;L'!$C$10*(1+M$20)^8+'Renovation'!J$18-'P&amp;L'!$C$23*(1+'Assumptions'!$B$15)^8)/M$21*(1-'Assumptions'!$B$10)-'Debt'!$B$12,0)</f>
        <v/>
      </c>
      <c r="N31" s="12">
        <f>IF(9&lt;='Assumptions'!$B$8,('P&amp;L'!$C$10*(1+N$20)^8+'Renovation'!J$18-'P&amp;L'!$C$23*(1+'Assumptions'!$B$15)^8)-'Debt'!$B$9,0)+IF(9='Assumptions'!$B$8,('P&amp;L'!$C$10*(1+N$20)^8+'Renovation'!J$18-'P&amp;L'!$C$23*(1+'Assumptions'!$B$15)^8)/N$21*(1-'Assumptions'!$B$10)-'Debt'!$B$12,0)</f>
        <v/>
      </c>
      <c r="O31" s="12">
        <f>IF(9&lt;='Assumptions'!$B$8,('P&amp;L'!$C$10*(1+O$20)^8+'Renovation'!J$18-'P&amp;L'!$C$23*(1+'Assumptions'!$B$15)^8)-'Debt'!$B$9,0)+IF(9='Assumptions'!$B$8,('P&amp;L'!$C$10*(1+O$20)^8+'Renovation'!J$18-'P&amp;L'!$C$23*(1+'Assumptions'!$B$15)^8)/O$21*(1-'Assumptions'!$B$10)-'Debt'!$B$12,0)</f>
        <v/>
      </c>
      <c r="P31" s="12">
        <f>IF(9&lt;='Assumptions'!$B$8,('P&amp;L'!$C$10*(1+P$20)^8+'Renovation'!J$18-'P&amp;L'!$C$23*(1+'Assumptions'!$B$15)^8)-'Debt'!$B$9,0)+IF(9='Assumptions'!$B$8,('P&amp;L'!$C$10*(1+P$20)^8+'Renovation'!J$18-'P&amp;L'!$C$23*(1+'Assumptions'!$B$15)^8)/P$21*(1-'Assumptions'!$B$10)-'Debt'!$B$12,0)</f>
        <v/>
      </c>
      <c r="Q31" s="12">
        <f>IF(9&lt;='Assumptions'!$B$8,('P&amp;L'!$C$10*(1+Q$20)^8+'Renovation'!J$18-'P&amp;L'!$C$23*(1+'Assumptions'!$B$15)^8)-'Debt'!$B$9,0)+IF(9='Assumptions'!$B$8,('P&amp;L'!$C$10*(1+Q$20)^8+'Renovation'!J$18-'P&amp;L'!$C$23*(1+'Assumptions'!$B$15)^8)/Q$21*(1-'Assumptions'!$B$10)-'Debt'!$B$12,0)</f>
        <v/>
      </c>
      <c r="R31" s="12">
        <f>IF(9&lt;='Assumptions'!$B$8,('P&amp;L'!$C$10*(1+R$20)^8+'Renovation'!J$18-'P&amp;L'!$C$23*(1+'Assumptions'!$B$15)^8)-'Debt'!$B$9,0)+IF(9='Assumptions'!$B$8,('P&amp;L'!$C$10*(1+R$20)^8+'Renovation'!J$18-'P&amp;L'!$C$23*(1+'Assumptions'!$B$15)^8)/R$21*(1-'Assumptions'!$B$10)-'Debt'!$B$12,0)</f>
        <v/>
      </c>
      <c r="S31" s="12">
        <f>IF(9&lt;='Assumptions'!$B$8,('P&amp;L'!$C$10*(1+S$20)^8+'Renovation'!J$18-'P&amp;L'!$C$23*(1+'Assumptions'!$B$15)^8)-'Debt'!$B$9,0)+IF(9='Assumptions'!$B$8,('P&amp;L'!$C$10*(1+S$20)^8+'Renovation'!J$18-'P&amp;L'!$C$23*(1+'Assumptions'!$B$15)^8)/S$21*(1-'Assumptions'!$B$10)-'Debt'!$B$12,0)</f>
        <v/>
      </c>
      <c r="T31" s="12">
        <f>IF(9&lt;='Assumptions'!$B$8,('P&amp;L'!$C$10*(1+T$20)^8+'Renovation'!J$18-'P&amp;L'!$C$23*(1+'Assumptions'!$B$15)^8)-'Debt'!$B$9,0)+IF(9='Assumptions'!$B$8,('P&amp;L'!$C$10*(1+T$20)^8+'Renovation'!J$18-'P&amp;L'!$C$23*(1+'Assumptions'!$B$15)^8)/T$21*(1-'Assumptions'!$B$10)-'Debt'!$B$12,0)</f>
        <v/>
      </c>
      <c r="U31" s="12">
        <f>IF(9&lt;='Assumptions'!$B$8,('P&amp;L'!$C$10*(1+U$20)^8+'Renovation'!J$18-'P&amp;L'!$C$23*(1+'Assumptions'!$B$15)^8)-'Debt'!$B$9,0)+IF(9='Assumptions'!$B$8,('P&amp;L'!$C$10*(1+U$20)^8+'Renovation'!J$18-'P&amp;L'!$C$23*(1+'Assumptions'!$B$15)^8)/U$21*(1-'Assumptions'!$B$10)-'Debt'!$B$12,0)</f>
        <v/>
      </c>
      <c r="V31" s="12">
        <f>IF(9&lt;='Assumptions'!$B$8,('P&amp;L'!$C$10*(1+V$20)^8+'Renovation'!J$18-'P&amp;L'!$C$23*(1+'Assumptions'!$B$15)^8)-'Debt'!$B$9,0)+IF(9='Assumptions'!$B$8,('P&amp;L'!$C$10*(1+V$20)^8+'Renovation'!J$18-'P&amp;L'!$C$23*(1+'Assumptions'!$B$15)^8)/V$21*(1-'Assumptions'!$B$10)-'Debt'!$B$12,0)</f>
        <v/>
      </c>
      <c r="W31" s="12">
        <f>IF(9&lt;='Assumptions'!$B$8,('P&amp;L'!$C$10*(1+W$20)^8+'Renovation'!J$18-'P&amp;L'!$C$23*(1+'Assumptions'!$B$15)^8)-'Debt'!$B$9,0)+IF(9='Assumptions'!$B$8,('P&amp;L'!$C$10*(1+W$20)^8+'Renovation'!J$18-'P&amp;L'!$C$23*(1+'Assumptions'!$B$15)^8)/W$21*(1-'Assumptions'!$B$10)-'Debt'!$B$12,0)</f>
        <v/>
      </c>
      <c r="X31" s="12">
        <f>IF(9&lt;='Assumptions'!$B$8,('P&amp;L'!$C$10*(1+X$20)^8+'Renovation'!J$18-'P&amp;L'!$C$23*(1+'Assumptions'!$B$15)^8)-'Debt'!$B$9,0)+IF(9='Assumptions'!$B$8,('P&amp;L'!$C$10*(1+X$20)^8+'Renovation'!J$18-'P&amp;L'!$C$23*(1+'Assumptions'!$B$15)^8)/X$21*(1-'Assumptions'!$B$10)-'Debt'!$B$12,0)</f>
        <v/>
      </c>
      <c r="Y31" s="12">
        <f>IF(9&lt;='Assumptions'!$B$8,('P&amp;L'!$C$10*(1+Y$20)^8+'Renovation'!J$18-'P&amp;L'!$C$23*(1+'Assumptions'!$B$15)^8)-'Debt'!$B$9,0)+IF(9='Assumptions'!$B$8,('P&amp;L'!$C$10*(1+Y$20)^8+'Renovation'!J$18-'P&amp;L'!$C$23*(1+'Assumptions'!$B$15)^8)/Y$21*(1-'Assumptions'!$B$10)-'Debt'!$B$12,0)</f>
        <v/>
      </c>
      <c r="Z31" s="12">
        <f>IF(9&lt;='Assumptions'!$B$8,('P&amp;L'!$C$10*(1+Z$20)^8+'Renovation'!J$18-'P&amp;L'!$C$23*(1+'Assumptions'!$B$15)^8)-'Debt'!$B$9,0)+IF(9='Assumptions'!$B$8,('P&amp;L'!$C$10*(1+Z$20)^8+'Renovation'!J$18-'P&amp;L'!$C$23*(1+'Assumptions'!$B$15)^8)/Z$21*(1-'Assumptions'!$B$10)-'Debt'!$B$12,0)</f>
        <v/>
      </c>
    </row>
    <row r="32">
      <c r="A32" s="25" t="inlineStr">
        <is>
          <t>CF Year 10</t>
        </is>
      </c>
      <c r="B32" s="12">
        <f>IF(10&lt;='Assumptions'!$B$8,('P&amp;L'!$C$10*(1+B$20)^9+'Renovation'!K$18-'P&amp;L'!$C$23*(1+'Assumptions'!$B$15)^9)-'Debt'!$B$9,0)+IF(10='Assumptions'!$B$8,('P&amp;L'!$C$10*(1+B$20)^9+'Renovation'!K$18-'P&amp;L'!$C$23*(1+'Assumptions'!$B$15)^9)/B$21*(1-'Assumptions'!$B$10)-'Debt'!$B$12,0)</f>
        <v/>
      </c>
      <c r="C32" s="12">
        <f>IF(10&lt;='Assumptions'!$B$8,('P&amp;L'!$C$10*(1+C$20)^9+'Renovation'!K$18-'P&amp;L'!$C$23*(1+'Assumptions'!$B$15)^9)-'Debt'!$B$9,0)+IF(10='Assumptions'!$B$8,('P&amp;L'!$C$10*(1+C$20)^9+'Renovation'!K$18-'P&amp;L'!$C$23*(1+'Assumptions'!$B$15)^9)/C$21*(1-'Assumptions'!$B$10)-'Debt'!$B$12,0)</f>
        <v/>
      </c>
      <c r="D32" s="12">
        <f>IF(10&lt;='Assumptions'!$B$8,('P&amp;L'!$C$10*(1+D$20)^9+'Renovation'!K$18-'P&amp;L'!$C$23*(1+'Assumptions'!$B$15)^9)-'Debt'!$B$9,0)+IF(10='Assumptions'!$B$8,('P&amp;L'!$C$10*(1+D$20)^9+'Renovation'!K$18-'P&amp;L'!$C$23*(1+'Assumptions'!$B$15)^9)/D$21*(1-'Assumptions'!$B$10)-'Debt'!$B$12,0)</f>
        <v/>
      </c>
      <c r="E32" s="12">
        <f>IF(10&lt;='Assumptions'!$B$8,('P&amp;L'!$C$10*(1+E$20)^9+'Renovation'!K$18-'P&amp;L'!$C$23*(1+'Assumptions'!$B$15)^9)-'Debt'!$B$9,0)+IF(10='Assumptions'!$B$8,('P&amp;L'!$C$10*(1+E$20)^9+'Renovation'!K$18-'P&amp;L'!$C$23*(1+'Assumptions'!$B$15)^9)/E$21*(1-'Assumptions'!$B$10)-'Debt'!$B$12,0)</f>
        <v/>
      </c>
      <c r="F32" s="12">
        <f>IF(10&lt;='Assumptions'!$B$8,('P&amp;L'!$C$10*(1+F$20)^9+'Renovation'!K$18-'P&amp;L'!$C$23*(1+'Assumptions'!$B$15)^9)-'Debt'!$B$9,0)+IF(10='Assumptions'!$B$8,('P&amp;L'!$C$10*(1+F$20)^9+'Renovation'!K$18-'P&amp;L'!$C$23*(1+'Assumptions'!$B$15)^9)/F$21*(1-'Assumptions'!$B$10)-'Debt'!$B$12,0)</f>
        <v/>
      </c>
      <c r="G32" s="12">
        <f>IF(10&lt;='Assumptions'!$B$8,('P&amp;L'!$C$10*(1+G$20)^9+'Renovation'!K$18-'P&amp;L'!$C$23*(1+'Assumptions'!$B$15)^9)-'Debt'!$B$9,0)+IF(10='Assumptions'!$B$8,('P&amp;L'!$C$10*(1+G$20)^9+'Renovation'!K$18-'P&amp;L'!$C$23*(1+'Assumptions'!$B$15)^9)/G$21*(1-'Assumptions'!$B$10)-'Debt'!$B$12,0)</f>
        <v/>
      </c>
      <c r="H32" s="12">
        <f>IF(10&lt;='Assumptions'!$B$8,('P&amp;L'!$C$10*(1+H$20)^9+'Renovation'!K$18-'P&amp;L'!$C$23*(1+'Assumptions'!$B$15)^9)-'Debt'!$B$9,0)+IF(10='Assumptions'!$B$8,('P&amp;L'!$C$10*(1+H$20)^9+'Renovation'!K$18-'P&amp;L'!$C$23*(1+'Assumptions'!$B$15)^9)/H$21*(1-'Assumptions'!$B$10)-'Debt'!$B$12,0)</f>
        <v/>
      </c>
      <c r="I32" s="12">
        <f>IF(10&lt;='Assumptions'!$B$8,('P&amp;L'!$C$10*(1+I$20)^9+'Renovation'!K$18-'P&amp;L'!$C$23*(1+'Assumptions'!$B$15)^9)-'Debt'!$B$9,0)+IF(10='Assumptions'!$B$8,('P&amp;L'!$C$10*(1+I$20)^9+'Renovation'!K$18-'P&amp;L'!$C$23*(1+'Assumptions'!$B$15)^9)/I$21*(1-'Assumptions'!$B$10)-'Debt'!$B$12,0)</f>
        <v/>
      </c>
      <c r="J32" s="12">
        <f>IF(10&lt;='Assumptions'!$B$8,('P&amp;L'!$C$10*(1+J$20)^9+'Renovation'!K$18-'P&amp;L'!$C$23*(1+'Assumptions'!$B$15)^9)-'Debt'!$B$9,0)+IF(10='Assumptions'!$B$8,('P&amp;L'!$C$10*(1+J$20)^9+'Renovation'!K$18-'P&amp;L'!$C$23*(1+'Assumptions'!$B$15)^9)/J$21*(1-'Assumptions'!$B$10)-'Debt'!$B$12,0)</f>
        <v/>
      </c>
      <c r="K32" s="12">
        <f>IF(10&lt;='Assumptions'!$B$8,('P&amp;L'!$C$10*(1+K$20)^9+'Renovation'!K$18-'P&amp;L'!$C$23*(1+'Assumptions'!$B$15)^9)-'Debt'!$B$9,0)+IF(10='Assumptions'!$B$8,('P&amp;L'!$C$10*(1+K$20)^9+'Renovation'!K$18-'P&amp;L'!$C$23*(1+'Assumptions'!$B$15)^9)/K$21*(1-'Assumptions'!$B$10)-'Debt'!$B$12,0)</f>
        <v/>
      </c>
      <c r="L32" s="12">
        <f>IF(10&lt;='Assumptions'!$B$8,('P&amp;L'!$C$10*(1+L$20)^9+'Renovation'!K$18-'P&amp;L'!$C$23*(1+'Assumptions'!$B$15)^9)-'Debt'!$B$9,0)+IF(10='Assumptions'!$B$8,('P&amp;L'!$C$10*(1+L$20)^9+'Renovation'!K$18-'P&amp;L'!$C$23*(1+'Assumptions'!$B$15)^9)/L$21*(1-'Assumptions'!$B$10)-'Debt'!$B$12,0)</f>
        <v/>
      </c>
      <c r="M32" s="12">
        <f>IF(10&lt;='Assumptions'!$B$8,('P&amp;L'!$C$10*(1+M$20)^9+'Renovation'!K$18-'P&amp;L'!$C$23*(1+'Assumptions'!$B$15)^9)-'Debt'!$B$9,0)+IF(10='Assumptions'!$B$8,('P&amp;L'!$C$10*(1+M$20)^9+'Renovation'!K$18-'P&amp;L'!$C$23*(1+'Assumptions'!$B$15)^9)/M$21*(1-'Assumptions'!$B$10)-'Debt'!$B$12,0)</f>
        <v/>
      </c>
      <c r="N32" s="12">
        <f>IF(10&lt;='Assumptions'!$B$8,('P&amp;L'!$C$10*(1+N$20)^9+'Renovation'!K$18-'P&amp;L'!$C$23*(1+'Assumptions'!$B$15)^9)-'Debt'!$B$9,0)+IF(10='Assumptions'!$B$8,('P&amp;L'!$C$10*(1+N$20)^9+'Renovation'!K$18-'P&amp;L'!$C$23*(1+'Assumptions'!$B$15)^9)/N$21*(1-'Assumptions'!$B$10)-'Debt'!$B$12,0)</f>
        <v/>
      </c>
      <c r="O32" s="12">
        <f>IF(10&lt;='Assumptions'!$B$8,('P&amp;L'!$C$10*(1+O$20)^9+'Renovation'!K$18-'P&amp;L'!$C$23*(1+'Assumptions'!$B$15)^9)-'Debt'!$B$9,0)+IF(10='Assumptions'!$B$8,('P&amp;L'!$C$10*(1+O$20)^9+'Renovation'!K$18-'P&amp;L'!$C$23*(1+'Assumptions'!$B$15)^9)/O$21*(1-'Assumptions'!$B$10)-'Debt'!$B$12,0)</f>
        <v/>
      </c>
      <c r="P32" s="12">
        <f>IF(10&lt;='Assumptions'!$B$8,('P&amp;L'!$C$10*(1+P$20)^9+'Renovation'!K$18-'P&amp;L'!$C$23*(1+'Assumptions'!$B$15)^9)-'Debt'!$B$9,0)+IF(10='Assumptions'!$B$8,('P&amp;L'!$C$10*(1+P$20)^9+'Renovation'!K$18-'P&amp;L'!$C$23*(1+'Assumptions'!$B$15)^9)/P$21*(1-'Assumptions'!$B$10)-'Debt'!$B$12,0)</f>
        <v/>
      </c>
      <c r="Q32" s="12">
        <f>IF(10&lt;='Assumptions'!$B$8,('P&amp;L'!$C$10*(1+Q$20)^9+'Renovation'!K$18-'P&amp;L'!$C$23*(1+'Assumptions'!$B$15)^9)-'Debt'!$B$9,0)+IF(10='Assumptions'!$B$8,('P&amp;L'!$C$10*(1+Q$20)^9+'Renovation'!K$18-'P&amp;L'!$C$23*(1+'Assumptions'!$B$15)^9)/Q$21*(1-'Assumptions'!$B$10)-'Debt'!$B$12,0)</f>
        <v/>
      </c>
      <c r="R32" s="12">
        <f>IF(10&lt;='Assumptions'!$B$8,('P&amp;L'!$C$10*(1+R$20)^9+'Renovation'!K$18-'P&amp;L'!$C$23*(1+'Assumptions'!$B$15)^9)-'Debt'!$B$9,0)+IF(10='Assumptions'!$B$8,('P&amp;L'!$C$10*(1+R$20)^9+'Renovation'!K$18-'P&amp;L'!$C$23*(1+'Assumptions'!$B$15)^9)/R$21*(1-'Assumptions'!$B$10)-'Debt'!$B$12,0)</f>
        <v/>
      </c>
      <c r="S32" s="12">
        <f>IF(10&lt;='Assumptions'!$B$8,('P&amp;L'!$C$10*(1+S$20)^9+'Renovation'!K$18-'P&amp;L'!$C$23*(1+'Assumptions'!$B$15)^9)-'Debt'!$B$9,0)+IF(10='Assumptions'!$B$8,('P&amp;L'!$C$10*(1+S$20)^9+'Renovation'!K$18-'P&amp;L'!$C$23*(1+'Assumptions'!$B$15)^9)/S$21*(1-'Assumptions'!$B$10)-'Debt'!$B$12,0)</f>
        <v/>
      </c>
      <c r="T32" s="12">
        <f>IF(10&lt;='Assumptions'!$B$8,('P&amp;L'!$C$10*(1+T$20)^9+'Renovation'!K$18-'P&amp;L'!$C$23*(1+'Assumptions'!$B$15)^9)-'Debt'!$B$9,0)+IF(10='Assumptions'!$B$8,('P&amp;L'!$C$10*(1+T$20)^9+'Renovation'!K$18-'P&amp;L'!$C$23*(1+'Assumptions'!$B$15)^9)/T$21*(1-'Assumptions'!$B$10)-'Debt'!$B$12,0)</f>
        <v/>
      </c>
      <c r="U32" s="12">
        <f>IF(10&lt;='Assumptions'!$B$8,('P&amp;L'!$C$10*(1+U$20)^9+'Renovation'!K$18-'P&amp;L'!$C$23*(1+'Assumptions'!$B$15)^9)-'Debt'!$B$9,0)+IF(10='Assumptions'!$B$8,('P&amp;L'!$C$10*(1+U$20)^9+'Renovation'!K$18-'P&amp;L'!$C$23*(1+'Assumptions'!$B$15)^9)/U$21*(1-'Assumptions'!$B$10)-'Debt'!$B$12,0)</f>
        <v/>
      </c>
      <c r="V32" s="12">
        <f>IF(10&lt;='Assumptions'!$B$8,('P&amp;L'!$C$10*(1+V$20)^9+'Renovation'!K$18-'P&amp;L'!$C$23*(1+'Assumptions'!$B$15)^9)-'Debt'!$B$9,0)+IF(10='Assumptions'!$B$8,('P&amp;L'!$C$10*(1+V$20)^9+'Renovation'!K$18-'P&amp;L'!$C$23*(1+'Assumptions'!$B$15)^9)/V$21*(1-'Assumptions'!$B$10)-'Debt'!$B$12,0)</f>
        <v/>
      </c>
      <c r="W32" s="12">
        <f>IF(10&lt;='Assumptions'!$B$8,('P&amp;L'!$C$10*(1+W$20)^9+'Renovation'!K$18-'P&amp;L'!$C$23*(1+'Assumptions'!$B$15)^9)-'Debt'!$B$9,0)+IF(10='Assumptions'!$B$8,('P&amp;L'!$C$10*(1+W$20)^9+'Renovation'!K$18-'P&amp;L'!$C$23*(1+'Assumptions'!$B$15)^9)/W$21*(1-'Assumptions'!$B$10)-'Debt'!$B$12,0)</f>
        <v/>
      </c>
      <c r="X32" s="12">
        <f>IF(10&lt;='Assumptions'!$B$8,('P&amp;L'!$C$10*(1+X$20)^9+'Renovation'!K$18-'P&amp;L'!$C$23*(1+'Assumptions'!$B$15)^9)-'Debt'!$B$9,0)+IF(10='Assumptions'!$B$8,('P&amp;L'!$C$10*(1+X$20)^9+'Renovation'!K$18-'P&amp;L'!$C$23*(1+'Assumptions'!$B$15)^9)/X$21*(1-'Assumptions'!$B$10)-'Debt'!$B$12,0)</f>
        <v/>
      </c>
      <c r="Y32" s="12">
        <f>IF(10&lt;='Assumptions'!$B$8,('P&amp;L'!$C$10*(1+Y$20)^9+'Renovation'!K$18-'P&amp;L'!$C$23*(1+'Assumptions'!$B$15)^9)-'Debt'!$B$9,0)+IF(10='Assumptions'!$B$8,('P&amp;L'!$C$10*(1+Y$20)^9+'Renovation'!K$18-'P&amp;L'!$C$23*(1+'Assumptions'!$B$15)^9)/Y$21*(1-'Assumptions'!$B$10)-'Debt'!$B$12,0)</f>
        <v/>
      </c>
      <c r="Z32" s="12">
        <f>IF(10&lt;='Assumptions'!$B$8,('P&amp;L'!$C$10*(1+Z$20)^9+'Renovation'!K$18-'P&amp;L'!$C$23*(1+'Assumptions'!$B$15)^9)-'Debt'!$B$9,0)+IF(10='Assumptions'!$B$8,('P&amp;L'!$C$10*(1+Z$20)^9+'Renovation'!K$18-'P&amp;L'!$C$23*(1+'Assumptions'!$B$15)^9)/Z$21*(1-'Assumptions'!$B$10)-'Debt'!$B$12,0)</f>
        <v/>
      </c>
    </row>
    <row r="33">
      <c r="A33" s="48" t="inlineStr">
        <is>
          <t>Levered IRR</t>
        </is>
      </c>
      <c r="B33" s="32">
        <f>IRR(B22:B32)</f>
        <v/>
      </c>
      <c r="C33" s="32">
        <f>IRR(C22:C32)</f>
        <v/>
      </c>
      <c r="D33" s="32">
        <f>IRR(D22:D32)</f>
        <v/>
      </c>
      <c r="E33" s="32">
        <f>IRR(E22:E32)</f>
        <v/>
      </c>
      <c r="F33" s="32">
        <f>IRR(F22:F32)</f>
        <v/>
      </c>
      <c r="G33" s="32">
        <f>IRR(G22:G32)</f>
        <v/>
      </c>
      <c r="H33" s="32">
        <f>IRR(H22:H32)</f>
        <v/>
      </c>
      <c r="I33" s="32">
        <f>IRR(I22:I32)</f>
        <v/>
      </c>
      <c r="J33" s="32">
        <f>IRR(J22:J32)</f>
        <v/>
      </c>
      <c r="K33" s="32">
        <f>IRR(K22:K32)</f>
        <v/>
      </c>
      <c r="L33" s="32">
        <f>IRR(L22:L32)</f>
        <v/>
      </c>
      <c r="M33" s="32">
        <f>IRR(M22:M32)</f>
        <v/>
      </c>
      <c r="N33" s="32">
        <f>IRR(N22:N32)</f>
        <v/>
      </c>
      <c r="O33" s="32">
        <f>IRR(O22:O32)</f>
        <v/>
      </c>
      <c r="P33" s="32">
        <f>IRR(P22:P32)</f>
        <v/>
      </c>
      <c r="Q33" s="32">
        <f>IRR(Q22:Q32)</f>
        <v/>
      </c>
      <c r="R33" s="32">
        <f>IRR(R22:R32)</f>
        <v/>
      </c>
      <c r="S33" s="32">
        <f>IRR(S22:S32)</f>
        <v/>
      </c>
      <c r="T33" s="32">
        <f>IRR(T22:T32)</f>
        <v/>
      </c>
      <c r="U33" s="32">
        <f>IRR(U22:U32)</f>
        <v/>
      </c>
      <c r="V33" s="32">
        <f>IRR(V22:V32)</f>
        <v/>
      </c>
      <c r="W33" s="32">
        <f>IRR(W22:W32)</f>
        <v/>
      </c>
      <c r="X33" s="32">
        <f>IRR(X22:X32)</f>
        <v/>
      </c>
      <c r="Y33" s="32">
        <f>IRR(Y22:Y32)</f>
        <v/>
      </c>
      <c r="Z33" s="32">
        <f>IRR(Z22:Z32)</f>
        <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2026-09-18T19:30:54Z</dcterms:created>
  <dcterms:modified xsi:type="dcterms:W3CDTF">2026-09-18T19:30:54Z</dcterms:modified>
</cp:coreProperties>
</file>